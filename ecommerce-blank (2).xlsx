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om200\Downloads\"/>
    </mc:Choice>
  </mc:AlternateContent>
  <xr:revisionPtr revIDLastSave="0" documentId="13_ncr:1_{C7471628-C697-4CD4-AC8B-E3DAB48B458A}" xr6:coauthVersionLast="47" xr6:coauthVersionMax="47" xr10:uidLastSave="{00000000-0000-0000-0000-000000000000}"/>
  <bookViews>
    <workbookView xWindow="72" yWindow="1044" windowWidth="22968" windowHeight="11916" firstSheet="1" activeTab="8" xr2:uid="{346724B3-1C49-40AE-AA36-C77CF5D6DD09}"/>
  </bookViews>
  <sheets>
    <sheet name="pivots sum" sheetId="5" r:id="rId1"/>
    <sheet name="Sheet5" sheetId="9" r:id="rId2"/>
    <sheet name="Sheet6" sheetId="11" r:id="rId3"/>
    <sheet name="Sheet7" sheetId="12" r:id="rId4"/>
    <sheet name="Sheet8" sheetId="13" r:id="rId5"/>
    <sheet name="Sheet9" sheetId="15" r:id="rId6"/>
    <sheet name="Sheet10" sheetId="17" r:id="rId7"/>
    <sheet name="Data" sheetId="1" r:id="rId8"/>
    <sheet name="Sheet2" sheetId="7" r:id="rId9"/>
  </sheets>
  <definedNames>
    <definedName name="Slicer_Gender_Value">#N/A</definedName>
    <definedName name="Slicer_Order_Mode">#N/A</definedName>
    <definedName name="Slicer_Order_Mode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L9" i="9"/>
  <c r="K9" i="9"/>
  <c r="J9" i="9"/>
  <c r="I9" i="9"/>
  <c r="H9" i="9"/>
  <c r="L8" i="9"/>
  <c r="K8" i="9"/>
  <c r="J8" i="9"/>
  <c r="I8" i="9"/>
  <c r="H8" i="9"/>
  <c r="L7" i="9"/>
  <c r="K7" i="9"/>
  <c r="J7" i="9"/>
  <c r="I7" i="9"/>
  <c r="H7" i="9"/>
  <c r="L6" i="9"/>
  <c r="K6" i="9"/>
  <c r="J6" i="9"/>
  <c r="I6" i="9"/>
  <c r="H6" i="9"/>
  <c r="L5" i="9"/>
  <c r="K5" i="9"/>
  <c r="J5" i="9"/>
  <c r="I5" i="9"/>
  <c r="H5" i="9"/>
  <c r="L4" i="9"/>
  <c r="K4" i="9"/>
  <c r="J4" i="9"/>
  <c r="I4" i="9"/>
  <c r="K4" i="5"/>
  <c r="J4" i="5"/>
  <c r="I4" i="5"/>
  <c r="H4" i="5"/>
  <c r="G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<sst xmlns="http://schemas.openxmlformats.org/spreadsheetml/2006/main" count="14864" uniqueCount="2536">
  <si>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</si>
  <si>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</si>
  <si>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</si>
  <si>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</si>
  <si>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</si>
  <si>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</si>
  <si>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</si>
  <si>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</si>
  <si>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</si>
  <si>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</si>
  <si>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</si>
  <si>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</si>
  <si>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</si>
  <si>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</si>
  <si>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</si>
  <si>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</si>
  <si>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</si>
  <si>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</si>
  <si>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</si>
  <si>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</si>
  <si>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</si>
  <si>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</si>
  <si>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</si>
  <si>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</si>
  <si>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</si>
  <si>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</si>
  <si>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</si>
  <si>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</si>
  <si>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</si>
  <si>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</si>
  <si>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</si>
  <si>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</si>
  <si>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</si>
  <si>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</si>
  <si>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</si>
  <si>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</si>
  <si>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</si>
  <si>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</si>
  <si>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</si>
  <si>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</si>
  <si>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</si>
  <si>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</si>
  <si>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</si>
  <si>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</si>
  <si>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</si>
  <si>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</si>
  <si>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</si>
  <si>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</si>
  <si>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</si>
  <si>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</si>
  <si>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</si>
  <si>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</si>
  <si>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</si>
  <si>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</si>
  <si>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</si>
  <si>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</si>
  <si>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</si>
  <si>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</si>
  <si>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</si>
  <si>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</si>
  <si>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</si>
  <si>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</si>
  <si>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</si>
  <si>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</si>
  <si>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</si>
  <si>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</si>
  <si>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</si>
  <si>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</si>
  <si>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</si>
  <si>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</si>
  <si>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</si>
  <si>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</si>
  <si>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</si>
  <si>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</si>
  <si>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</si>
  <si>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</si>
  <si>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</si>
  <si>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</si>
  <si>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</si>
  <si>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</si>
  <si>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</si>
  <si>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</si>
  <si>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</si>
  <si>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</si>
  <si>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</si>
  <si>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</si>
  <si>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</si>
  <si>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</si>
  <si>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</si>
  <si>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</si>
  <si>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</si>
  <si>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</si>
  <si>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</si>
  <si>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</si>
  <si>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</si>
  <si>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</si>
  <si>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</si>
  <si>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</si>
  <si>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</si>
  <si>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</si>
  <si>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</si>
  <si>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</si>
  <si>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</si>
  <si>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</si>
  <si>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</si>
  <si>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</si>
  <si>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</si>
  <si>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</si>
  <si>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</si>
  <si>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</si>
  <si>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</si>
  <si>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</si>
  <si>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</si>
  <si>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</si>
  <si>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</si>
  <si>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</si>
  <si>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</si>
  <si>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</si>
  <si>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</si>
  <si>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</si>
  <si>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</si>
  <si>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</si>
  <si>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</si>
  <si>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</si>
  <si>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</si>
  <si>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</si>
  <si>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</si>
  <si>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</si>
  <si>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</si>
  <si>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</si>
  <si>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</si>
  <si>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</si>
  <si>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</si>
  <si>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</si>
  <si>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</si>
  <si>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</si>
  <si>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</si>
  <si>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</si>
  <si>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</si>
  <si>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</si>
  <si>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</si>
  <si>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</si>
  <si>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</si>
  <si>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</si>
  <si>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</si>
  <si>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</si>
  <si>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</si>
  <si>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</si>
  <si>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</si>
  <si>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</si>
  <si>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</si>
  <si>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</si>
  <si>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</si>
  <si>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</si>
  <si>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</si>
  <si>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</si>
  <si>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</si>
  <si>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</si>
  <si>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</si>
  <si>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</si>
  <si>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</si>
  <si>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</si>
  <si>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</si>
  <si>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</si>
  <si>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</si>
  <si>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</si>
  <si>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</si>
  <si>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</si>
  <si>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</si>
  <si>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</si>
  <si>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</si>
  <si>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</si>
  <si>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</si>
  <si>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</si>
  <si>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</si>
  <si>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</si>
  <si>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</si>
  <si>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</si>
  <si>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</si>
  <si>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</si>
  <si>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</si>
  <si>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</si>
  <si>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</si>
  <si>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</si>
  <si>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</si>
  <si>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</si>
  <si>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</si>
  <si>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</si>
  <si>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</si>
  <si>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</si>
  <si>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</si>
  <si>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</si>
  <si>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</si>
  <si>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</si>
  <si>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</si>
  <si>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</si>
  <si>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</si>
  <si>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</si>
  <si>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</si>
  <si>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</si>
  <si>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</si>
  <si>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</si>
  <si>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</si>
  <si>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</si>
  <si>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</si>
  <si>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</si>
  <si>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</si>
  <si>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</si>
  <si>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</si>
  <si>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</si>
  <si>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</si>
  <si>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</si>
  <si>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</si>
  <si>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</si>
  <si>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</si>
  <si>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</si>
  <si>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</si>
  <si>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</si>
  <si>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</si>
  <si>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</si>
  <si>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</si>
  <si>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</si>
  <si>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</si>
  <si>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</si>
  <si>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</si>
  <si>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</si>
  <si>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</si>
  <si>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</si>
  <si>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</si>
  <si>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</si>
  <si>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</si>
  <si>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</si>
  <si>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</si>
  <si>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</si>
  <si>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</si>
  <si>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</si>
  <si>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</si>
  <si>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</si>
  <si>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</si>
  <si>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</si>
  <si>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</si>
  <si>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</si>
  <si>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</si>
  <si>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</si>
  <si>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</si>
  <si>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</si>
  <si>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</si>
  <si>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</si>
  <si>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</si>
  <si>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</si>
  <si>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</si>
  <si>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</si>
  <si>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</si>
  <si>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</si>
  <si>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</si>
  <si>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</si>
  <si>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</si>
  <si>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</si>
  <si>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</si>
  <si>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</si>
  <si>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</si>
  <si>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</si>
  <si>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</si>
  <si>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</si>
  <si>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</si>
  <si>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</si>
  <si>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</si>
  <si>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</si>
  <si>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</si>
  <si>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</si>
  <si>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</si>
  <si>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</si>
  <si>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</si>
  <si>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</si>
  <si>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</si>
  <si>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</si>
  <si>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</si>
  <si>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</si>
  <si>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</si>
  <si>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</si>
  <si>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</si>
  <si>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</si>
  <si>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</si>
  <si>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</si>
  <si>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</si>
  <si>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</si>
  <si>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</si>
  <si>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</si>
  <si>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</si>
  <si>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</si>
  <si>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</si>
  <si>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</si>
  <si>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</si>
  <si>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</si>
  <si>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</si>
  <si>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</si>
  <si>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</si>
  <si>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</si>
  <si>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</si>
  <si>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</si>
  <si>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</si>
  <si>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</si>
  <si>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</si>
  <si>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</si>
  <si>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</si>
  <si>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</si>
  <si>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</si>
  <si>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</si>
  <si>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</si>
  <si>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</si>
  <si>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</si>
  <si>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</si>
  <si>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</si>
  <si>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</si>
  <si>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</si>
  <si>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</si>
  <si>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</si>
  <si>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</si>
  <si>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</si>
  <si>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</si>
  <si>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</si>
  <si>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</si>
  <si>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</si>
  <si>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</si>
  <si>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</si>
  <si>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</si>
  <si>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</si>
  <si>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</si>
  <si>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</si>
  <si>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</si>
  <si>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</si>
  <si>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</si>
  <si>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</si>
  <si>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</si>
  <si>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</si>
  <si>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</si>
  <si>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</si>
  <si>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</si>
  <si>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</si>
  <si>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</si>
  <si>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</si>
  <si>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</si>
  <si>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</si>
  <si>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</si>
  <si>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</si>
  <si>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</si>
  <si>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</si>
  <si>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</si>
  <si>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</si>
  <si>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</si>
  <si>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</si>
  <si>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</si>
  <si>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</si>
  <si>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</si>
  <si>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</si>
  <si>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</si>
  <si>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</si>
  <si>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</si>
  <si>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</si>
  <si>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</si>
  <si>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</si>
  <si>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</si>
  <si>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</si>
  <si>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</si>
  <si>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</si>
  <si>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</si>
  <si>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</si>
  <si>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</si>
  <si>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</si>
  <si>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</si>
  <si>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</si>
  <si>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</si>
  <si>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</si>
  <si>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</si>
  <si>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</si>
  <si>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</si>
  <si>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</si>
  <si>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</si>
  <si>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</si>
  <si>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</si>
  <si>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</si>
  <si>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</si>
  <si>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</si>
  <si>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</si>
  <si>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</si>
  <si>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</si>
  <si>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</si>
  <si>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</si>
  <si>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</si>
  <si>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</si>
  <si>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</si>
  <si>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</si>
  <si>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</si>
  <si>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</si>
  <si>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</si>
  <si>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</si>
  <si>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</si>
  <si>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</si>
  <si>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</si>
  <si>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</si>
  <si>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</si>
  <si>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</si>
  <si>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</si>
  <si>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</si>
  <si>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</si>
  <si>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</si>
  <si>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</si>
  <si>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</si>
  <si>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</si>
  <si>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</si>
  <si>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</si>
  <si>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</si>
  <si>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</si>
  <si>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</si>
  <si>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</si>
  <si>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</si>
  <si>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</si>
  <si>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</si>
  <si>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</si>
  <si>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</si>
  <si>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</si>
  <si>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</si>
  <si>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</si>
  <si>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</si>
  <si>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</si>
  <si>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</si>
  <si>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</si>
  <si>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</si>
  <si>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</si>
  <si>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</si>
  <si>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</si>
  <si>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</si>
  <si>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</si>
  <si>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</si>
  <si>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</si>
  <si>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</si>
  <si>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</si>
  <si>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</si>
  <si>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</si>
  <si>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</si>
  <si>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</si>
  <si>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</si>
  <si>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</si>
  <si>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</si>
  <si>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</si>
  <si>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</si>
  <si>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</si>
  <si>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</si>
  <si>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</si>
  <si>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</si>
  <si>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</si>
  <si>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</si>
  <si>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</si>
  <si>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</si>
  <si>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</si>
  <si>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</si>
  <si>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</si>
  <si>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</si>
  <si>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</si>
  <si>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</si>
  <si>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</si>
  <si>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</si>
  <si>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</si>
  <si>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</si>
  <si>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</si>
  <si>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</si>
  <si>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</si>
  <si>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</si>
  <si>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</si>
  <si>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</si>
  <si>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</si>
  <si>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</si>
  <si>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</si>
  <si>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</si>
  <si>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</si>
  <si>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</si>
  <si>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</si>
  <si>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</si>
  <si>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</si>
  <si>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</si>
  <si>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</si>
  <si>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</si>
  <si>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</si>
  <si>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</si>
  <si>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</si>
  <si>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</si>
  <si>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</si>
  <si>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</si>
  <si>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</si>
  <si>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</si>
  <si>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</si>
  <si>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</si>
  <si>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</si>
  <si>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</si>
  <si>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</si>
  <si>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</si>
  <si>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</si>
  <si>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</si>
  <si>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</si>
  <si>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</si>
  <si>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</si>
  <si>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</si>
  <si>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</si>
  <si>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</si>
  <si>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</si>
  <si>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</si>
  <si>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</si>
  <si>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</si>
  <si>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</si>
  <si>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</si>
  <si>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</si>
  <si>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</si>
  <si>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</si>
  <si>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</si>
  <si>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</si>
  <si>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</si>
  <si>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</si>
  <si>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</si>
  <si>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</si>
  <si>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</si>
  <si>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</si>
  <si>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</si>
  <si>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</si>
  <si>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</si>
  <si>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</si>
  <si>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</si>
  <si>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</si>
  <si>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</si>
  <si>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</si>
  <si>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</si>
  <si>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</si>
  <si>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</si>
  <si>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</si>
  <si>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</si>
  <si>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</si>
  <si>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</si>
  <si>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</si>
  <si>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</si>
  <si>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</si>
  <si>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</si>
  <si>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</si>
  <si>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</si>
  <si>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</si>
  <si>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</si>
  <si>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</si>
  <si>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</si>
  <si>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</si>
  <si>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</si>
  <si>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</si>
  <si>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</si>
  <si>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</si>
  <si>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</si>
  <si>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</si>
  <si>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</si>
  <si>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</si>
  <si>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</si>
  <si>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</si>
  <si>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</si>
  <si>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</si>
  <si>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</si>
  <si>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</si>
  <si>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</si>
  <si>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</si>
  <si>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</si>
  <si>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</si>
  <si>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</si>
  <si>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</si>
  <si>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</si>
  <si>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</si>
  <si>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</si>
  <si>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</si>
  <si>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</si>
  <si>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</si>
  <si>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</si>
  <si>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</si>
  <si>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</si>
  <si>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</si>
  <si>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</si>
  <si>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</si>
  <si>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</si>
  <si>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</si>
  <si>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</si>
  <si>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</si>
  <si>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</si>
  <si>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</si>
  <si>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</si>
  <si>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</si>
  <si>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</si>
  <si>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</si>
  <si>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</si>
  <si>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</si>
  <si>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</si>
  <si>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</si>
  <si>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</si>
  <si>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</si>
  <si>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</si>
  <si>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</si>
  <si>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</si>
  <si>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</si>
  <si>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</si>
  <si>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</si>
  <si>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</si>
  <si>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</si>
  <si>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</si>
  <si>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</si>
  <si>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</si>
  <si>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</si>
  <si>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</si>
  <si>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</si>
  <si>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</si>
  <si>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</si>
  <si>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</si>
  <si>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</si>
  <si>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</si>
  <si>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</si>
  <si>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</si>
  <si>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</si>
  <si>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</si>
  <si>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</si>
  <si>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</si>
  <si>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</si>
  <si>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</si>
  <si>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</si>
  <si>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</si>
  <si>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</si>
  <si>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</si>
  <si>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</si>
  <si>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</si>
  <si>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</si>
  <si>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</si>
  <si>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</si>
  <si>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</si>
  <si>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</si>
  <si>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</si>
  <si>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</si>
  <si>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</si>
  <si>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</si>
  <si>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</si>
  <si>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</si>
  <si>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</si>
  <si>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</si>
  <si>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</si>
  <si>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</si>
  <si>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</si>
  <si>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</si>
  <si>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</si>
  <si>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</si>
  <si>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</si>
  <si>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</si>
  <si>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</si>
  <si>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</si>
  <si>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</si>
  <si>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</si>
  <si>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</si>
  <si>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</si>
  <si>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</si>
  <si>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</si>
  <si>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</si>
  <si>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</si>
  <si>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</si>
  <si>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</si>
  <si>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</si>
  <si>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</si>
  <si>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</si>
  <si>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</si>
  <si>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</si>
  <si>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</si>
  <si>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</si>
  <si>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</si>
  <si>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</si>
  <si>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</si>
  <si>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</si>
  <si>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</si>
  <si>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</si>
  <si>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</si>
  <si>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</si>
  <si>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</si>
  <si>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</si>
  <si>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</si>
  <si>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</si>
  <si>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</si>
  <si>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</si>
  <si>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</si>
  <si>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</si>
  <si>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</si>
  <si>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</si>
  <si>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</si>
  <si>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</si>
  <si>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</si>
  <si>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</si>
  <si>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</si>
  <si>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</si>
  <si>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</si>
  <si>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</si>
  <si>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</si>
  <si>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</si>
  <si>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</si>
  <si>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</si>
  <si>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</si>
  <si>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</si>
  <si>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</si>
  <si>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</si>
  <si>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</si>
  <si>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</si>
  <si>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</si>
  <si>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</si>
  <si>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</si>
  <si>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</si>
  <si>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</si>
  <si>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</si>
  <si>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</si>
  <si>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</si>
  <si>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</si>
  <si>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</si>
  <si>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</si>
  <si>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</si>
  <si>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</si>
  <si>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</si>
  <si>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</si>
  <si>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</si>
  <si>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</si>
  <si>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</si>
  <si>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</si>
  <si>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</si>
  <si>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</si>
  <si>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</si>
  <si>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</si>
  <si>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</si>
  <si>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</si>
  <si>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</si>
  <si>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</si>
  <si>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</si>
  <si>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</si>
  <si>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</si>
  <si>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</si>
  <si>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</si>
  <si>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</si>
  <si>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</si>
  <si>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</si>
  <si>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</si>
  <si>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</si>
  <si>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</si>
  <si>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</si>
  <si>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</si>
  <si>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</si>
  <si>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</si>
  <si>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</si>
  <si>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</si>
  <si>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</si>
  <si>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</si>
  <si>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</si>
  <si>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</si>
  <si>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</si>
  <si>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</si>
  <si>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</si>
  <si>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</si>
  <si>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</si>
  <si>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</si>
  <si>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</si>
  <si>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</si>
  <si>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</si>
  <si>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</si>
  <si>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</si>
  <si>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</si>
  <si>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</si>
  <si>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</si>
  <si>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</si>
  <si>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</si>
  <si>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</si>
  <si>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</si>
  <si>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</si>
  <si>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</si>
  <si>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</si>
  <si>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</si>
  <si>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</si>
  <si>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</si>
  <si>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</si>
  <si>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</si>
  <si>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</si>
  <si>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</si>
  <si>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</si>
  <si>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</si>
  <si>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</si>
  <si>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</si>
  <si>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</si>
  <si>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</si>
  <si>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</si>
  <si>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</si>
  <si>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</si>
  <si>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</si>
  <si>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</si>
  <si>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</si>
  <si>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</si>
  <si>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</si>
  <si>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</si>
  <si>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</si>
  <si>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</si>
  <si>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</si>
  <si>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</si>
  <si>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</si>
  <si>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</si>
  <si>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</si>
  <si>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</si>
  <si>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</si>
  <si>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</si>
  <si>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</si>
  <si>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</si>
  <si>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</si>
  <si>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</si>
  <si>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</si>
  <si>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</si>
  <si>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</si>
  <si>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</si>
  <si>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</si>
  <si>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</si>
  <si>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</si>
  <si>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</si>
  <si>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</si>
  <si>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</si>
  <si>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</si>
  <si>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</si>
  <si>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</si>
  <si>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</si>
  <si>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</si>
  <si>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</si>
  <si>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</si>
  <si>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</si>
  <si>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</si>
  <si>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</si>
  <si>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</si>
  <si>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</si>
  <si>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</si>
  <si>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</si>
  <si>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</si>
  <si>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</si>
  <si>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</si>
  <si>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</si>
  <si>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</si>
  <si>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</si>
  <si>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</si>
  <si>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</si>
  <si>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</si>
  <si>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</si>
  <si>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</si>
  <si>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</si>
  <si>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</si>
  <si>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</si>
  <si>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</si>
  <si>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</si>
  <si>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</si>
  <si>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</si>
  <si>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</si>
  <si>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</si>
  <si>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</si>
  <si>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</si>
  <si>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</si>
  <si>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</si>
  <si>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</si>
  <si>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</si>
  <si>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</si>
  <si>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</si>
  <si>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</si>
  <si>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</si>
  <si>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</si>
  <si>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</si>
  <si>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</si>
  <si>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</si>
  <si>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</si>
  <si>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</si>
  <si>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</si>
  <si>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</si>
  <si>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</si>
  <si>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</si>
  <si>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</si>
  <si>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</si>
  <si>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</si>
  <si>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</si>
  <si>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</si>
  <si>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</si>
  <si>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</si>
  <si>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</si>
  <si>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</si>
  <si>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</si>
  <si>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</si>
  <si>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</si>
  <si>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</si>
  <si>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</si>
  <si>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</si>
  <si>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</si>
  <si>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</si>
  <si>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</si>
  <si>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</si>
  <si>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</si>
  <si>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</si>
  <si>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</si>
  <si>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</si>
  <si>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</si>
  <si>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</si>
  <si>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</si>
  <si>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</si>
  <si>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</si>
  <si>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</si>
  <si>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</si>
  <si>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</si>
  <si>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</si>
  <si>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</si>
  <si>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</si>
  <si>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</si>
  <si>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</si>
  <si>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</si>
  <si>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</si>
  <si>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</si>
  <si>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</si>
  <si>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</si>
  <si>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</si>
  <si>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</si>
  <si>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</si>
  <si>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</si>
  <si>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</si>
  <si>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</si>
  <si>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</si>
  <si>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</si>
  <si>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</si>
  <si>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</si>
  <si>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</si>
  <si>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</si>
  <si>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</si>
  <si>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</si>
  <si>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</si>
  <si>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</si>
  <si>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</si>
  <si>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</si>
  <si>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</si>
  <si>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</si>
  <si>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</si>
  <si>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</si>
  <si>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</si>
  <si>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</si>
  <si>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</si>
  <si>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</si>
  <si>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</si>
  <si>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</si>
  <si>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</si>
  <si>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</si>
  <si>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</si>
  <si>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</si>
  <si>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</si>
  <si>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</si>
  <si>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</si>
  <si>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</si>
  <si>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</si>
  <si>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</si>
  <si>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</si>
  <si>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</si>
  <si>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</si>
  <si>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</si>
  <si>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</si>
  <si>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</si>
  <si>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</si>
  <si>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</si>
  <si>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</si>
  <si>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</si>
  <si>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</si>
  <si>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</si>
  <si>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</si>
  <si>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</si>
  <si>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</si>
  <si>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</si>
  <si>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</si>
  <si>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</si>
  <si>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</si>
  <si>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</si>
  <si>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</si>
  <si>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</si>
  <si>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</si>
  <si>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</si>
  <si>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</si>
  <si>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</si>
  <si>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</si>
  <si>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</si>
  <si>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</si>
  <si>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</si>
  <si>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</si>
  <si>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</si>
  <si>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</si>
  <si>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</si>
  <si>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</si>
  <si>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</si>
  <si>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</si>
  <si>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</si>
  <si>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</si>
  <si>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</si>
  <si>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</si>
  <si>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</si>
  <si>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</si>
  <si>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</si>
  <si>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</si>
  <si>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</si>
  <si>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</si>
  <si>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</si>
  <si>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</si>
  <si>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</si>
  <si>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</si>
  <si>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</si>
  <si>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</si>
  <si>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</si>
  <si>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</si>
  <si>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</si>
  <si>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</si>
  <si>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</si>
  <si>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</si>
  <si>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</si>
  <si>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</si>
  <si>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</si>
  <si>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</si>
  <si>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</si>
  <si>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</si>
  <si>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</si>
  <si>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</si>
  <si>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</si>
  <si>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</si>
  <si>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</si>
  <si>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</si>
  <si>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</si>
  <si>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</si>
  <si>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</si>
  <si>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</si>
  <si>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</si>
  <si>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</si>
  <si>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</si>
  <si>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</si>
  <si>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</si>
  <si>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</si>
  <si>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</si>
  <si>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</si>
  <si>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</si>
  <si>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</si>
  <si>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</si>
  <si>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</si>
  <si>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</si>
  <si>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</si>
  <si>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</si>
  <si>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</si>
  <si>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</si>
  <si>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</si>
  <si>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</si>
  <si>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</si>
  <si>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</si>
  <si>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</si>
  <si>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</si>
  <si>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</si>
  <si>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</si>
  <si>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</si>
  <si>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</si>
  <si>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</si>
  <si>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</si>
  <si>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</si>
  <si>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</si>
  <si>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</si>
  <si>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</si>
  <si>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</si>
  <si>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</si>
  <si>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</si>
  <si>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</si>
  <si>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</si>
  <si>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</si>
  <si>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</si>
  <si>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</si>
  <si>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</si>
  <si>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</si>
  <si>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</si>
  <si>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</si>
  <si>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</si>
  <si>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</si>
  <si>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</si>
  <si>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</si>
  <si>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</si>
  <si>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</si>
  <si>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</si>
  <si>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</si>
  <si>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</si>
  <si>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</si>
  <si>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</si>
  <si>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</si>
  <si>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</si>
  <si>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</si>
  <si>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</si>
  <si>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</si>
  <si>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</si>
  <si>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</si>
  <si>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</si>
  <si>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</si>
  <si>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</si>
  <si>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</si>
  <si>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</si>
  <si>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</si>
  <si>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</si>
  <si>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</si>
  <si>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</si>
  <si>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</si>
  <si>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</si>
  <si>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</si>
  <si>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</si>
  <si>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</si>
  <si>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</si>
  <si>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</si>
  <si>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</si>
  <si>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</si>
  <si>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</si>
  <si>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</si>
  <si>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</si>
  <si>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</si>
  <si>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</si>
  <si>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</si>
  <si>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</si>
  <si>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</si>
  <si>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</si>
  <si>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</si>
  <si>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</si>
  <si>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</si>
  <si>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</si>
  <si>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</si>
  <si>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</si>
  <si>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</si>
  <si>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</si>
  <si>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</si>
  <si>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</si>
  <si>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</si>
  <si>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</si>
  <si>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</si>
  <si>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</si>
  <si>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</si>
  <si>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</si>
  <si>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</si>
  <si>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</si>
  <si>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</si>
  <si>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</si>
  <si>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</si>
  <si>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</si>
  <si>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</si>
  <si>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</si>
  <si>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</si>
  <si>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</si>
  <si>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</si>
  <si>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</si>
  <si>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</si>
  <si>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</si>
  <si>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</si>
  <si>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</si>
  <si>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</si>
  <si>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</si>
  <si>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</si>
  <si>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</si>
  <si>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</si>
  <si>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</si>
  <si>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</si>
  <si>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</si>
  <si>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</si>
  <si>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</si>
  <si>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</si>
  <si>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</si>
  <si>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</si>
  <si>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</si>
  <si>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</si>
  <si>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</si>
  <si>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</si>
  <si>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</si>
  <si>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</si>
  <si>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</si>
  <si>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</si>
  <si>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</si>
  <si>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</si>
  <si>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</si>
  <si>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</si>
  <si>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</si>
  <si>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</si>
  <si>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</si>
  <si>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</si>
  <si>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</si>
  <si>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</si>
  <si>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</si>
  <si>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</si>
  <si>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</si>
  <si>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</si>
  <si>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</si>
  <si>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</si>
  <si>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</si>
  <si>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</si>
  <si>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</si>
  <si>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</si>
  <si>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</si>
  <si>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</si>
  <si>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</si>
  <si>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</si>
  <si>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</si>
  <si>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</si>
  <si>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</si>
  <si>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</si>
  <si>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</si>
  <si>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</si>
  <si>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</si>
  <si>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</si>
  <si>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</si>
  <si>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</si>
  <si>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</si>
  <si>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</si>
  <si>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</si>
  <si>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</si>
  <si>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</si>
  <si>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</si>
  <si>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</si>
  <si>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</si>
  <si>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</si>
  <si>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</si>
  <si>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</si>
  <si>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</si>
  <si>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</si>
  <si>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</si>
  <si>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</si>
  <si>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</si>
  <si>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</si>
  <si>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</si>
  <si>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</si>
  <si>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</si>
  <si>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</si>
  <si>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</si>
  <si>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</si>
  <si>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</si>
  <si>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</si>
  <si>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</si>
  <si>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</si>
  <si>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</si>
  <si>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</si>
  <si>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</si>
  <si>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</si>
  <si>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</si>
  <si>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</si>
  <si>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</si>
  <si>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</si>
  <si>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</si>
  <si>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</si>
  <si>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</si>
  <si>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</si>
  <si>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</si>
  <si>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</si>
  <si>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</si>
  <si>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</si>
  <si>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</si>
  <si>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</si>
  <si>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</si>
  <si>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</si>
  <si>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</si>
  <si>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</si>
  <si>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</si>
  <si>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</si>
  <si>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</si>
  <si>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</si>
  <si>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</si>
  <si>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</si>
  <si>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</si>
  <si>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</si>
  <si>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</si>
  <si>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</si>
  <si>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</si>
  <si>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</si>
  <si>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</si>
  <si>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</si>
  <si>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</si>
  <si>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</si>
  <si>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</si>
  <si>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</si>
  <si>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</si>
  <si>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</si>
  <si>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</si>
  <si>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</si>
  <si>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</si>
  <si>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</si>
  <si>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</si>
  <si>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</si>
  <si>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</si>
  <si>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</si>
  <si>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</si>
  <si>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</si>
  <si>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</si>
  <si>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</si>
  <si>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</si>
  <si>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</si>
  <si>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</si>
  <si>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</si>
  <si>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</si>
  <si>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</si>
  <si>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</si>
  <si>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</si>
  <si>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</si>
  <si>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</si>
  <si>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</si>
  <si>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</si>
  <si>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</si>
  <si>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</si>
  <si>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</si>
  <si>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</si>
  <si>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</si>
  <si>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</si>
  <si>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</si>
  <si>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</si>
  <si>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</si>
  <si>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</si>
  <si>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</si>
  <si>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</si>
  <si>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</si>
  <si>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</si>
  <si>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</si>
  <si>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</si>
  <si>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</si>
  <si>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</si>
  <si>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</si>
  <si>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</si>
  <si>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</si>
  <si>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</si>
  <si>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</si>
  <si>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</si>
  <si>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</si>
  <si>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</si>
  <si>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</si>
  <si>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</si>
  <si>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</si>
  <si>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</si>
  <si>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</si>
  <si>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</si>
  <si>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</si>
  <si>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</si>
  <si>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</si>
  <si>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</si>
  <si>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</si>
  <si>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</si>
  <si>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</si>
  <si>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</si>
  <si>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</si>
  <si>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</si>
  <si>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</si>
  <si>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</si>
  <si>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</si>
  <si>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</si>
  <si>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</si>
  <si>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</si>
  <si>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</si>
  <si>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</si>
  <si>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</si>
  <si>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</si>
  <si>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</si>
  <si>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</si>
  <si>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</si>
  <si>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</si>
  <si>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</si>
  <si>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</si>
  <si>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</si>
  <si>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</si>
  <si>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</si>
  <si>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</si>
  <si>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</si>
  <si>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</si>
  <si>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</si>
  <si>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</si>
  <si>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</si>
  <si>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</si>
  <si>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</si>
  <si>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</si>
  <si>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</si>
  <si>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</si>
  <si>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</si>
  <si>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</si>
  <si>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</si>
  <si>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</si>
  <si>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</si>
  <si>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</si>
  <si>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</si>
  <si>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</si>
  <si>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</si>
  <si>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</si>
  <si>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</si>
  <si>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</si>
  <si>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</si>
  <si>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</si>
  <si>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</si>
  <si>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</si>
  <si>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</si>
  <si>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</si>
  <si>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</si>
  <si>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</si>
  <si>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</si>
  <si>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</si>
  <si>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</si>
  <si>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</si>
  <si>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</si>
  <si>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</si>
  <si>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</si>
  <si>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</si>
  <si>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</si>
  <si>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</si>
  <si>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</si>
  <si>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</si>
  <si>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</si>
  <si>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</si>
  <si>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</si>
  <si>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</si>
  <si>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</si>
  <si>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</si>
  <si>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</si>
  <si>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</si>
  <si>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</si>
  <si>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</si>
  <si>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</si>
  <si>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</si>
  <si>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</si>
  <si>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</si>
  <si>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</si>
  <si>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</si>
  <si>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</si>
  <si>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</si>
  <si>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</si>
  <si>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</si>
  <si>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</si>
  <si>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</si>
  <si>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</si>
  <si>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</si>
  <si>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</si>
  <si>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</si>
  <si>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</si>
  <si>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</si>
  <si>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</si>
  <si>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</si>
  <si>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</si>
  <si>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</si>
  <si>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</si>
  <si>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</si>
  <si>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</si>
  <si>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</si>
  <si>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</si>
  <si>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</si>
  <si>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</si>
  <si>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</si>
  <si>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</si>
  <si>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</si>
  <si>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</si>
  <si>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</si>
  <si>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</si>
  <si>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</si>
  <si>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</si>
  <si>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</si>
  <si>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</si>
  <si>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</si>
  <si>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</si>
  <si>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</si>
  <si>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</si>
  <si>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</si>
  <si>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</si>
  <si>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</si>
  <si>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</si>
  <si>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</si>
  <si>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</si>
  <si>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</si>
  <si>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</si>
  <si>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</si>
  <si>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</si>
  <si>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</si>
  <si>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</si>
  <si>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</si>
  <si>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</si>
  <si>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</si>
  <si>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</si>
  <si>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</si>
  <si>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</si>
  <si>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</si>
  <si>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</si>
  <si>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</si>
  <si>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</si>
  <si>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</si>
  <si>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</si>
  <si>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</si>
  <si>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</si>
  <si>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</si>
  <si>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</si>
  <si>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</si>
  <si>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</si>
  <si>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</si>
  <si>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</si>
  <si>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</si>
  <si>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</si>
  <si>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</si>
  <si>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</si>
  <si>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</si>
  <si>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</si>
  <si>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</si>
  <si>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</si>
  <si>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</si>
  <si>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</si>
  <si>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</si>
  <si>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</si>
  <si>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</si>
  <si>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</si>
  <si>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</si>
  <si>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</si>
  <si>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</si>
  <si>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</si>
  <si>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</si>
  <si>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</si>
  <si>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</si>
  <si>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</si>
  <si>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</si>
  <si>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</si>
  <si>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</si>
  <si>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</si>
  <si>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</si>
  <si>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</si>
  <si>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</si>
  <si>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</si>
  <si>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</si>
  <si>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</si>
  <si>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</si>
  <si>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</si>
  <si>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</si>
  <si>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</si>
  <si>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</si>
  <si>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</si>
  <si>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</si>
  <si>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</si>
  <si>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</si>
  <si>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</si>
  <si>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</si>
  <si>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</si>
  <si>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</si>
  <si>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</si>
  <si>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</si>
  <si>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</si>
  <si>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</si>
  <si>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</si>
  <si>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</si>
  <si>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</si>
  <si>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</si>
  <si>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</si>
  <si>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</si>
  <si>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</si>
  <si>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</si>
  <si>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</si>
  <si>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</si>
  <si>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</si>
  <si>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</si>
  <si>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</si>
  <si>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</si>
  <si>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</si>
  <si>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</si>
  <si>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</si>
  <si>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</si>
  <si>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</si>
  <si>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</si>
  <si>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</si>
  <si>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</si>
  <si>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</si>
  <si>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</si>
  <si>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</si>
  <si>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</si>
  <si>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</si>
  <si>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</si>
  <si>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</si>
  <si>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</si>
  <si>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</si>
  <si>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</si>
  <si>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</si>
  <si>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</si>
  <si>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</si>
  <si>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</si>
  <si>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</si>
  <si>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</si>
  <si>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</si>
  <si>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</si>
  <si>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</si>
  <si>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</si>
  <si>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</si>
  <si>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</si>
  <si>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</si>
  <si>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</si>
  <si>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</si>
  <si>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</si>
  <si>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</si>
  <si>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</si>
  <si>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</si>
  <si>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</si>
  <si>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</si>
  <si>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</si>
  <si>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</si>
  <si>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</si>
  <si>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</si>
  <si>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</si>
  <si>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</si>
  <si>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</si>
  <si>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</si>
  <si>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</si>
  <si>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</si>
  <si>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</si>
  <si>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</si>
  <si>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</si>
  <si>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</si>
  <si>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</si>
  <si>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</si>
  <si>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</si>
  <si>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</si>
  <si>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</si>
  <si>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</si>
  <si>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</si>
  <si>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</si>
  <si>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</si>
  <si>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</si>
  <si>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</si>
  <si>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</si>
  <si>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</si>
  <si>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</si>
  <si>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</si>
  <si>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</si>
  <si>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</si>
  <si>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</si>
  <si>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</si>
  <si>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</si>
  <si>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</si>
  <si>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</si>
  <si>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</si>
  <si>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</si>
  <si>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</si>
  <si>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</si>
  <si>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</si>
  <si>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</si>
  <si>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</si>
  <si>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</si>
  <si>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</si>
  <si>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</si>
  <si>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</si>
  <si>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</si>
  <si>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</si>
  <si>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</si>
  <si>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</si>
  <si>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</si>
  <si>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</si>
  <si>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</si>
  <si>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</si>
  <si>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</si>
  <si>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</si>
  <si>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</si>
  <si>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</si>
  <si>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</si>
  <si>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</si>
  <si>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</si>
  <si>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</si>
  <si>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</si>
  <si>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</si>
  <si>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</si>
  <si>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</si>
  <si>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</si>
  <si>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</si>
  <si>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</si>
  <si>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</si>
  <si>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</si>
  <si>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</si>
  <si>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</si>
  <si>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</si>
  <si>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</si>
  <si>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</si>
  <si>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</si>
  <si>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</si>
  <si>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</si>
  <si>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</si>
  <si>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</si>
  <si>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</si>
  <si>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</si>
  <si>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</si>
  <si>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</si>
  <si>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</si>
  <si>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</si>
  <si>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</si>
  <si>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</si>
  <si>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</si>
  <si>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</si>
  <si>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</si>
  <si>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</si>
  <si>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</si>
  <si>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</si>
  <si>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</si>
  <si>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</si>
  <si>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</si>
  <si>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</si>
  <si>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</si>
  <si>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</si>
  <si>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</si>
  <si>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</si>
  <si>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</si>
  <si>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</si>
  <si>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</si>
  <si>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</si>
  <si>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</si>
  <si>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</si>
  <si>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</si>
  <si>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</si>
  <si>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</si>
  <si>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</si>
  <si>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</si>
  <si>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</si>
  <si>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</si>
  <si>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</si>
  <si>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</si>
  <si>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</si>
  <si>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</si>
  <si>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</si>
  <si>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</si>
  <si>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</si>
  <si>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</si>
  <si>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</si>
  <si>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</si>
  <si>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</si>
  <si>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</si>
  <si>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</si>
  <si>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</si>
  <si>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</si>
  <si>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</si>
  <si>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</si>
  <si>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</si>
  <si>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</si>
  <si>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</si>
  <si>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</si>
  <si>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</si>
  <si>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</si>
  <si>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</si>
  <si>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</si>
  <si>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</si>
  <si>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</si>
  <si>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</si>
  <si>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</si>
  <si>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</si>
  <si>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</si>
  <si>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</si>
  <si>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</si>
  <si>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</si>
  <si>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</si>
  <si>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</si>
  <si>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</si>
  <si>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</si>
  <si>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</si>
  <si>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</si>
  <si>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</si>
  <si>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</si>
  <si>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</si>
  <si>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</si>
  <si>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</si>
  <si>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</si>
  <si>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</si>
  <si>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</si>
  <si>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</si>
  <si>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</si>
  <si>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</si>
  <si>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</si>
  <si>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</si>
  <si>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</si>
  <si>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</si>
  <si>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</si>
  <si>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</si>
  <si>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</si>
  <si>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</si>
  <si>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</si>
  <si>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</si>
  <si>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</si>
  <si>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</si>
  <si>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</si>
  <si>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</si>
  <si>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</si>
  <si>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</si>
  <si>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</si>
  <si>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</si>
  <si>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</si>
  <si>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</si>
  <si>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</si>
  <si>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</si>
  <si>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</si>
  <si>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</si>
  <si>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</si>
  <si>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</si>
  <si>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</si>
  <si>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</si>
  <si>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</si>
  <si>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</si>
  <si>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</si>
  <si>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</si>
  <si>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</si>
  <si>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</si>
  <si>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</si>
  <si>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</si>
  <si>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</si>
  <si>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</si>
  <si>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</si>
  <si>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</si>
  <si>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</si>
  <si>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</si>
  <si>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</si>
  <si>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</si>
  <si>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</si>
  <si>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</si>
  <si>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</si>
  <si>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</si>
  <si>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</si>
  <si>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</si>
  <si>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</si>
  <si>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</si>
  <si>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</si>
  <si>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</si>
  <si>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</si>
  <si>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</si>
  <si>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</si>
  <si>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</si>
  <si>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</si>
  <si>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</si>
  <si>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</si>
  <si>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</si>
  <si>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</si>
  <si>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</si>
  <si>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</si>
  <si>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</si>
  <si>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</si>
  <si>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</si>
  <si>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</si>
  <si>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</si>
  <si>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</si>
  <si>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</si>
  <si>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</si>
  <si>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</si>
  <si>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</si>
  <si>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</si>
  <si>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</si>
  <si>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</si>
  <si>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</si>
  <si>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</si>
  <si>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</si>
  <si>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</si>
  <si>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</si>
  <si>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</si>
  <si>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</si>
  <si>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</si>
  <si>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</si>
  <si>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</si>
  <si>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</si>
  <si>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</si>
  <si>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</si>
  <si>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</si>
  <si>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</si>
  <si>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</si>
  <si>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</si>
  <si>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</si>
  <si>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</si>
  <si>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</si>
  <si>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</si>
  <si>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</si>
  <si>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</si>
  <si>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</si>
  <si>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</si>
  <si>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</si>
  <si>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</si>
  <si>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</si>
  <si>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</si>
  <si>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</si>
  <si>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</si>
  <si>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</si>
  <si>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</si>
  <si>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</si>
  <si>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</si>
  <si>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</si>
  <si>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</si>
  <si>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</si>
  <si>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</si>
  <si>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</si>
  <si>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</si>
  <si>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</si>
  <si>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</si>
  <si>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</si>
  <si>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</si>
  <si>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</si>
  <si>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</si>
  <si>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</si>
  <si>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</si>
  <si>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</si>
  <si>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</si>
  <si>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</si>
  <si>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</si>
  <si>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</si>
  <si>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</si>
  <si>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</si>
  <si>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</si>
  <si>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</si>
  <si>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</si>
  <si>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</si>
  <si>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</si>
  <si>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</si>
  <si>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</si>
  <si>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</si>
  <si>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</si>
  <si>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</si>
  <si>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</si>
  <si>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</si>
  <si>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</si>
  <si>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</si>
  <si>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</si>
  <si>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</si>
  <si>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</si>
  <si>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</si>
  <si>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</si>
  <si>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</si>
  <si>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</si>
  <si>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</si>
  <si>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</si>
  <si>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</si>
  <si>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</si>
  <si>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</si>
  <si>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</si>
  <si>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</si>
  <si>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</si>
  <si>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</si>
  <si>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</si>
  <si>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</si>
  <si>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</si>
  <si>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</si>
  <si>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</si>
  <si>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</si>
  <si>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</si>
  <si>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</si>
  <si>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</si>
  <si>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</si>
  <si>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</si>
  <si>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</si>
  <si>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</si>
  <si>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</si>
  <si>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</si>
  <si>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</si>
  <si>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</si>
  <si>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</si>
  <si>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</si>
  <si>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</si>
  <si>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</si>
  <si>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</si>
  <si>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</si>
  <si>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</si>
  <si>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</si>
  <si>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</si>
  <si>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</si>
  <si>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</si>
  <si>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</si>
  <si>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</si>
  <si>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</si>
  <si>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</si>
  <si>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</si>
  <si>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</si>
  <si>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</si>
  <si>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</si>
  <si>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</si>
  <si>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</si>
  <si>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</si>
  <si>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</si>
  <si>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</si>
  <si>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</si>
  <si>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</si>
  <si>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</si>
  <si>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</si>
  <si>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</si>
  <si>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</si>
  <si>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</si>
  <si>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</si>
  <si>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</si>
  <si>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</si>
  <si>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</si>
  <si>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</si>
  <si>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</si>
  <si>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</si>
  <si>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</si>
  <si>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</si>
  <si>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</si>
  <si>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</si>
  <si>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</si>
  <si>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</si>
  <si>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</si>
  <si>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</si>
  <si>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</si>
  <si>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</si>
  <si>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</si>
  <si>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</si>
  <si>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</si>
  <si>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</si>
  <si>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</si>
  <si>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</si>
  <si>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</si>
  <si>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</si>
  <si>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</si>
  <si>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</si>
  <si>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</si>
  <si>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</si>
  <si>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</si>
  <si>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</si>
  <si>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</si>
  <si>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</si>
  <si>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</si>
  <si>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</si>
  <si>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</si>
  <si>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</si>
  <si>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</si>
  <si>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</si>
  <si>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</si>
  <si>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</si>
  <si>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</si>
  <si>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</si>
  <si>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</si>
  <si>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</si>
  <si>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</si>
  <si>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</si>
  <si>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</si>
  <si>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</si>
  <si>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</si>
  <si>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</si>
  <si>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</si>
  <si>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</si>
  <si>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</si>
  <si>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</si>
  <si>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</si>
  <si>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</si>
  <si>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</si>
  <si>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</si>
  <si>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</si>
  <si>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</si>
  <si>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</si>
  <si>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</si>
  <si>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</si>
  <si>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</si>
  <si>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</si>
  <si>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</si>
  <si>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</si>
  <si>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</si>
  <si>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</si>
  <si>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</si>
  <si>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</si>
  <si>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</si>
  <si>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</si>
  <si>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</si>
  <si>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</si>
  <si>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</si>
  <si>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</si>
  <si>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</si>
  <si>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</si>
  <si>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</si>
  <si>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</si>
  <si>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</si>
  <si>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</si>
  <si>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</si>
  <si>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</si>
  <si>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</si>
  <si>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</si>
  <si>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</si>
  <si>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</si>
  <si>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</si>
  <si>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</si>
  <si>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</si>
  <si>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</si>
  <si>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</si>
  <si>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</si>
  <si>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</si>
  <si>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</si>
  <si>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</si>
  <si>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</si>
  <si>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</si>
  <si>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</si>
  <si>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</si>
  <si>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</si>
  <si>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</si>
  <si>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</si>
  <si>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</si>
  <si>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</si>
  <si>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</si>
  <si>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</si>
  <si>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</si>
  <si>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</si>
  <si>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</si>
  <si>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</si>
  <si>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</si>
  <si>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</si>
  <si>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</si>
  <si>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</si>
  <si>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</si>
  <si>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</si>
  <si>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</si>
  <si>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</si>
  <si>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</si>
  <si>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</si>
  <si>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</si>
  <si>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</si>
  <si>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</si>
  <si>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</si>
  <si>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</si>
  <si>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</si>
  <si>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</si>
  <si>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</si>
  <si>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</si>
  <si>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</si>
  <si>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</si>
  <si>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</si>
  <si>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</si>
  <si>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</si>
  <si>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</si>
  <si>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</si>
  <si>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</si>
  <si>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</si>
  <si>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</si>
  <si>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</si>
  <si>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</si>
  <si>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</si>
  <si>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</si>
  <si>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</si>
  <si>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</si>
  <si>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</si>
  <si>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</si>
  <si>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</si>
  <si>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</si>
  <si>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</si>
  <si>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</si>
  <si>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</si>
  <si>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</si>
  <si>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</si>
  <si>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</si>
  <si>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</si>
  <si>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</si>
  <si>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</si>
  <si>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</si>
  <si>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</si>
  <si>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</si>
  <si>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</si>
  <si>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</si>
  <si>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</si>
  <si>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</si>
  <si>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</si>
  <si>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</si>
  <si>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</si>
  <si>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</si>
  <si>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</si>
  <si>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</si>
  <si>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</si>
  <si>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</si>
  <si>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</si>
  <si>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</si>
  <si>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</si>
  <si>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</si>
  <si>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</si>
  <si>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</si>
  <si>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</si>
  <si>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</si>
  <si>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</si>
  <si>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</si>
  <si>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</si>
  <si>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</si>
  <si>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</si>
  <si>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</si>
  <si>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</si>
  <si>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</si>
  <si>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</si>
  <si>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</si>
  <si>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</si>
  <si>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</si>
  <si>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</si>
  <si>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</si>
  <si>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</si>
  <si>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</si>
  <si>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</si>
  <si>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</si>
  <si>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</si>
  <si>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</si>
  <si>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</si>
  <si>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</si>
  <si>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</si>
  <si>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</si>
  <si>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</si>
  <si>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</si>
  <si>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</si>
  <si>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</si>
  <si>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</si>
  <si>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</si>
  <si>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</si>
  <si>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</si>
  <si>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</si>
  <si>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</si>
  <si>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</si>
  <si>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</si>
  <si>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</si>
  <si>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</si>
  <si>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</si>
  <si>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</si>
  <si>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</si>
  <si>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</si>
  <si>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</si>
  <si>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</si>
  <si>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</si>
  <si>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</si>
  <si>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</si>
  <si>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</si>
  <si>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</si>
  <si>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</si>
  <si>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</si>
  <si>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</si>
  <si>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</si>
  <si>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</si>
  <si>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</si>
  <si>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</si>
  <si>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</si>
  <si>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</si>
  <si>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</si>
  <si>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</si>
  <si>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</si>
  <si>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</si>
  <si>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</si>
  <si>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</si>
  <si>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</si>
  <si>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</si>
  <si>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</si>
  <si>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</si>
  <si>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</si>
  <si>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</si>
  <si>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</si>
  <si>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</si>
  <si>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</si>
  <si>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</si>
  <si>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</si>
  <si>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</si>
  <si>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</si>
  <si>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</si>
  <si>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</si>
  <si>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</si>
  <si>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</si>
  <si>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</si>
  <si>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</si>
  <si>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</si>
  <si>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</si>
  <si>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</si>
  <si>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</si>
  <si>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</si>
  <si>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</si>
  <si>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</si>
  <si>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</si>
  <si>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</si>
  <si>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</si>
  <si>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</si>
  <si>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</si>
  <si>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</si>
  <si>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</si>
  <si>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</si>
  <si>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</si>
  <si>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</si>
  <si>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</si>
  <si>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</si>
  <si>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</si>
  <si>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</si>
  <si>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</si>
  <si>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</si>
  <si>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</si>
  <si>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</si>
  <si>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</si>
  <si>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</si>
  <si>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</si>
  <si>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</si>
  <si>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</si>
  <si>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</si>
  <si>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</si>
  <si>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</si>
  <si>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</si>
  <si>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</si>
  <si>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</si>
  <si>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</si>
  <si>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</si>
  <si>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</si>
  <si>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</si>
  <si>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</si>
  <si>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</si>
  <si>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</si>
  <si>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</si>
  <si>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</si>
  <si>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</si>
  <si>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</si>
  <si>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</si>
  <si>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</si>
  <si>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</si>
  <si>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</si>
  <si>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</si>
  <si>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</si>
  <si>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</si>
  <si>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</si>
  <si>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</si>
  <si>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</si>
  <si>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</si>
  <si>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</si>
  <si>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</si>
  <si>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</si>
  <si>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</si>
  <si>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</si>
  <si>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</si>
  <si>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</si>
  <si>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</si>
  <si>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</si>
  <si>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</si>
  <si>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</si>
  <si>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</si>
  <si>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</si>
  <si>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</si>
  <si>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</si>
  <si>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</si>
  <si>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</si>
  <si>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</si>
  <si>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</si>
  <si>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</si>
  <si>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</si>
  <si>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</si>
  <si>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</si>
  <si>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</si>
  <si>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</si>
  <si>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</si>
  <si>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</si>
  <si>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</si>
  <si>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</si>
  <si>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</si>
  <si>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</si>
  <si>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</si>
  <si>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</si>
  <si>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</si>
  <si>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</si>
  <si>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</si>
  <si>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</si>
  <si>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</si>
  <si>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</si>
  <si>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</si>
  <si>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</si>
  <si>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</si>
  <si>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</si>
  <si>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</si>
  <si>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</si>
  <si>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</si>
  <si>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</si>
  <si>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</si>
  <si>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</si>
  <si>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</si>
  <si>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</si>
  <si>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</si>
  <si>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</si>
  <si>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</si>
  <si>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</si>
  <si>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</si>
  <si>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</si>
  <si>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</si>
  <si>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</si>
  <si>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</si>
  <si>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</si>
  <si>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</si>
  <si>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</si>
  <si>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</si>
  <si>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</si>
  <si>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</si>
  <si>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</si>
  <si>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</si>
  <si>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</si>
  <si>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</si>
  <si>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</si>
  <si>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</si>
  <si>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</si>
  <si>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</si>
  <si>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</si>
  <si>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</si>
  <si>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</si>
  <si>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</si>
  <si>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</si>
  <si>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</si>
  <si>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</si>
  <si>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</si>
  <si>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</si>
  <si>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</si>
  <si>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</si>
  <si>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</si>
  <si>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</si>
  <si>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</si>
  <si>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</si>
  <si>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</si>
  <si>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</si>
  <si>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</si>
  <si>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</si>
  <si>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</si>
  <si>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</si>
  <si>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</si>
  <si>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</si>
  <si>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</si>
  <si>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</si>
  <si>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</si>
  <si>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</si>
  <si>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</si>
  <si>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</si>
  <si>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</si>
  <si>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</si>
  <si>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</si>
  <si>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</si>
  <si>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</si>
  <si>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</si>
  <si>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</si>
  <si>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</si>
  <si>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</si>
  <si>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</si>
  <si>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</si>
  <si>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</si>
  <si>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</si>
  <si>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</si>
  <si>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</si>
  <si>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</si>
  <si>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</si>
  <si>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</si>
  <si>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</si>
  <si>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</si>
  <si>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</si>
  <si>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</si>
  <si>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</si>
  <si>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</si>
  <si>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</si>
  <si>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</si>
  <si>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</si>
  <si>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</si>
  <si>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</si>
  <si>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</si>
  <si>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</si>
  <si>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</si>
  <si>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</si>
  <si>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</si>
  <si>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</si>
  <si>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</si>
  <si>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</si>
  <si>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</si>
  <si>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</si>
  <si>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</si>
  <si>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</si>
  <si>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</si>
  <si>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</si>
  <si>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</si>
  <si>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</si>
  <si>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</si>
  <si>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</si>
  <si>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</si>
  <si>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</si>
  <si>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</si>
  <si>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</si>
  <si>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</si>
  <si>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</si>
  <si>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</si>
  <si>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</si>
  <si>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</si>
  <si>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</si>
  <si>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</si>
  <si>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</si>
  <si>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</si>
  <si>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</si>
  <si>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</si>
  <si>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</si>
  <si>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</si>
  <si>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</si>
  <si>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</si>
  <si>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</si>
  <si>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</si>
  <si>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</si>
  <si>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</si>
  <si>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</si>
  <si>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</si>
  <si>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</si>
  <si>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</si>
  <si>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</si>
  <si>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</si>
  <si>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</si>
  <si>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</si>
  <si>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</si>
  <si>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</si>
  <si>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</si>
  <si>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</si>
  <si>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</si>
  <si>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</si>
  <si>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</si>
  <si>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</si>
  <si>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</si>
  <si>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</si>
  <si>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</si>
  <si>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</si>
  <si>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</si>
  <si>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</si>
  <si>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</si>
  <si>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</si>
  <si>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</si>
  <si>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</si>
  <si>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</si>
  <si>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</si>
  <si>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</si>
  <si>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</si>
  <si>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</si>
  <si>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</si>
  <si>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</si>
  <si>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</si>
  <si>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</si>
  <si>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</si>
  <si>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Avg. Rating</t>
  </si>
  <si>
    <t>Orders</t>
  </si>
  <si>
    <t>Count of TX ID</t>
  </si>
  <si>
    <t>Sum of Quantity</t>
  </si>
  <si>
    <t>Sum of Amount</t>
  </si>
  <si>
    <t>Average of Rating C</t>
  </si>
  <si>
    <t>Average of Days to Deliver</t>
  </si>
  <si>
    <t>Values for display</t>
  </si>
  <si>
    <t>Qty</t>
  </si>
  <si>
    <t>Avg. Days</t>
  </si>
  <si>
    <t>FOR TRENDS</t>
  </si>
  <si>
    <t>Row Labels</t>
  </si>
  <si>
    <t>Grand Total</t>
  </si>
  <si>
    <t>Column Labels</t>
  </si>
  <si>
    <t>Female</t>
  </si>
  <si>
    <t>Male</t>
  </si>
  <si>
    <t>Other</t>
  </si>
  <si>
    <t>Unknown</t>
  </si>
  <si>
    <t>for matrix</t>
  </si>
  <si>
    <t>MORE THAN 10</t>
  </si>
  <si>
    <t>3 to 10</t>
  </si>
  <si>
    <t>JAN</t>
  </si>
  <si>
    <t>FEB</t>
  </si>
  <si>
    <t>MAR</t>
  </si>
  <si>
    <t>Column1</t>
  </si>
  <si>
    <t>Column2</t>
  </si>
  <si>
    <t>Column3</t>
  </si>
  <si>
    <t>Column4</t>
  </si>
  <si>
    <t>Column5</t>
  </si>
  <si>
    <t>Column6</t>
  </si>
  <si>
    <t>Column7</t>
  </si>
  <si>
    <t>Column8</t>
  </si>
  <si>
    <t>Column9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</si>
</sst>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7" x14ac:knownFonts="1">
    <font>
      <sz val="11"/>
      <color theme="1"/>
      <name val="Gill Sans MT"/>
      <family val="2"/>
      <scheme val="minor"/>
    </font>
    <font>
      <sz val="11"/>
      <color theme="1"/>
      <name val="Gill Sans MT"/>
      <family val="2"/>
      <charset val="1"/>
      <scheme val="minor"/>
    </font>
    <font>
      <b/>
      <sz val="11"/>
      <color theme="1"/>
      <name val="Gill Sans MT"/>
      <family val="2"/>
      <scheme val="minor"/>
    </font>
    <font>
      <sz val="11"/>
      <color theme="9" tint="-0.249977111117893"/>
      <name val="Gill Sans MT"/>
      <family val="2"/>
      <scheme val="minor"/>
    </font>
    <font>
      <sz val="10"/>
      <color theme="1"/>
      <name val="Gill Sans MT"/>
      <family val="2"/>
      <scheme val="minor"/>
    </font>
    <font>
      <sz val="9"/>
      <color theme="1"/>
      <name val="Gill Sans MT"/>
      <family val="2"/>
      <scheme val="minor"/>
    </font>
    <font>
      <sz val="24"/>
      <color theme="1"/>
      <name val="Gill Sans MT"/>
      <family val="2"/>
      <scheme val="minor"/>
    </font>
  </fonts>
  <fills count="7">
    <fill>
      <patternFill patternType="none"/>
    </fill>
    <fill>
      <patternFill patternType="gray125"/>
    </fill>
    <fill>
      <patternFill patternType="solid">
        <fgColor theme="9"/>
        <bgColor indexed="64"/>
      </patternFill>
    </fill>
    <fill>
      <patternFill patternType="solid">
        <fgColor theme="5" tint="0.59999389629810485"/>
        <bgColor indexed="65"/>
      </patternFill>
    </fill>
    <fill>
      <patternFill patternType="solid">
        <fgColor theme="4" tint="-0.499984740745262"/>
        <bgColor indexed="64"/>
      </patternFill>
    </fill>
    <fill>
      <patternFill patternType="solid">
        <fgColor theme="8" tint="0.39997558519241921"/>
        <bgColor indexed="64"/>
      </patternFill>
    </fill>
    <fill>
      <patternFill patternType="solid">
        <fgColor theme="0"/>
        <bgColor indexed="64"/>
      </patternFill>
    </fill>
  </fills>
  <borders count="10">
    <border>
      <left/>
      <right/>
      <top/>
      <bottom/>
      <diagonal/>
    </border>
    <border>
      <left style="thin">
        <color theme="9"/>
      </left>
      <right style="thin">
        <color theme="9"/>
      </right>
      <top style="thin">
        <color theme="9"/>
      </top>
      <bottom style="thin">
        <color theme="9"/>
      </bottom>
      <diagonal/>
    </border>
    <border>
      <left style="thin">
        <color theme="9"/>
      </left>
      <right style="thin">
        <color theme="9"/>
      </right>
      <top/>
      <bottom/>
      <diagonal/>
    </border>
    <border>
      <left style="thin">
        <color theme="9"/>
      </left>
      <right style="thin">
        <color theme="9"/>
      </right>
      <top/>
      <bottom style="thin">
        <color theme="9"/>
      </bottom>
      <diagonal/>
    </border>
    <border>
      <left/>
      <right style="thin">
        <color theme="9"/>
      </right>
      <top style="thin">
        <color theme="9"/>
      </top>
      <bottom style="thin">
        <color theme="9"/>
      </bottom>
      <diagonal/>
    </border>
    <border>
      <left/>
      <right style="thin">
        <color theme="9"/>
      </right>
      <top/>
      <bottom/>
      <diagonal/>
    </border>
    <border>
      <left/>
      <right style="thin">
        <color theme="9"/>
      </right>
      <top/>
      <bottom style="thin">
        <color theme="9"/>
      </bottom>
      <diagonal/>
    </border>
    <border>
      <left style="thin">
        <color theme="9"/>
      </left>
      <right/>
      <top style="thin">
        <color theme="9"/>
      </top>
      <bottom style="thin">
        <color theme="9"/>
      </bottom>
      <diagonal/>
    </border>
    <border>
      <left style="thin">
        <color theme="9"/>
      </left>
      <right/>
      <top/>
      <bottom/>
      <diagonal/>
    </border>
    <border>
      <left style="thin">
        <color theme="9"/>
      </left>
      <right/>
      <top/>
      <bottom style="thin">
        <color theme="9"/>
      </bottom>
      <diagonal/>
    </border>
  </borders>
  <cellStyleXfs count="2">
    <xf numFmtId="0" fontId="0" fillId="0" borderId="0"/>
    <xf numFmtId="0" fontId="1" fillId="3" borderId="0" applyNumberFormat="0" applyBorder="0" applyAlignment="0" applyProtection="0"/>
  </cellStyleXfs>
  <cellXfs count="28">
    <xf numFmtId="0" fontId="0" fillId="0" borderId="0" xfId="0"/>
    <xf numFmtId="0" fontId="0" fillId="2" borderId="0" xfId="0" applyFill="1"/>
    <xf numFmtId="14" fontId="0" fillId="0" borderId="0" xfId="0" applyNumberFormat="1"/>
    <xf numFmtId="0" fontId="0" fillId="4" borderId="0" xfId="0" applyFill="1"/>
    <xf numFmtId="0" fontId="0" fillId="5"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0" fillId="6" borderId="0" xfId="0" applyFill="1"/>
    <xf numFmtId="165" fontId="1" fillId="6" borderId="0" xfId="1" applyNumberFormat="1" applyFill="1" applyBorder="1"/>
    <xf numFmtId="0" fontId="2" fillId="0" borderId="0" xfId="0" applyFont="1"/>
    <xf numFmtId="0" fontId="3" fillId="0" borderId="1" xfId="0" applyFont="1" applyBorder="1"/>
    <xf numFmtId="0" fontId="3" fillId="0" borderId="2" xfId="0" applyFont="1" applyBorder="1"/>
    <xf numFmtId="0" fontId="3" fillId="0" borderId="3" xfId="0" applyFont="1" applyBorder="1"/>
    <xf numFmtId="0" fontId="4" fillId="4" borderId="0" xfId="0" applyFont="1" applyFill="1"/>
    <xf numFmtId="0" fontId="5" fillId="4" borderId="0" xfId="0" applyFont="1" applyFill="1"/>
    <xf numFmtId="0" fontId="5" fillId="4" borderId="0" xfId="0" applyFont="1" applyFill="1" applyAlignment="1">
      <alignment horizontal="center"/>
    </xf>
    <xf numFmtId="10" fontId="0" fillId="6" borderId="0" xfId="0" applyNumberFormat="1" applyFill="1"/>
    <xf numFmtId="0" fontId="0" fillId="6" borderId="0" xfId="0" applyFill="1" applyAlignment="1">
      <alignment horizontal="left"/>
    </xf>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6" fillId="0" borderId="0" xfId="0" applyFont="1"/>
  </cellXfs>
  <cellStyles count="2">
    <cellStyle name="40% - Accent2" xfId="1" builtinId="35"/>
    <cellStyle name="Normal" xfId="0" builtinId="0"/>
  </cellStyles>
  <dxfs count="15">
    <dxf>
      <numFmt numFmtId="0" formatCode="General"/>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1"/>
        <color theme="9" tint="-0.249977111117893"/>
        <name val="Gill Sans MT"/>
        <family val="2"/>
        <scheme val="minor"/>
      </font>
      <border diagonalUp="0" diagonalDown="0">
        <left style="thin">
          <color theme="9"/>
        </left>
        <right/>
        <top/>
        <bottom/>
        <vertical/>
        <horizontal/>
      </border>
    </dxf>
    <dxf>
      <font>
        <b val="0"/>
        <i val="0"/>
        <strike val="0"/>
        <condense val="0"/>
        <extend val="0"/>
        <outline val="0"/>
        <shadow val="0"/>
        <u val="none"/>
        <vertAlign val="baseline"/>
        <sz val="11"/>
        <color theme="9" tint="-0.249977111117893"/>
        <name val="Gill Sans MT"/>
        <family val="2"/>
        <scheme val="minor"/>
      </font>
      <border diagonalUp="0" diagonalDown="0">
        <left style="thin">
          <color theme="9"/>
        </left>
        <right style="thin">
          <color theme="9"/>
        </right>
        <top/>
        <bottom/>
        <vertical/>
        <horizontal/>
      </border>
    </dxf>
    <dxf>
      <font>
        <b val="0"/>
        <i val="0"/>
        <strike val="0"/>
        <condense val="0"/>
        <extend val="0"/>
        <outline val="0"/>
        <shadow val="0"/>
        <u val="none"/>
        <vertAlign val="baseline"/>
        <sz val="11"/>
        <color theme="9" tint="-0.249977111117893"/>
        <name val="Gill Sans MT"/>
        <family val="2"/>
        <scheme val="minor"/>
      </font>
      <border diagonalUp="0" diagonalDown="0">
        <left style="thin">
          <color theme="9"/>
        </left>
        <right style="thin">
          <color theme="9"/>
        </right>
        <top/>
        <bottom/>
        <vertical/>
        <horizontal/>
      </border>
    </dxf>
    <dxf>
      <font>
        <b val="0"/>
        <i val="0"/>
        <strike val="0"/>
        <condense val="0"/>
        <extend val="0"/>
        <outline val="0"/>
        <shadow val="0"/>
        <u val="none"/>
        <vertAlign val="baseline"/>
        <sz val="11"/>
        <color theme="9" tint="-0.249977111117893"/>
        <name val="Gill Sans MT"/>
        <family val="2"/>
        <scheme val="minor"/>
      </font>
      <border diagonalUp="0" diagonalDown="0">
        <left style="thin">
          <color theme="9"/>
        </left>
        <right style="thin">
          <color theme="9"/>
        </right>
        <top/>
        <bottom/>
        <vertical/>
        <horizontal/>
      </border>
    </dxf>
    <dxf>
      <font>
        <b val="0"/>
        <i val="0"/>
        <strike val="0"/>
        <condense val="0"/>
        <extend val="0"/>
        <outline val="0"/>
        <shadow val="0"/>
        <u val="none"/>
        <vertAlign val="baseline"/>
        <sz val="11"/>
        <color theme="9" tint="-0.249977111117893"/>
        <name val="Gill Sans MT"/>
        <family val="2"/>
        <scheme val="minor"/>
      </font>
      <border diagonalUp="0" diagonalDown="0">
        <left style="thin">
          <color theme="9"/>
        </left>
        <right style="thin">
          <color theme="9"/>
        </right>
        <top/>
        <bottom/>
        <vertical/>
        <horizontal/>
      </border>
    </dxf>
    <dxf>
      <font>
        <b val="0"/>
        <i val="0"/>
        <strike val="0"/>
        <condense val="0"/>
        <extend val="0"/>
        <outline val="0"/>
        <shadow val="0"/>
        <u val="none"/>
        <vertAlign val="baseline"/>
        <sz val="11"/>
        <color theme="9" tint="-0.249977111117893"/>
        <name val="Gill Sans MT"/>
        <family val="2"/>
        <scheme val="minor"/>
      </font>
      <border diagonalUp="0" diagonalDown="0">
        <left/>
        <right style="thin">
          <color theme="9"/>
        </right>
        <top/>
        <bottom/>
        <vertical/>
        <horizontal/>
      </border>
    </dxf>
    <dxf>
      <border outline="0">
        <left style="thin">
          <color theme="9"/>
        </left>
        <right style="thin">
          <color theme="9"/>
        </right>
      </border>
    </dxf>
    <dxf>
      <font>
        <b val="0"/>
        <i val="0"/>
        <strike val="0"/>
        <condense val="0"/>
        <extend val="0"/>
        <outline val="0"/>
        <shadow val="0"/>
        <u val="none"/>
        <vertAlign val="baseline"/>
        <sz val="11"/>
        <color theme="9" tint="-0.249977111117893"/>
        <name val="Gill Sans MT"/>
        <family val="2"/>
        <scheme val="minor"/>
      </font>
      <border diagonalUp="0" diagonalDown="0" outline="0">
        <left style="thin">
          <color theme="9"/>
        </left>
        <right style="thin">
          <color theme="9"/>
        </right>
        <top/>
        <bottom/>
      </border>
    </dxf>
    <dxf>
      <fill>
        <patternFill>
          <bgColor theme="0"/>
        </patternFill>
      </fill>
    </dxf>
    <dxf>
      <fill>
        <patternFill>
          <bgColor theme="0"/>
        </patternFill>
      </fill>
    </dxf>
  </dxfs>
  <tableStyles count="0" defaultTableStyle="TableStyleMedium2" defaultPivotStyle="PivotStyleLight16"/>
  <colors>
    <mruColors>
      <color rgb="FF93FF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 sum!pivot sum</c:name>
    <c:fmtId val="2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t>Last</a:t>
            </a:r>
            <a:r>
              <a:rPr lang="en-IN" sz="2000" baseline="0"/>
              <a:t> 13 weeks trend</a:t>
            </a:r>
            <a:endParaRPr lang="en-IN"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sum'!$B$9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 sum'!$A$10:$A$23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 sum'!$B$10:$B$23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0CF-40F2-9EBE-11CFF9320D9E}"/>
            </c:ext>
          </c:extLst>
        </c:ser>
        <c:dLbls>
          <c:showLegendKey val="0"/>
          <c:showVal val="0"/>
          <c:showCatName val="0"/>
          <c:showSerName val="0"/>
          <c:showPercent val="0"/>
          <c:showBubbleSize val="0"/>
        </c:dLbls>
        <c:marker val="1"/>
        <c:smooth val="0"/>
        <c:axId val="483429295"/>
        <c:axId val="483422575"/>
      </c:lineChart>
      <c:lineChart>
        <c:grouping val="standard"/>
        <c:varyColors val="0"/>
        <c:ser>
          <c:idx val="1"/>
          <c:order val="1"/>
          <c:tx>
            <c:strRef>
              <c:f>'pivots sum'!$C$9</c:f>
              <c:strCache>
                <c:ptCount val="1"/>
                <c:pt idx="0">
                  <c:v>Sum of Amount</c:v>
                </c:pt>
              </c:strCache>
            </c:strRef>
          </c:tx>
          <c:spPr>
            <a:ln w="28575" cap="rnd">
              <a:solidFill>
                <a:schemeClr val="accent5"/>
              </a:solidFill>
              <a:round/>
            </a:ln>
            <a:effectLst/>
          </c:spPr>
          <c:marker>
            <c:symbol val="none"/>
          </c:marker>
          <c:cat>
            <c:strRef>
              <c:f>'pivots sum'!$A$10:$A$23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 sum'!$C$10:$C$23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0CF-40F2-9EBE-11CFF9320D9E}"/>
            </c:ext>
          </c:extLst>
        </c:ser>
        <c:dLbls>
          <c:showLegendKey val="0"/>
          <c:showVal val="0"/>
          <c:showCatName val="0"/>
          <c:showSerName val="0"/>
          <c:showPercent val="0"/>
          <c:showBubbleSize val="0"/>
        </c:dLbls>
        <c:marker val="1"/>
        <c:smooth val="0"/>
        <c:axId val="483441775"/>
        <c:axId val="483442255"/>
      </c:lineChart>
      <c:catAx>
        <c:axId val="48342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22575"/>
        <c:crosses val="autoZero"/>
        <c:auto val="1"/>
        <c:lblAlgn val="ctr"/>
        <c:lblOffset val="100"/>
        <c:noMultiLvlLbl val="0"/>
      </c:catAx>
      <c:valAx>
        <c:axId val="48342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29295"/>
        <c:crosses val="autoZero"/>
        <c:crossBetween val="between"/>
      </c:valAx>
      <c:valAx>
        <c:axId val="483442255"/>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1775"/>
        <c:crosses val="max"/>
        <c:crossBetween val="between"/>
      </c:valAx>
      <c:catAx>
        <c:axId val="483441775"/>
        <c:scaling>
          <c:orientation val="minMax"/>
        </c:scaling>
        <c:delete val="1"/>
        <c:axPos val="b"/>
        <c:numFmt formatCode="General" sourceLinked="1"/>
        <c:majorTickMark val="out"/>
        <c:minorTickMark val="none"/>
        <c:tickLblPos val="nextTo"/>
        <c:crossAx val="4834422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[ecommerce-blank.xlsx]Sheet6!PivotTable4</c:name>
    <c:fmtId val="9"/>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How</a:t>
            </a:r>
            <a:r>
              <a:rPr lang="en-US" sz="1800" baseline="0"/>
              <a:t> many they buy</a:t>
            </a: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Sheet6!$A$4:$A$8</c:f>
              <c:strCache>
                <c:ptCount val="4"/>
                <c:pt idx="0">
                  <c:v>1</c:v>
                </c:pt>
                <c:pt idx="1">
                  <c:v>2</c:v>
                </c:pt>
                <c:pt idx="2">
                  <c:v>3 to 10</c:v>
                </c:pt>
                <c:pt idx="3">
                  <c:v>MORE THAN 10</c:v>
                </c:pt>
              </c:strCache>
            </c:strRef>
          </c:cat>
          <c:val>
            <c:numRef>
              <c:f>Sheet6!$B$4:$B$8</c:f>
              <c:numCache>
                <c:formatCode>General</c:formatCode>
                <c:ptCount val="4"/>
                <c:pt idx="0">
                  <c:v>397</c:v>
                </c:pt>
                <c:pt idx="1">
                  <c:v>540</c:v>
                </c:pt>
                <c:pt idx="2">
                  <c:v>1401</c:v>
                </c:pt>
                <c:pt idx="3">
                  <c:v>62</c:v>
                </c:pt>
              </c:numCache>
            </c:numRef>
          </c:val>
          <c:extLst>
            <c:ext xmlns:c16="http://schemas.microsoft.com/office/drawing/2014/chart" uri="{C3380CC4-5D6E-409C-BE32-E72D297353CC}">
              <c16:uniqueId val="{00000000-26A7-41F1-994C-F9A72580A6B5}"/>
            </c:ext>
          </c:extLst>
        </c:ser>
        <c:dLbls>
          <c:dLblPos val="outEnd"/>
          <c:showLegendKey val="0"/>
          <c:showVal val="1"/>
          <c:showCatName val="0"/>
          <c:showSerName val="0"/>
          <c:showPercent val="0"/>
          <c:showBubbleSize val="0"/>
        </c:dLbls>
        <c:gapWidth val="100"/>
        <c:overlap val="-24"/>
        <c:axId val="483416335"/>
        <c:axId val="483421135"/>
      </c:barChart>
      <c:catAx>
        <c:axId val="483416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421135"/>
        <c:crosses val="autoZero"/>
        <c:auto val="1"/>
        <c:lblAlgn val="ctr"/>
        <c:lblOffset val="100"/>
        <c:noMultiLvlLbl val="0"/>
      </c:catAx>
      <c:valAx>
        <c:axId val="48342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41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[ecommerce-blank.xlsx]Sheet7!PivotTable5</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Which products are popular</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strCache>
            </c:strRef>
          </c:tx>
          <c:spPr>
            <a:solidFill>
              <a:schemeClr val="accent2"/>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Sheet7!$B$5:$B$25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8945-4349-B85D-D579100C3F0B}"/>
            </c:ext>
          </c:extLst>
        </c:ser>
        <c:ser>
          <c:idx val="1"/>
          <c:order val="1"/>
          <c:tx>
            <c:strRef>
              <c:f>Sheet7!$C$3:$C$4</c:f>
              <c:strCache>
                <c:ptCount val="1"/>
                <c:pt idx="0">
                  <c:v>F</c:v>
                </c:pt>
              </c:strCache>
            </c:strRef>
          </c:tx>
          <c:spPr>
            <a:solidFill>
              <a:schemeClr val="accent4"/>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4-D1AD-4DCF-B27F-DFE52357E1BA}"/>
            </c:ext>
          </c:extLst>
        </c:ser>
        <c:ser>
          <c:idx val="2"/>
          <c:order val="2"/>
          <c:tx>
            <c:strRef>
              <c:f>Sheet7!$D$3:$D$4</c:f>
              <c:strCache>
                <c:ptCount val="1"/>
                <c:pt idx="0">
                  <c:v>M</c:v>
                </c:pt>
              </c:strCache>
            </c:strRef>
          </c:tx>
          <c:spPr>
            <a:solidFill>
              <a:schemeClr val="accent6"/>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Sheet7!$D$5:$D$25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D1AD-4DCF-B27F-DFE52357E1BA}"/>
            </c:ext>
          </c:extLst>
        </c:ser>
        <c:ser>
          <c:idx val="3"/>
          <c:order val="3"/>
          <c:tx>
            <c:strRef>
              <c:f>Sheet7!$E$3:$E$4</c:f>
              <c:strCache>
                <c:ptCount val="1"/>
                <c:pt idx="0">
                  <c:v>O</c:v>
                </c:pt>
              </c:strCache>
            </c:strRef>
          </c:tx>
          <c:spPr>
            <a:solidFill>
              <a:schemeClr val="accent2">
                <a:lumMod val="60000"/>
              </a:schemeClr>
            </a:solidFill>
            <a:ln>
              <a:no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Sheet7!$E$5:$E$25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D1AD-4DCF-B27F-DFE52357E1BA}"/>
            </c:ext>
          </c:extLst>
        </c:ser>
        <c:dLbls>
          <c:showLegendKey val="0"/>
          <c:showVal val="0"/>
          <c:showCatName val="0"/>
          <c:showSerName val="0"/>
          <c:showPercent val="0"/>
          <c:showBubbleSize val="0"/>
        </c:dLbls>
        <c:gapWidth val="150"/>
        <c:overlap val="100"/>
        <c:axId val="595216479"/>
        <c:axId val="595214559"/>
      </c:barChart>
      <c:catAx>
        <c:axId val="595216479"/>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14559"/>
        <c:crosses val="autoZero"/>
        <c:auto val="1"/>
        <c:lblAlgn val="ctr"/>
        <c:lblOffset val="100"/>
        <c:noMultiLvlLbl val="0"/>
      </c:catAx>
      <c:valAx>
        <c:axId val="595214559"/>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1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[ecommerce-blank.xlsx]Sheet7!PivotTable6</c:name>
    <c:fmtId val="4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cene3d>
            <a:camera prst="orthographicFront">
              <a:rot lat="0" lon="0" rev="0"/>
            </a:camera>
            <a:lightRig rig="threePt" dir="t"/>
          </a:scene3d>
          <a:sp3d>
            <a:bevelT w="254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cene3d>
            <a:camera prst="orthographicFront">
              <a:rot lat="0" lon="0" rev="0"/>
            </a:camera>
            <a:lightRig rig="threePt" dir="t"/>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cene3d>
            <a:camera prst="orthographicFront">
              <a:rot lat="0" lon="0" rev="0"/>
            </a:camera>
            <a:lightRig rig="threePt" dir="t"/>
          </a:scene3d>
          <a:sp3d>
            <a:bevelT w="25400" h="12700"/>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cene3d>
            <a:camera prst="orthographicFront">
              <a:rot lat="0" lon="0" rev="0"/>
            </a:camera>
            <a:lightRig rig="threePt" dir="t"/>
          </a:scene3d>
          <a:sp3d>
            <a:bevelT w="25400" h="12700"/>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cene3d>
            <a:camera prst="orthographicFront">
              <a:rot lat="0" lon="0" rev="0"/>
            </a:camera>
            <a:lightRig rig="threePt" dir="t"/>
          </a:scene3d>
          <a:sp3d>
            <a:bevelT w="25400" h="12700"/>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cene3d>
            <a:camera prst="orthographicFront">
              <a:rot lat="0" lon="0" rev="0"/>
            </a:camera>
            <a:lightRig rig="threePt" dir="t"/>
          </a:scene3d>
          <a:sp3d>
            <a:bevelT w="25400" h="12700"/>
          </a:sp3d>
        </c:spPr>
      </c:pivotFmt>
      <c:pivotFmt>
        <c:idx val="6"/>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c:spPr>
      </c:pivotFmt>
      <c:pivotFmt>
        <c:idx val="8"/>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c:spPr>
      </c:pivotFmt>
      <c:pivotFmt>
        <c:idx val="9"/>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c:spPr>
      </c:pivotFmt>
      <c:pivotFmt>
        <c:idx val="10"/>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c:spPr>
      </c:pivotFmt>
    </c:pivotFmts>
    <c:plotArea>
      <c:layout/>
      <c:doughnutChart>
        <c:varyColors val="1"/>
        <c:ser>
          <c:idx val="0"/>
          <c:order val="0"/>
          <c:tx>
            <c:strRef>
              <c:f>Sheet7!$K$4</c:f>
              <c:strCache>
                <c:ptCount val="1"/>
                <c:pt idx="0">
                  <c:v>Total</c:v>
                </c:pt>
              </c:strCache>
            </c:strRef>
          </c:tx>
          <c:dPt>
            <c:idx val="0"/>
            <c:bubble3D val="0"/>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c:spPr>
            <c:extLst>
              <c:ext xmlns:c16="http://schemas.microsoft.com/office/drawing/2014/chart" uri="{C3380CC4-5D6E-409C-BE32-E72D297353CC}">
                <c16:uniqueId val="{00000001-338A-4CC2-A204-98A45C52A6CC}"/>
              </c:ext>
            </c:extLst>
          </c:dPt>
          <c:dPt>
            <c:idx val="1"/>
            <c:bubble3D val="0"/>
            <c:spPr>
              <a:gradFill rotWithShape="1">
                <a:gsLst>
                  <a:gs pos="0">
                    <a:schemeClr val="accent5">
                      <a:tint val="97000"/>
                      <a:satMod val="100000"/>
                      <a:lumMod val="102000"/>
                    </a:schemeClr>
                  </a:gs>
                  <a:gs pos="50000">
                    <a:schemeClr val="accent5">
                      <a:shade val="100000"/>
                      <a:satMod val="103000"/>
                      <a:lumMod val="100000"/>
                    </a:schemeClr>
                  </a:gs>
                  <a:gs pos="100000">
                    <a:schemeClr val="accent5">
                      <a:shade val="93000"/>
                      <a:satMod val="110000"/>
                      <a:lumMod val="99000"/>
                    </a:schemeClr>
                  </a:gs>
                </a:gsLst>
                <a:lin ang="5400000" scaled="0"/>
              </a:gradFill>
              <a:ln>
                <a:noFill/>
              </a:ln>
              <a:effectLst/>
            </c:spPr>
            <c:extLst>
              <c:ext xmlns:c16="http://schemas.microsoft.com/office/drawing/2014/chart" uri="{C3380CC4-5D6E-409C-BE32-E72D297353CC}">
                <c16:uniqueId val="{00000003-338A-4CC2-A204-98A45C52A6CC}"/>
              </c:ext>
            </c:extLst>
          </c:dPt>
          <c:dPt>
            <c:idx val="2"/>
            <c:bubble3D val="0"/>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c:spPr>
            <c:extLst>
              <c:ext xmlns:c16="http://schemas.microsoft.com/office/drawing/2014/chart" uri="{C3380CC4-5D6E-409C-BE32-E72D297353CC}">
                <c16:uniqueId val="{00000005-338A-4CC2-A204-98A45C52A6CC}"/>
              </c:ext>
            </c:extLst>
          </c:dPt>
          <c:dPt>
            <c:idx val="3"/>
            <c:bubble3D val="0"/>
            <c:spPr>
              <a:gradFill rotWithShape="1">
                <a:gsLst>
                  <a:gs pos="0">
                    <a:schemeClr val="accent6">
                      <a:lumMod val="60000"/>
                      <a:tint val="97000"/>
                      <a:satMod val="100000"/>
                      <a:lumMod val="102000"/>
                    </a:schemeClr>
                  </a:gs>
                  <a:gs pos="50000">
                    <a:schemeClr val="accent6">
                      <a:lumMod val="60000"/>
                      <a:shade val="100000"/>
                      <a:satMod val="103000"/>
                      <a:lumMod val="100000"/>
                    </a:schemeClr>
                  </a:gs>
                  <a:gs pos="100000">
                    <a:schemeClr val="accent6">
                      <a:lumMod val="60000"/>
                      <a:shade val="93000"/>
                      <a:satMod val="110000"/>
                      <a:lumMod val="99000"/>
                    </a:schemeClr>
                  </a:gs>
                </a:gsLst>
                <a:lin ang="5400000" scaled="0"/>
              </a:gradFill>
              <a:ln>
                <a:noFill/>
              </a:ln>
              <a:effectLst/>
            </c:spPr>
            <c:extLst>
              <c:ext xmlns:c16="http://schemas.microsoft.com/office/drawing/2014/chart" uri="{C3380CC4-5D6E-409C-BE32-E72D297353CC}">
                <c16:uniqueId val="{00000007-338A-4CC2-A204-98A45C52A6CC}"/>
              </c:ext>
            </c:extLst>
          </c:dPt>
          <c:cat>
            <c:strRef>
              <c:f>Sheet7!$J$5:$J$9</c:f>
              <c:strCache>
                <c:ptCount val="4"/>
                <c:pt idx="0">
                  <c:v>Female</c:v>
                </c:pt>
                <c:pt idx="1">
                  <c:v>Male</c:v>
                </c:pt>
                <c:pt idx="2">
                  <c:v>Other</c:v>
                </c:pt>
                <c:pt idx="3">
                  <c:v>Unknown</c:v>
                </c:pt>
              </c:strCache>
            </c:strRef>
          </c:cat>
          <c:val>
            <c:numRef>
              <c:f>Sheet7!$K$5:$K$9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38A-4CC2-A204-98A45C52A6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alpha val="92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[ecommerce-blank.xlsx]Sheet9!PivotTable10</c:name>
    <c:fmtId val="1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how</a:t>
            </a:r>
            <a:r>
              <a:rPr lang="en-US" sz="1800" baseline="0"/>
              <a:t> long we take to ship</a:t>
            </a:r>
            <a:endParaRPr lang="en-US" sz="1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Total</c:v>
                </c:pt>
              </c:strCache>
            </c:strRef>
          </c:tx>
          <c:spPr>
            <a:gradFill rotWithShape="1">
              <a:gsLst>
                <a:gs pos="0">
                  <a:schemeClr val="accent6">
                    <a:tint val="97000"/>
                    <a:satMod val="100000"/>
                    <a:lumMod val="102000"/>
                  </a:schemeClr>
                </a:gs>
                <a:gs pos="50000">
                  <a:schemeClr val="accent6">
                    <a:shade val="100000"/>
                    <a:satMod val="103000"/>
                    <a:lumMod val="100000"/>
                  </a:schemeClr>
                </a:gs>
                <a:gs pos="100000">
                  <a:schemeClr val="accent6">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Sheet9!$A$4:$A$19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Sheet9!$B$4:$B$19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2D0-433A-9CB0-03F0A59B2D85}"/>
            </c:ext>
          </c:extLst>
        </c:ser>
        <c:dLbls>
          <c:showLegendKey val="0"/>
          <c:showVal val="0"/>
          <c:showCatName val="0"/>
          <c:showSerName val="0"/>
          <c:showPercent val="0"/>
          <c:showBubbleSize val="0"/>
        </c:dLbls>
        <c:gapWidth val="55"/>
        <c:overlap val="100"/>
        <c:axId val="480755039"/>
        <c:axId val="480757919"/>
      </c:barChart>
      <c:catAx>
        <c:axId val="4807550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7919"/>
        <c:crosses val="autoZero"/>
        <c:auto val="1"/>
        <c:lblAlgn val="ctr"/>
        <c:lblOffset val="100"/>
        <c:noMultiLvlLbl val="0"/>
      </c:catAx>
      <c:valAx>
        <c:axId val="48075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5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[ecommerce-blank.xlsx]Sheet10!PivotTable12</c:name>
    <c:fmtId val="6"/>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t>How</a:t>
            </a:r>
            <a:r>
              <a:rPr lang="en-IN" sz="1800" baseline="0"/>
              <a:t> satisfied are our customers</a:t>
            </a:r>
            <a:endParaRPr lang="en-IN" sz="1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1</c:v>
                </c:pt>
              </c:strCache>
            </c:strRef>
          </c:tx>
          <c:spPr>
            <a:gradFill rotWithShape="1">
              <a:gsLst>
                <a:gs pos="0">
                  <a:schemeClr val="accent1">
                    <a:tint val="97000"/>
                    <a:satMod val="100000"/>
                    <a:lumMod val="102000"/>
                  </a:schemeClr>
                </a:gs>
                <a:gs pos="50000">
                  <a:schemeClr val="accent1">
                    <a:shade val="100000"/>
                    <a:satMod val="103000"/>
                    <a:lumMod val="100000"/>
                  </a:schemeClr>
                </a:gs>
                <a:gs pos="100000">
                  <a:schemeClr val="accent1">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Sheet10!$A$5:$A$8</c:f>
              <c:strCache>
                <c:ptCount val="3"/>
                <c:pt idx="0">
                  <c:v>JAN</c:v>
                </c:pt>
                <c:pt idx="1">
                  <c:v>FEB</c:v>
                </c:pt>
                <c:pt idx="2">
                  <c:v>MAR</c:v>
                </c:pt>
              </c:strCache>
            </c:strRef>
          </c:cat>
          <c:val>
            <c:numRef>
              <c:f>Sheet10!$B$5:$B$8</c:f>
              <c:numCache>
                <c:formatCode>General</c:formatCode>
                <c:ptCount val="3"/>
                <c:pt idx="0">
                  <c:v>7</c:v>
                </c:pt>
                <c:pt idx="1">
                  <c:v>8</c:v>
                </c:pt>
                <c:pt idx="2">
                  <c:v>6</c:v>
                </c:pt>
              </c:numCache>
            </c:numRef>
          </c:val>
          <c:extLst>
            <c:ext xmlns:c16="http://schemas.microsoft.com/office/drawing/2014/chart" uri="{C3380CC4-5D6E-409C-BE32-E72D297353CC}">
              <c16:uniqueId val="{00000000-9A40-45B6-95BB-6F5144BE8EC2}"/>
            </c:ext>
          </c:extLst>
        </c:ser>
        <c:ser>
          <c:idx val="1"/>
          <c:order val="1"/>
          <c:tx>
            <c:strRef>
              <c:f>Sheet10!$C$3:$C$4</c:f>
              <c:strCache>
                <c:ptCount val="1"/>
                <c:pt idx="0">
                  <c:v>2</c:v>
                </c:pt>
              </c:strCache>
            </c:strRef>
          </c:tx>
          <c:spPr>
            <a:gradFill rotWithShape="1">
              <a:gsLst>
                <a:gs pos="0">
                  <a:schemeClr val="accent2">
                    <a:tint val="97000"/>
                    <a:satMod val="100000"/>
                    <a:lumMod val="102000"/>
                  </a:schemeClr>
                </a:gs>
                <a:gs pos="50000">
                  <a:schemeClr val="accent2">
                    <a:shade val="100000"/>
                    <a:satMod val="103000"/>
                    <a:lumMod val="100000"/>
                  </a:schemeClr>
                </a:gs>
                <a:gs pos="100000">
                  <a:schemeClr val="accent2">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Sheet10!$A$5:$A$8</c:f>
              <c:strCache>
                <c:ptCount val="3"/>
                <c:pt idx="0">
                  <c:v>JAN</c:v>
                </c:pt>
                <c:pt idx="1">
                  <c:v>FEB</c:v>
                </c:pt>
                <c:pt idx="2">
                  <c:v>MAR</c:v>
                </c:pt>
              </c:strCache>
            </c:strRef>
          </c:cat>
          <c:val>
            <c:numRef>
              <c:f>Sheet10!$C$5:$C$8</c:f>
              <c:numCache>
                <c:formatCode>General</c:formatCode>
                <c:ptCount val="3"/>
                <c:pt idx="0">
                  <c:v>37</c:v>
                </c:pt>
                <c:pt idx="1">
                  <c:v>51</c:v>
                </c:pt>
                <c:pt idx="2">
                  <c:v>39</c:v>
                </c:pt>
              </c:numCache>
            </c:numRef>
          </c:val>
          <c:extLst>
            <c:ext xmlns:c16="http://schemas.microsoft.com/office/drawing/2014/chart" uri="{C3380CC4-5D6E-409C-BE32-E72D297353CC}">
              <c16:uniqueId val="{00000001-9A40-45B6-95BB-6F5144BE8EC2}"/>
            </c:ext>
          </c:extLst>
        </c:ser>
        <c:ser>
          <c:idx val="2"/>
          <c:order val="2"/>
          <c:tx>
            <c:strRef>
              <c:f>Sheet10!$D$3:$D$4</c:f>
              <c:strCache>
                <c:ptCount val="1"/>
                <c:pt idx="0">
                  <c:v>3</c:v>
                </c:pt>
              </c:strCache>
            </c:strRef>
          </c:tx>
          <c:spPr>
            <a:gradFill rotWithShape="1">
              <a:gsLst>
                <a:gs pos="0">
                  <a:schemeClr val="accent3">
                    <a:tint val="97000"/>
                    <a:satMod val="100000"/>
                    <a:lumMod val="102000"/>
                  </a:schemeClr>
                </a:gs>
                <a:gs pos="50000">
                  <a:schemeClr val="accent3">
                    <a:shade val="100000"/>
                    <a:satMod val="103000"/>
                    <a:lumMod val="100000"/>
                  </a:schemeClr>
                </a:gs>
                <a:gs pos="100000">
                  <a:schemeClr val="accent3">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Sheet10!$A$5:$A$8</c:f>
              <c:strCache>
                <c:ptCount val="3"/>
                <c:pt idx="0">
                  <c:v>JAN</c:v>
                </c:pt>
                <c:pt idx="1">
                  <c:v>FEB</c:v>
                </c:pt>
                <c:pt idx="2">
                  <c:v>MAR</c:v>
                </c:pt>
              </c:strCache>
            </c:strRef>
          </c:cat>
          <c:val>
            <c:numRef>
              <c:f>Sheet10!$D$5:$D$8</c:f>
              <c:numCache>
                <c:formatCode>General</c:formatCode>
                <c:ptCount val="3"/>
                <c:pt idx="0">
                  <c:v>150</c:v>
                </c:pt>
                <c:pt idx="1">
                  <c:v>182</c:v>
                </c:pt>
                <c:pt idx="2">
                  <c:v>163</c:v>
                </c:pt>
              </c:numCache>
            </c:numRef>
          </c:val>
          <c:extLst>
            <c:ext xmlns:c16="http://schemas.microsoft.com/office/drawing/2014/chart" uri="{C3380CC4-5D6E-409C-BE32-E72D297353CC}">
              <c16:uniqueId val="{00000002-9A40-45B6-95BB-6F5144BE8EC2}"/>
            </c:ext>
          </c:extLst>
        </c:ser>
        <c:ser>
          <c:idx val="3"/>
          <c:order val="3"/>
          <c:tx>
            <c:strRef>
              <c:f>Sheet10!$E$3:$E$4</c:f>
              <c:strCache>
                <c:ptCount val="1"/>
                <c:pt idx="0">
                  <c:v>4</c:v>
                </c:pt>
              </c:strCache>
            </c:strRef>
          </c:tx>
          <c:spPr>
            <a:gradFill rotWithShape="1">
              <a:gsLst>
                <a:gs pos="0">
                  <a:schemeClr val="accent4">
                    <a:tint val="97000"/>
                    <a:satMod val="100000"/>
                    <a:lumMod val="102000"/>
                  </a:schemeClr>
                </a:gs>
                <a:gs pos="50000">
                  <a:schemeClr val="accent4">
                    <a:shade val="100000"/>
                    <a:satMod val="103000"/>
                    <a:lumMod val="100000"/>
                  </a:schemeClr>
                </a:gs>
                <a:gs pos="100000">
                  <a:schemeClr val="accent4">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Sheet10!$A$5:$A$8</c:f>
              <c:strCache>
                <c:ptCount val="3"/>
                <c:pt idx="0">
                  <c:v>JAN</c:v>
                </c:pt>
                <c:pt idx="1">
                  <c:v>FEB</c:v>
                </c:pt>
                <c:pt idx="2">
                  <c:v>MAR</c:v>
                </c:pt>
              </c:strCache>
            </c:strRef>
          </c:cat>
          <c:val>
            <c:numRef>
              <c:f>Sheet10!$E$5:$E$8</c:f>
              <c:numCache>
                <c:formatCode>General</c:formatCode>
                <c:ptCount val="3"/>
                <c:pt idx="0">
                  <c:v>312</c:v>
                </c:pt>
                <c:pt idx="1">
                  <c:v>373</c:v>
                </c:pt>
                <c:pt idx="2">
                  <c:v>351</c:v>
                </c:pt>
              </c:numCache>
            </c:numRef>
          </c:val>
          <c:extLst>
            <c:ext xmlns:c16="http://schemas.microsoft.com/office/drawing/2014/chart" uri="{C3380CC4-5D6E-409C-BE32-E72D297353CC}">
              <c16:uniqueId val="{00000002-079D-4792-807F-EA3A4292FF6F}"/>
            </c:ext>
          </c:extLst>
        </c:ser>
        <c:ser>
          <c:idx val="4"/>
          <c:order val="4"/>
          <c:tx>
            <c:strRef>
              <c:f>Sheet10!$F$3:$F$4</c:f>
              <c:strCache>
                <c:ptCount val="1"/>
                <c:pt idx="0">
                  <c:v>5</c:v>
                </c:pt>
              </c:strCache>
            </c:strRef>
          </c:tx>
          <c:spPr>
            <a:gradFill rotWithShape="1">
              <a:gsLst>
                <a:gs pos="0">
                  <a:schemeClr val="accent5">
                    <a:tint val="97000"/>
                    <a:satMod val="100000"/>
                    <a:lumMod val="102000"/>
                  </a:schemeClr>
                </a:gs>
                <a:gs pos="50000">
                  <a:schemeClr val="accent5">
                    <a:shade val="100000"/>
                    <a:satMod val="103000"/>
                    <a:lumMod val="100000"/>
                  </a:schemeClr>
                </a:gs>
                <a:gs pos="100000">
                  <a:schemeClr val="accent5">
                    <a:shade val="93000"/>
                    <a:satMod val="110000"/>
                    <a:lumMod val="99000"/>
                  </a:schemeClr>
                </a:gs>
              </a:gsLst>
              <a:lin ang="5400000" scaled="0"/>
            </a:gradFill>
            <a:ln>
              <a:noFill/>
            </a:ln>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c:spPr>
          <c:invertIfNegative val="0"/>
          <c:cat>
            <c:strRef>
              <c:f>Sheet10!$A$5:$A$8</c:f>
              <c:strCache>
                <c:ptCount val="3"/>
                <c:pt idx="0">
                  <c:v>JAN</c:v>
                </c:pt>
                <c:pt idx="1">
                  <c:v>FEB</c:v>
                </c:pt>
                <c:pt idx="2">
                  <c:v>MAR</c:v>
                </c:pt>
              </c:strCache>
            </c:strRef>
          </c:cat>
          <c:val>
            <c:numRef>
              <c:f>Sheet10!$F$5:$F$8</c:f>
              <c:numCache>
                <c:formatCode>General</c:formatCode>
                <c:ptCount val="3"/>
                <c:pt idx="0">
                  <c:v>224</c:v>
                </c:pt>
                <c:pt idx="1">
                  <c:v>247</c:v>
                </c:pt>
                <c:pt idx="2">
                  <c:v>250</c:v>
                </c:pt>
              </c:numCache>
            </c:numRef>
          </c:val>
          <c:extLst>
            <c:ext xmlns:c16="http://schemas.microsoft.com/office/drawing/2014/chart" uri="{C3380CC4-5D6E-409C-BE32-E72D297353CC}">
              <c16:uniqueId val="{00000004-079D-4792-807F-EA3A4292FF6F}"/>
            </c:ext>
          </c:extLst>
        </c:ser>
        <c:dLbls>
          <c:showLegendKey val="0"/>
          <c:showVal val="0"/>
          <c:showCatName val="0"/>
          <c:showSerName val="0"/>
          <c:showPercent val="0"/>
          <c:showBubbleSize val="0"/>
        </c:dLbls>
        <c:gapWidth val="100"/>
        <c:overlap val="-24"/>
        <c:axId val="657102463"/>
        <c:axId val="657102943"/>
      </c:barChart>
      <c:catAx>
        <c:axId val="657102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102943"/>
        <c:crosses val="autoZero"/>
        <c:auto val="1"/>
        <c:lblAlgn val="ctr"/>
        <c:lblOffset val="100"/>
        <c:noMultiLvlLbl val="0"/>
      </c:catAx>
      <c:valAx>
        <c:axId val="65710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10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Surface>
          <cx:spPr>
            <a:blipFill>
              <a:blip r:embed="rId1"/>
              <a:tile tx="0" ty="0" sx="100000" sy="100000" flip="none" algn="tl"/>
            </a:blipFill>
          </cx:spPr>
        </cx:plotSurface>
      </cx:plotAreaRegion>
    </cx:plotArea>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510540</xdr:colOff>
      <xdr:row>12</xdr:row>
      <xdr:rowOff>0</xdr:rowOff>
    </xdr:from>
    <xdr:to>
      <xdr:col>9</xdr:col>
      <xdr:colOff>0</xdr:colOff>
      <xdr:row>22</xdr:row>
      <xdr:rowOff>83820</xdr:rowOff>
    </xdr:to>
    <mc:AlternateContent xmlns:mc="http://schemas.openxmlformats.org/markup-compatibility/2006">
      <mc:Choice xmlns:cx1="http://schemas.microsoft.com/office/drawing/2015/9/8/chartex" Requires="cx1">
        <xdr:graphicFrame macro="">
          <xdr:nvGraphicFramePr>
            <xdr:cNvPr id="4" name="Chart 1">
              <a:extLst>
                <a:ext uri="{FF2B5EF4-FFF2-40B4-BE49-F238E27FC236}">
                  <a16:creationId xmlns:a16="http://schemas.microsoft.com/office/drawing/2014/main" id="{F1E50583-C7B4-1B1A-813D-B34EED098B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23460" y="2103120"/>
              <a:ext cx="3870960" cy="1836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10886</xdr:rowOff>
    </xdr:from>
    <xdr:to>
      <xdr:col>29</xdr:col>
      <xdr:colOff>0</xdr:colOff>
      <xdr:row>43</xdr:row>
      <xdr:rowOff>0</xdr:rowOff>
    </xdr:to>
    <xdr:sp macro="" textlink="">
      <xdr:nvSpPr>
        <xdr:cNvPr id="16" name="Rectangle 15">
          <a:extLst>
            <a:ext uri="{FF2B5EF4-FFF2-40B4-BE49-F238E27FC236}">
              <a16:creationId xmlns:a16="http://schemas.microsoft.com/office/drawing/2014/main" id="{03FB58EB-C36F-7E96-1B56-30E0A7BCA6E9}"/>
            </a:ext>
          </a:extLst>
        </xdr:cNvPr>
        <xdr:cNvSpPr/>
      </xdr:nvSpPr>
      <xdr:spPr>
        <a:xfrm>
          <a:off x="57150" y="10886"/>
          <a:ext cx="17804130" cy="9818914"/>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3</xdr:col>
      <xdr:colOff>7620</xdr:colOff>
      <xdr:row>43</xdr:row>
      <xdr:rowOff>0</xdr:rowOff>
    </xdr:to>
    <xdr:sp macro="" textlink="">
      <xdr:nvSpPr>
        <xdr:cNvPr id="2" name="Rectangle 1">
          <a:extLst>
            <a:ext uri="{FF2B5EF4-FFF2-40B4-BE49-F238E27FC236}">
              <a16:creationId xmlns:a16="http://schemas.microsoft.com/office/drawing/2014/main" id="{6EFE871E-4F13-7F3B-E6C3-3E0B400AEBC4}"/>
            </a:ext>
          </a:extLst>
        </xdr:cNvPr>
        <xdr:cNvSpPr/>
      </xdr:nvSpPr>
      <xdr:spPr>
        <a:xfrm>
          <a:off x="7620" y="0"/>
          <a:ext cx="2011680" cy="982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a:p>
      </xdr:txBody>
    </xdr:sp>
    <xdr:clientData/>
  </xdr:twoCellAnchor>
  <xdr:twoCellAnchor>
    <xdr:from>
      <xdr:col>3</xdr:col>
      <xdr:colOff>7076</xdr:colOff>
      <xdr:row>0</xdr:row>
      <xdr:rowOff>10886</xdr:rowOff>
    </xdr:from>
    <xdr:to>
      <xdr:col>29</xdr:col>
      <xdr:colOff>0</xdr:colOff>
      <xdr:row>43</xdr:row>
      <xdr:rowOff>0</xdr:rowOff>
    </xdr:to>
    <xdr:sp macro="" textlink="">
      <xdr:nvSpPr>
        <xdr:cNvPr id="3" name="Rectangle 2">
          <a:extLst>
            <a:ext uri="{FF2B5EF4-FFF2-40B4-BE49-F238E27FC236}">
              <a16:creationId xmlns:a16="http://schemas.microsoft.com/office/drawing/2014/main" id="{E60574B7-B3F1-D88B-C6D8-457C8596A05E}"/>
            </a:ext>
          </a:extLst>
        </xdr:cNvPr>
        <xdr:cNvSpPr/>
      </xdr:nvSpPr>
      <xdr:spPr>
        <a:xfrm>
          <a:off x="2031819" y="10886"/>
          <a:ext cx="15842524" cy="9818914"/>
        </a:xfrm>
        <a:prstGeom prst="rect">
          <a:avLst/>
        </a:prstGeom>
        <a:solidFill>
          <a:schemeClr val="accent5">
            <a:lumMod val="60000"/>
            <a:lumOff val="40000"/>
          </a:schemeClr>
        </a:solidFill>
        <a:ln>
          <a:noFill/>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  </a:t>
          </a:r>
        </a:p>
      </xdr:txBody>
    </xdr:sp>
    <xdr:clientData/>
  </xdr:twoCellAnchor>
  <xdr:twoCellAnchor>
    <xdr:from>
      <xdr:col>0</xdr:col>
      <xdr:colOff>0</xdr:colOff>
      <xdr:row>1</xdr:row>
      <xdr:rowOff>194161</xdr:rowOff>
    </xdr:from>
    <xdr:to>
      <xdr:col>5</xdr:col>
      <xdr:colOff>0</xdr:colOff>
      <xdr:row>20</xdr:row>
      <xdr:rowOff>90079</xdr:rowOff>
    </xdr:to>
    <xdr:grpSp>
      <xdr:nvGrpSpPr>
        <xdr:cNvPr id="36" name="Group 35">
          <a:extLst>
            <a:ext uri="{FF2B5EF4-FFF2-40B4-BE49-F238E27FC236}">
              <a16:creationId xmlns:a16="http://schemas.microsoft.com/office/drawing/2014/main" id="{16235FA3-2B86-E0BE-4E18-E77DC88D68E5}"/>
            </a:ext>
          </a:extLst>
        </xdr:cNvPr>
        <xdr:cNvGrpSpPr/>
      </xdr:nvGrpSpPr>
      <xdr:grpSpPr>
        <a:xfrm>
          <a:off x="0" y="422761"/>
          <a:ext cx="3230880" cy="4467918"/>
          <a:chOff x="335280" y="197378"/>
          <a:chExt cx="1856417" cy="3926423"/>
        </a:xfrm>
      </xdr:grpSpPr>
      <xdr:sp macro="" textlink="'pivots sum'!G4">
        <xdr:nvSpPr>
          <xdr:cNvPr id="4" name="TextBox 3">
            <a:extLst>
              <a:ext uri="{FF2B5EF4-FFF2-40B4-BE49-F238E27FC236}">
                <a16:creationId xmlns:a16="http://schemas.microsoft.com/office/drawing/2014/main" id="{0443CC6B-71E2-0566-8992-6E489D506ED1}"/>
              </a:ext>
            </a:extLst>
          </xdr:cNvPr>
          <xdr:cNvSpPr txBox="1"/>
        </xdr:nvSpPr>
        <xdr:spPr>
          <a:xfrm>
            <a:off x="348782" y="512738"/>
            <a:ext cx="1005840" cy="344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3ABDFDC-98E6-46EE-8236-FF43441B0DC1}" type="TxLink">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l"/>
              <a:t>2,400</a:t>
            </a:fld>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pivots sum'!H4">
        <xdr:nvSpPr>
          <xdr:cNvPr id="5" name="TextBox 4">
            <a:extLst>
              <a:ext uri="{FF2B5EF4-FFF2-40B4-BE49-F238E27FC236}">
                <a16:creationId xmlns:a16="http://schemas.microsoft.com/office/drawing/2014/main" id="{FE64E417-92F0-426C-9AEF-5B97EE363FD6}"/>
              </a:ext>
            </a:extLst>
          </xdr:cNvPr>
          <xdr:cNvSpPr txBox="1"/>
        </xdr:nvSpPr>
        <xdr:spPr>
          <a:xfrm>
            <a:off x="335280" y="1350540"/>
            <a:ext cx="1107099" cy="45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6E242DD-6B0C-4F62-B59A-E94F835C45CF}" type="TxLink">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l"/>
              <a:t>11,997</a:t>
            </a:fld>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pivots sum'!I4">
        <xdr:nvSpPr>
          <xdr:cNvPr id="6" name="TextBox 5">
            <a:extLst>
              <a:ext uri="{FF2B5EF4-FFF2-40B4-BE49-F238E27FC236}">
                <a16:creationId xmlns:a16="http://schemas.microsoft.com/office/drawing/2014/main" id="{0FB75B8A-F144-453E-BFC8-63F4C30A554E}"/>
              </a:ext>
            </a:extLst>
          </xdr:cNvPr>
          <xdr:cNvSpPr txBox="1"/>
        </xdr:nvSpPr>
        <xdr:spPr>
          <a:xfrm>
            <a:off x="335280" y="2175194"/>
            <a:ext cx="1005840" cy="344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BD04A5A-CA81-462F-9337-56F468A90A9B}" type="TxLink">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l"/>
              <a:t>$649.0k</a:t>
            </a:fld>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pivots sum'!J4">
        <xdr:nvSpPr>
          <xdr:cNvPr id="7" name="TextBox 6">
            <a:extLst>
              <a:ext uri="{FF2B5EF4-FFF2-40B4-BE49-F238E27FC236}">
                <a16:creationId xmlns:a16="http://schemas.microsoft.com/office/drawing/2014/main" id="{5C1D4754-6309-4FAC-9AF8-7A18714CC600}"/>
              </a:ext>
            </a:extLst>
          </xdr:cNvPr>
          <xdr:cNvSpPr txBox="1"/>
        </xdr:nvSpPr>
        <xdr:spPr>
          <a:xfrm>
            <a:off x="335280" y="3037948"/>
            <a:ext cx="1005840" cy="29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9787B58-1A71-4FDE-AC78-6BB7526DF10E}" type="TxLink">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l"/>
              <a:t>4.0</a:t>
            </a:fld>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pivots sum'!K4">
        <xdr:nvSpPr>
          <xdr:cNvPr id="8" name="TextBox 7">
            <a:extLst>
              <a:ext uri="{FF2B5EF4-FFF2-40B4-BE49-F238E27FC236}">
                <a16:creationId xmlns:a16="http://schemas.microsoft.com/office/drawing/2014/main" id="{63198AE2-1755-4F4D-A2F7-28E77325C67E}"/>
              </a:ext>
            </a:extLst>
          </xdr:cNvPr>
          <xdr:cNvSpPr txBox="1"/>
        </xdr:nvSpPr>
        <xdr:spPr>
          <a:xfrm>
            <a:off x="335280" y="3779520"/>
            <a:ext cx="1005840" cy="344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DA1AEE2-4DE5-4D20-98B0-1CDB234763AF}" type="TxLink">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pPr marL="0" indent="0" algn="l"/>
              <a:t>2.3</a:t>
            </a:fld>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TextBox 8">
            <a:extLst>
              <a:ext uri="{FF2B5EF4-FFF2-40B4-BE49-F238E27FC236}">
                <a16:creationId xmlns:a16="http://schemas.microsoft.com/office/drawing/2014/main" id="{6D785BE3-B128-DC72-A776-AC9A38132067}"/>
              </a:ext>
            </a:extLst>
          </xdr:cNvPr>
          <xdr:cNvSpPr txBox="1"/>
        </xdr:nvSpPr>
        <xdr:spPr>
          <a:xfrm>
            <a:off x="335280" y="197378"/>
            <a:ext cx="1222971" cy="501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🛒ORDERS </a:t>
            </a:r>
          </a:p>
          <a:p>
            <a:pPr marL="0" indent="0" algn="l"/>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2" name="TextBox 11">
            <a:extLst>
              <a:ext uri="{FF2B5EF4-FFF2-40B4-BE49-F238E27FC236}">
                <a16:creationId xmlns:a16="http://schemas.microsoft.com/office/drawing/2014/main" id="{7B0EDF34-1FDF-CEB2-915B-379FCE021B0C}"/>
              </a:ext>
            </a:extLst>
          </xdr:cNvPr>
          <xdr:cNvSpPr txBox="1"/>
        </xdr:nvSpPr>
        <xdr:spPr>
          <a:xfrm>
            <a:off x="335280" y="976313"/>
            <a:ext cx="1107099" cy="37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👕QUANTITY</a:t>
            </a:r>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4" name="TextBox 13">
            <a:extLst>
              <a:ext uri="{FF2B5EF4-FFF2-40B4-BE49-F238E27FC236}">
                <a16:creationId xmlns:a16="http://schemas.microsoft.com/office/drawing/2014/main" id="{A4A2AFE7-0DBA-77AE-763A-72E05BCC96C0}"/>
              </a:ext>
            </a:extLst>
          </xdr:cNvPr>
          <xdr:cNvSpPr txBox="1"/>
        </xdr:nvSpPr>
        <xdr:spPr>
          <a:xfrm>
            <a:off x="335280" y="1808586"/>
            <a:ext cx="1019342" cy="41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💰AMOUNT   </a:t>
            </a:r>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 name="TextBox 16">
            <a:extLst>
              <a:ext uri="{FF2B5EF4-FFF2-40B4-BE49-F238E27FC236}">
                <a16:creationId xmlns:a16="http://schemas.microsoft.com/office/drawing/2014/main" id="{9C5038BF-825A-01B5-3F00-4D7D7AC7B866}"/>
              </a:ext>
            </a:extLst>
          </xdr:cNvPr>
          <xdr:cNvSpPr txBox="1"/>
        </xdr:nvSpPr>
        <xdr:spPr>
          <a:xfrm>
            <a:off x="335280" y="2633242"/>
            <a:ext cx="1856417" cy="350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 RATING</a:t>
            </a:r>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8" name="TextBox 17">
            <a:extLst>
              <a:ext uri="{FF2B5EF4-FFF2-40B4-BE49-F238E27FC236}">
                <a16:creationId xmlns:a16="http://schemas.microsoft.com/office/drawing/2014/main" id="{00A5CCCB-5FEA-6628-D677-5E143F9DA6EA}"/>
              </a:ext>
            </a:extLst>
          </xdr:cNvPr>
          <xdr:cNvSpPr txBox="1"/>
        </xdr:nvSpPr>
        <xdr:spPr>
          <a:xfrm>
            <a:off x="335280" y="3442655"/>
            <a:ext cx="1046344" cy="28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rPr>
              <a:t>📆 DAYS</a:t>
            </a:r>
          </a:p>
          <a:p>
            <a:pPr marL="0" indent="0" algn="l"/>
            <a:endParaRPr lang="en-IN" sz="2000" b="0" i="0" u="none" strike="noStrike">
              <a:ln>
                <a:solidFill>
                  <a:schemeClr val="bg1"/>
                </a:solidFill>
              </a:ln>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xdr:col>
      <xdr:colOff>304800</xdr:colOff>
      <xdr:row>4</xdr:row>
      <xdr:rowOff>64528</xdr:rowOff>
    </xdr:from>
    <xdr:to>
      <xdr:col>11</xdr:col>
      <xdr:colOff>76200</xdr:colOff>
      <xdr:row>19</xdr:row>
      <xdr:rowOff>176892</xdr:rowOff>
    </xdr:to>
    <xdr:graphicFrame macro="">
      <xdr:nvGraphicFramePr>
        <xdr:cNvPr id="19" name="Chart 18">
          <a:extLst>
            <a:ext uri="{FF2B5EF4-FFF2-40B4-BE49-F238E27FC236}">
              <a16:creationId xmlns:a16="http://schemas.microsoft.com/office/drawing/2014/main" id="{AF69E23A-3700-4CCB-AA17-8F41C53F6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359228</xdr:colOff>
      <xdr:row>3</xdr:row>
      <xdr:rowOff>217714</xdr:rowOff>
    </xdr:from>
    <xdr:to>
      <xdr:col>20</xdr:col>
      <xdr:colOff>315686</xdr:colOff>
      <xdr:row>18</xdr:row>
      <xdr:rowOff>66608</xdr:rowOff>
    </xdr:to>
    <xdr:sp macro="" textlink="">
      <xdr:nvSpPr>
        <xdr:cNvPr id="22" name="TextBox 21">
          <a:extLst>
            <a:ext uri="{FF2B5EF4-FFF2-40B4-BE49-F238E27FC236}">
              <a16:creationId xmlns:a16="http://schemas.microsoft.com/office/drawing/2014/main" id="{85E52B21-794E-FCBC-7D59-D1792D483143}"/>
            </a:ext>
          </a:extLst>
        </xdr:cNvPr>
        <xdr:cNvSpPr txBox="1"/>
      </xdr:nvSpPr>
      <xdr:spPr>
        <a:xfrm>
          <a:off x="7260771" y="903514"/>
          <a:ext cx="5442858" cy="3277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How they like to buy</a:t>
          </a:r>
        </a:p>
      </xdr:txBody>
    </xdr:sp>
    <xdr:clientData/>
  </xdr:twoCellAnchor>
  <mc:AlternateContent xmlns:mc="http://schemas.openxmlformats.org/markup-compatibility/2006">
    <mc:Choice xmlns:a14="http://schemas.microsoft.com/office/drawing/2010/main" Requires="a14">
      <xdr:twoCellAnchor editAs="oneCell">
        <xdr:from>
          <xdr:col>11</xdr:col>
          <xdr:colOff>566057</xdr:colOff>
          <xdr:row>6</xdr:row>
          <xdr:rowOff>54429</xdr:rowOff>
        </xdr:from>
        <xdr:to>
          <xdr:col>20</xdr:col>
          <xdr:colOff>130628</xdr:colOff>
          <xdr:row>17</xdr:row>
          <xdr:rowOff>97971</xdr:rowOff>
        </xdr:to>
        <xdr:pic>
          <xdr:nvPicPr>
            <xdr:cNvPr id="23" name="Picture 22">
              <a:extLst>
                <a:ext uri="{FF2B5EF4-FFF2-40B4-BE49-F238E27FC236}">
                  <a16:creationId xmlns:a16="http://schemas.microsoft.com/office/drawing/2014/main" id="{4E75F5C7-45FD-4E54-ABD8-A568A2806CE4}"/>
                </a:ext>
              </a:extLst>
            </xdr:cNvPr>
            <xdr:cNvPicPr>
              <a:picLocks noChangeAspect="1" noChangeArrowheads="1"/>
              <a:extLst>
                <a:ext uri="{84589F7E-364E-4C9E-8A38-B11213B215E9}">
                  <a14:cameraTool cellRange="Sheet5!$H$4:$L$9" spid="_x0000_s7235"/>
                </a:ext>
              </a:extLst>
            </xdr:cNvPicPr>
          </xdr:nvPicPr>
          <xdr:blipFill>
            <a:blip xmlns:r="http://schemas.openxmlformats.org/officeDocument/2006/relationships" r:embed="rId2"/>
            <a:srcRect/>
            <a:stretch>
              <a:fillRect/>
            </a:stretch>
          </xdr:blipFill>
          <xdr:spPr bwMode="auto">
            <a:xfrm>
              <a:off x="7467600" y="1426029"/>
              <a:ext cx="5050971" cy="25581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524208</xdr:colOff>
      <xdr:row>1</xdr:row>
      <xdr:rowOff>24930</xdr:rowOff>
    </xdr:from>
    <xdr:to>
      <xdr:col>28</xdr:col>
      <xdr:colOff>381000</xdr:colOff>
      <xdr:row>19</xdr:row>
      <xdr:rowOff>21771</xdr:rowOff>
    </xdr:to>
    <xdr:graphicFrame macro="">
      <xdr:nvGraphicFramePr>
        <xdr:cNvPr id="24" name="Chart 23">
          <a:extLst>
            <a:ext uri="{FF2B5EF4-FFF2-40B4-BE49-F238E27FC236}">
              <a16:creationId xmlns:a16="http://schemas.microsoft.com/office/drawing/2014/main" id="{3173C5D0-06C4-4EEA-B8A5-307856B3E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196850</xdr:colOff>
      <xdr:row>20</xdr:row>
      <xdr:rowOff>108857</xdr:rowOff>
    </xdr:from>
    <xdr:to>
      <xdr:col>12</xdr:col>
      <xdr:colOff>435428</xdr:colOff>
      <xdr:row>39</xdr:row>
      <xdr:rowOff>152400</xdr:rowOff>
    </xdr:to>
    <xdr:graphicFrame macro="">
      <xdr:nvGraphicFramePr>
        <xdr:cNvPr id="25" name="Chart 24">
          <a:extLst>
            <a:ext uri="{FF2B5EF4-FFF2-40B4-BE49-F238E27FC236}">
              <a16:creationId xmlns:a16="http://schemas.microsoft.com/office/drawing/2014/main" id="{361A4FA4-FCA8-4E75-9B34-D1DD399D1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29</xdr:row>
      <xdr:rowOff>137160</xdr:rowOff>
    </xdr:from>
    <xdr:to>
      <xdr:col>10</xdr:col>
      <xdr:colOff>0</xdr:colOff>
      <xdr:row>36</xdr:row>
      <xdr:rowOff>137160</xdr:rowOff>
    </xdr:to>
    <xdr:graphicFrame macro="">
      <xdr:nvGraphicFramePr>
        <xdr:cNvPr id="26" name="Chart 25">
          <a:extLst>
            <a:ext uri="{FF2B5EF4-FFF2-40B4-BE49-F238E27FC236}">
              <a16:creationId xmlns:a16="http://schemas.microsoft.com/office/drawing/2014/main" id="{427C1A8D-BC9B-4DE1-9ECC-A6FA1A3FE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87085</xdr:colOff>
      <xdr:row>20</xdr:row>
      <xdr:rowOff>118382</xdr:rowOff>
    </xdr:from>
    <xdr:to>
      <xdr:col>28</xdr:col>
      <xdr:colOff>276829</xdr:colOff>
      <xdr:row>38</xdr:row>
      <xdr:rowOff>140153</xdr:rowOff>
    </xdr:to>
    <xdr:graphicFrame macro="">
      <xdr:nvGraphicFramePr>
        <xdr:cNvPr id="37" name="Chart 36">
          <a:extLst>
            <a:ext uri="{FF2B5EF4-FFF2-40B4-BE49-F238E27FC236}">
              <a16:creationId xmlns:a16="http://schemas.microsoft.com/office/drawing/2014/main" id="{FEB2E0BC-7CAE-4001-A516-5F272E9C4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315686</xdr:colOff>
      <xdr:row>20</xdr:row>
      <xdr:rowOff>163287</xdr:rowOff>
    </xdr:from>
    <xdr:to>
      <xdr:col>20</xdr:col>
      <xdr:colOff>343686</xdr:colOff>
      <xdr:row>39</xdr:row>
      <xdr:rowOff>108858</xdr:rowOff>
    </xdr:to>
    <xdr:graphicFrame macro="">
      <xdr:nvGraphicFramePr>
        <xdr:cNvPr id="39" name="Chart 38">
          <a:extLst>
            <a:ext uri="{FF2B5EF4-FFF2-40B4-BE49-F238E27FC236}">
              <a16:creationId xmlns:a16="http://schemas.microsoft.com/office/drawing/2014/main" id="{DB154DC1-34AA-4B9B-9DAA-76E3178E1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69941</xdr:colOff>
      <xdr:row>20</xdr:row>
      <xdr:rowOff>196759</xdr:rowOff>
    </xdr:from>
    <xdr:to>
      <xdr:col>2</xdr:col>
      <xdr:colOff>557621</xdr:colOff>
      <xdr:row>27</xdr:row>
      <xdr:rowOff>147501</xdr:rowOff>
    </xdr:to>
    <mc:AlternateContent xmlns:mc="http://schemas.openxmlformats.org/markup-compatibility/2006">
      <mc:Choice xmlns:a14="http://schemas.microsoft.com/office/drawing/2010/main" Requires="a14">
        <xdr:graphicFrame macro="">
          <xdr:nvGraphicFramePr>
            <xdr:cNvPr id="40" name="Order Mode">
              <a:extLst>
                <a:ext uri="{FF2B5EF4-FFF2-40B4-BE49-F238E27FC236}">
                  <a16:creationId xmlns:a16="http://schemas.microsoft.com/office/drawing/2014/main" id="{4623A29E-9766-42B8-A510-A2D58E0C85B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69941" y="4997359"/>
              <a:ext cx="1828800" cy="1550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27</xdr:row>
      <xdr:rowOff>203835</xdr:rowOff>
    </xdr:from>
    <xdr:to>
      <xdr:col>2</xdr:col>
      <xdr:colOff>533400</xdr:colOff>
      <xdr:row>34</xdr:row>
      <xdr:rowOff>84092</xdr:rowOff>
    </xdr:to>
    <mc:AlternateContent xmlns:mc="http://schemas.openxmlformats.org/markup-compatibility/2006">
      <mc:Choice xmlns:a14="http://schemas.microsoft.com/office/drawing/2010/main" Requires="a14">
        <xdr:graphicFrame macro="">
          <xdr:nvGraphicFramePr>
            <xdr:cNvPr id="41" name="Gender Value">
              <a:extLst>
                <a:ext uri="{FF2B5EF4-FFF2-40B4-BE49-F238E27FC236}">
                  <a16:creationId xmlns:a16="http://schemas.microsoft.com/office/drawing/2014/main" id="{505299EC-5084-4511-BF17-BC995147CA7A}"/>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45720" y="6604635"/>
              <a:ext cx="1828800" cy="148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45327</xdr:colOff>
      <xdr:row>34</xdr:row>
      <xdr:rowOff>174171</xdr:rowOff>
    </xdr:from>
    <xdr:to>
      <xdr:col>2</xdr:col>
      <xdr:colOff>533400</xdr:colOff>
      <xdr:row>40</xdr:row>
      <xdr:rowOff>87086</xdr:rowOff>
    </xdr:to>
    <mc:AlternateContent xmlns:mc="http://schemas.openxmlformats.org/markup-compatibility/2006" xmlns:a14="http://schemas.microsoft.com/office/drawing/2010/main">
      <mc:Choice Requires="a14">
        <xdr:graphicFrame macro="">
          <xdr:nvGraphicFramePr>
            <xdr:cNvPr id="10" name="Order Mode 1">
              <a:extLst>
                <a:ext uri="{FF2B5EF4-FFF2-40B4-BE49-F238E27FC236}">
                  <a16:creationId xmlns:a16="http://schemas.microsoft.com/office/drawing/2014/main" id="{B605012B-1248-4528-B73B-87D8617E8D7E}"/>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45327" y="6335485"/>
              <a:ext cx="1837902" cy="1284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257598</xdr:colOff>
      <xdr:row>0</xdr:row>
      <xdr:rowOff>0</xdr:rowOff>
    </xdr:from>
    <xdr:to>
      <xdr:col>2</xdr:col>
      <xdr:colOff>371475</xdr:colOff>
      <xdr:row>1</xdr:row>
      <xdr:rowOff>194161</xdr:rowOff>
    </xdr:to>
    <xdr:pic>
      <xdr:nvPicPr>
        <xdr:cNvPr id="13" name="Picture 12">
          <a:extLst>
            <a:ext uri="{FF2B5EF4-FFF2-40B4-BE49-F238E27FC236}">
              <a16:creationId xmlns:a16="http://schemas.microsoft.com/office/drawing/2014/main" id="{F1F0B9BD-F2CB-497E-8770-FF6E002E352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257598" y="0"/>
          <a:ext cx="1447377" cy="414597"/>
        </a:xfrm>
        <a:prstGeom prst="rect">
          <a:avLst/>
        </a:prstGeom>
      </xdr:spPr>
    </xdr:pic>
    <xdr:clientData/>
  </xdr:twoCellAnchor>
  <xdr:twoCellAnchor editAs="oneCell">
    <xdr:from>
      <xdr:col>10</xdr:col>
      <xdr:colOff>285751</xdr:colOff>
      <xdr:row>1</xdr:row>
      <xdr:rowOff>38101</xdr:rowOff>
    </xdr:from>
    <xdr:to>
      <xdr:col>15</xdr:col>
      <xdr:colOff>228601</xdr:colOff>
      <xdr:row>3</xdr:row>
      <xdr:rowOff>131570</xdr:rowOff>
    </xdr:to>
    <xdr:pic>
      <xdr:nvPicPr>
        <xdr:cNvPr id="15" name="Picture 14">
          <a:extLst>
            <a:ext uri="{FF2B5EF4-FFF2-40B4-BE49-F238E27FC236}">
              <a16:creationId xmlns:a16="http://schemas.microsoft.com/office/drawing/2014/main" id="{8FEC22AC-A0BB-4129-8EAC-E2EFEC55B11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53201" y="219076"/>
          <a:ext cx="2990850" cy="538422"/>
        </a:xfrm>
        <a:prstGeom prst="rect">
          <a:avLst/>
        </a:prstGeom>
        <a:solidFill>
          <a:schemeClr val="tx1"/>
        </a:solidFill>
      </xdr:spPr>
    </xdr:pic>
    <xdr:clientData/>
  </xdr:twoCellAnchor>
  <xdr:oneCellAnchor>
    <xdr:from>
      <xdr:col>27</xdr:col>
      <xdr:colOff>0</xdr:colOff>
      <xdr:row>8</xdr:row>
      <xdr:rowOff>0</xdr:rowOff>
    </xdr:from>
    <xdr:ext cx="184731" cy="255904"/>
    <xdr:sp macro="" textlink="">
      <xdr:nvSpPr>
        <xdr:cNvPr id="11" name="TextBox 10">
          <a:extLst>
            <a:ext uri="{FF2B5EF4-FFF2-40B4-BE49-F238E27FC236}">
              <a16:creationId xmlns:a16="http://schemas.microsoft.com/office/drawing/2014/main" id="{9E5C56C1-F7EA-3A4F-A7FB-5D827BC5342E}"/>
            </a:ext>
          </a:extLst>
        </xdr:cNvPr>
        <xdr:cNvSpPr txBox="1"/>
      </xdr:nvSpPr>
      <xdr:spPr>
        <a:xfrm>
          <a:off x="16630650" y="1828800"/>
          <a:ext cx="184731" cy="255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200" refreshedDate="46201.56575775463" createdVersion="8" refreshedVersion="8" minRefreshableVersion="3" recordCount="2400" xr:uid="{4406D813-5FEC-4471-B74C-ECDD2DF0EA8F}">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 name="Quantity2" numFmtId="0" databaseField="0">
      <fieldGroup base="2">
        <discretePr count="48">
          <x v="0"/>
          <x v="1"/>
          <x v="2"/>
          <x v="2"/>
          <x v="2"/>
          <x v="2"/>
          <x v="3"/>
          <x v="2"/>
          <x v="2"/>
          <x v="2"/>
          <x v="2"/>
          <x v="2"/>
          <x v="2"/>
          <x v="2"/>
          <x v="2"/>
          <x v="2"/>
          <x v="2"/>
          <x v="3"/>
          <x v="3"/>
          <x v="3"/>
          <x v="2"/>
          <x v="2"/>
          <x v="3"/>
          <x v="3"/>
          <x v="3"/>
          <x v="3"/>
          <x v="3"/>
          <x v="2"/>
          <x v="3"/>
          <x v="3"/>
          <x v="3"/>
          <x v="3"/>
          <x v="3"/>
          <x v="3"/>
          <x v="3"/>
          <x v="3"/>
          <x v="3"/>
          <x v="3"/>
          <x v="3"/>
          <x v="3"/>
          <x v="3"/>
          <x v="3"/>
          <x v="3"/>
          <x v="3"/>
          <x v="3"/>
          <x v="3"/>
          <x v="3"/>
          <x v="3"/>
        </discretePr>
        <groupItems count="4">
          <n v="1"/>
          <n v="2"/>
          <s v="Group1"/>
          <s v="Group2"/>
        </groupItems>
      </fieldGroup>
    </cacheField>
    <cacheField name="Days (Order Date)" numFmtId="0" databaseField="0">
      <fieldGroup base="5">
        <rangePr groupBy="days" startDate="2025-01-01T00:00:00" endDate="2025-03-30T00:00:00"/>
        <groupItems count="368">
          <s v="&lt;01-01-2025"/>
          <s v="01-जनवरी"/>
          <s v="02-जनवरी"/>
          <s v="03-जनवरी"/>
          <s v="04-जनवरी"/>
          <s v="05-जनवरी"/>
          <s v="06-जनवरी"/>
          <s v="07-जनवरी"/>
          <s v="08-जनवरी"/>
          <s v="09-जनवरी"/>
          <s v="10-जनवरी"/>
          <s v="11-जनवरी"/>
          <s v="12-जनवरी"/>
          <s v="13-जनवरी"/>
          <s v="14-जनवरी"/>
          <s v="15-जनवरी"/>
          <s v="16-जनवरी"/>
          <s v="17-जनवरी"/>
          <s v="18-जनवरी"/>
          <s v="19-जनवरी"/>
          <s v="20-जनवरी"/>
          <s v="21-जनवरी"/>
          <s v="22-जनवरी"/>
          <s v="23-जनवरी"/>
          <s v="24-जनवरी"/>
          <s v="25-जनवरी"/>
          <s v="26-जनवरी"/>
          <s v="27-जनवरी"/>
          <s v="28-जनवरी"/>
          <s v="29-जनवरी"/>
          <s v="30-जनवरी"/>
          <s v="31-जनवरी"/>
          <s v="01-फरवरी"/>
          <s v="02-फरवरी"/>
          <s v="03-फरवरी"/>
          <s v="04-फरवरी"/>
          <s v="05-फरवरी"/>
          <s v="06-फरवरी"/>
          <s v="07-फरवरी"/>
          <s v="08-फरवरी"/>
          <s v="09-फरवरी"/>
          <s v="10-फरवरी"/>
          <s v="11-फरवरी"/>
          <s v="12-फरवरी"/>
          <s v="13-फरवरी"/>
          <s v="14-फरवरी"/>
          <s v="15-फरवरी"/>
          <s v="16-फरवरी"/>
          <s v="17-फरवरी"/>
          <s v="18-फरवरी"/>
          <s v="19-फरवरी"/>
          <s v="20-फरवरी"/>
          <s v="21-फरवरी"/>
          <s v="22-फरवरी"/>
          <s v="23-फरवरी"/>
          <s v="24-फरवरी"/>
          <s v="25-फरवरी"/>
          <s v="26-फरवरी"/>
          <s v="27-फरवरी"/>
          <s v="28-फरवरी"/>
          <s v="29-फरवरी"/>
          <s v="01-मार्च"/>
          <s v="02-मार्च"/>
          <s v="03-मार्च"/>
          <s v="04-मार्च"/>
          <s v="05-मार्च"/>
          <s v="06-मार्च"/>
          <s v="07-मार्च"/>
          <s v="08-मार्च"/>
          <s v="09-मार्च"/>
          <s v="10-मार्च"/>
          <s v="11-मार्च"/>
          <s v="12-मार्च"/>
          <s v="13-मार्च"/>
          <s v="14-मार्च"/>
          <s v="15-मार्च"/>
          <s v="16-मार्च"/>
          <s v="17-मार्च"/>
          <s v="18-मार्च"/>
          <s v="19-मार्च"/>
          <s v="20-मार्च"/>
          <s v="21-मार्च"/>
          <s v="22-मार्च"/>
          <s v="23-मार्च"/>
          <s v="24-मार्च"/>
          <s v="25-मार्च"/>
          <s v="26-मार्च"/>
          <s v="27-मार्च"/>
          <s v="28-मार्च"/>
          <s v="29-मार्च"/>
          <s v="30-मार्च"/>
          <s v="31-मार्च"/>
          <s v="01-अप्रैल"/>
          <s v="02-अप्रैल"/>
          <s v="03-अप्रैल"/>
          <s v="04-अप्रैल"/>
          <s v="05-अप्रैल"/>
          <s v="06-अप्रैल"/>
          <s v="07-अप्रैल"/>
          <s v="08-अप्रैल"/>
          <s v="09-अप्रैल"/>
          <s v="10-अप्रैल"/>
          <s v="11-अप्रैल"/>
          <s v="12-अप्रैल"/>
          <s v="13-अप्रैल"/>
          <s v="14-अप्रैल"/>
          <s v="15-अप्रैल"/>
          <s v="16-अप्रैल"/>
          <s v="17-अप्रैल"/>
          <s v="18-अप्रैल"/>
          <s v="19-अप्रैल"/>
          <s v="20-अप्रैल"/>
          <s v="21-अप्रैल"/>
          <s v="22-अप्रैल"/>
          <s v="23-अप्रैल"/>
          <s v="24-अप्रैल"/>
          <s v="25-अप्रैल"/>
          <s v="26-अप्रैल"/>
          <s v="27-अप्रैल"/>
          <s v="28-अप्रैल"/>
          <s v="29-अप्रैल"/>
          <s v="30-अप्रैल"/>
          <s v="01-मई"/>
          <s v="02-मई"/>
          <s v="03-मई"/>
          <s v="04-मई"/>
          <s v="05-मई"/>
          <s v="06-मई"/>
          <s v="07-मई"/>
          <s v="08-मई"/>
          <s v="09-मई"/>
          <s v="10-मई"/>
          <s v="11-मई"/>
          <s v="12-मई"/>
          <s v="13-मई"/>
          <s v="14-मई"/>
          <s v="15-मई"/>
          <s v="16-मई"/>
          <s v="17-मई"/>
          <s v="18-मई"/>
          <s v="19-मई"/>
          <s v="20-मई"/>
          <s v="21-मई"/>
          <s v="22-मई"/>
          <s v="23-मई"/>
          <s v="24-मई"/>
          <s v="25-मई"/>
          <s v="26-मई"/>
          <s v="27-मई"/>
          <s v="28-मई"/>
          <s v="29-मई"/>
          <s v="30-मई"/>
          <s v="31-मई"/>
          <s v="01-जून"/>
          <s v="02-जून"/>
          <s v="03-जून"/>
          <s v="04-जून"/>
          <s v="05-जून"/>
          <s v="06-जून"/>
          <s v="07-जून"/>
          <s v="08-जून"/>
          <s v="09-जून"/>
          <s v="10-जून"/>
          <s v="11-जून"/>
          <s v="12-जून"/>
          <s v="13-जून"/>
          <s v="14-जून"/>
          <s v="15-जून"/>
          <s v="16-जून"/>
          <s v="17-जून"/>
          <s v="18-जून"/>
          <s v="19-जून"/>
          <s v="20-जून"/>
          <s v="21-जून"/>
          <s v="22-जून"/>
          <s v="23-जून"/>
          <s v="24-जून"/>
          <s v="25-जून"/>
          <s v="26-जून"/>
          <s v="27-जून"/>
          <s v="28-जून"/>
          <s v="29-जून"/>
          <s v="30-जून"/>
          <s v="01-जुलाई"/>
          <s v="02-जुलाई"/>
          <s v="03-जुलाई"/>
          <s v="04-जुलाई"/>
          <s v="05-जुलाई"/>
          <s v="06-जुलाई"/>
          <s v="07-जुलाई"/>
          <s v="08-जुलाई"/>
          <s v="09-जुलाई"/>
          <s v="10-जुलाई"/>
          <s v="11-जुलाई"/>
          <s v="12-जुलाई"/>
          <s v="13-जुलाई"/>
          <s v="14-जुलाई"/>
          <s v="15-जुलाई"/>
          <s v="16-जुलाई"/>
          <s v="17-जुलाई"/>
          <s v="18-जुलाई"/>
          <s v="19-जुलाई"/>
          <s v="20-जुलाई"/>
          <s v="21-जुलाई"/>
          <s v="22-जुलाई"/>
          <s v="23-जुलाई"/>
          <s v="24-जुलाई"/>
          <s v="25-जुलाई"/>
          <s v="26-जुलाई"/>
          <s v="27-जुलाई"/>
          <s v="28-जुलाई"/>
          <s v="29-जुलाई"/>
          <s v="30-जुलाई"/>
          <s v="31-जुलाई"/>
          <s v="01-अगस्त"/>
          <s v="02-अगस्त"/>
          <s v="03-अगस्त"/>
          <s v="04-अगस्त"/>
          <s v="05-अगस्त"/>
          <s v="06-अगस्त"/>
          <s v="07-अगस्त"/>
          <s v="08-अगस्त"/>
          <s v="09-अगस्त"/>
          <s v="10-अगस्त"/>
          <s v="11-अगस्त"/>
          <s v="12-अगस्त"/>
          <s v="13-अगस्त"/>
          <s v="14-अगस्त"/>
          <s v="15-अगस्त"/>
          <s v="16-अगस्त"/>
          <s v="17-अगस्त"/>
          <s v="18-अगस्त"/>
          <s v="19-अगस्त"/>
          <s v="20-अगस्त"/>
          <s v="21-अगस्त"/>
          <s v="22-अगस्त"/>
          <s v="23-अगस्त"/>
          <s v="24-अगस्त"/>
          <s v="25-अगस्त"/>
          <s v="26-अगस्त"/>
          <s v="27-अगस्त"/>
          <s v="28-अगस्त"/>
          <s v="29-अगस्त"/>
          <s v="30-अगस्त"/>
          <s v="31-अगस्त"/>
          <s v="01-सितम्बर"/>
          <s v="02-सितम्बर"/>
          <s v="03-सितम्बर"/>
          <s v="04-सितम्बर"/>
          <s v="05-सितम्बर"/>
          <s v="06-सितम्बर"/>
          <s v="07-सितम्बर"/>
          <s v="08-सितम्बर"/>
          <s v="09-सितम्बर"/>
          <s v="10-सितम्बर"/>
          <s v="11-सितम्बर"/>
          <s v="12-सितम्बर"/>
          <s v="13-सितम्बर"/>
          <s v="14-सितम्बर"/>
          <s v="15-सितम्बर"/>
          <s v="16-सितम्बर"/>
          <s v="17-सितम्बर"/>
          <s v="18-सितम्बर"/>
          <s v="19-सितम्बर"/>
          <s v="20-सितम्बर"/>
          <s v="21-सितम्बर"/>
          <s v="22-सितम्बर"/>
          <s v="23-सितम्बर"/>
          <s v="24-सितम्बर"/>
          <s v="25-सितम्बर"/>
          <s v="26-सितम्बर"/>
          <s v="27-सितम्बर"/>
          <s v="28-सितम्बर"/>
          <s v="29-सितम्बर"/>
          <s v="30-सितम्बर"/>
          <s v="01-अक्तूबर"/>
          <s v="02-अक्तूबर"/>
          <s v="03-अक्तूबर"/>
          <s v="04-अक्तूबर"/>
          <s v="05-अक्तूबर"/>
          <s v="06-अक्तूबर"/>
          <s v="07-अक्तूबर"/>
          <s v="08-अक्तूबर"/>
          <s v="09-अक्तूबर"/>
          <s v="10-अक्तूबर"/>
          <s v="11-अक्तूबर"/>
          <s v="12-अक्तूबर"/>
          <s v="13-अक्तूबर"/>
          <s v="14-अक्तूबर"/>
          <s v="15-अक्तूबर"/>
          <s v="16-अक्तूबर"/>
          <s v="17-अक्तूबर"/>
          <s v="18-अक्तूबर"/>
          <s v="19-अक्तूबर"/>
          <s v="20-अक्तूबर"/>
          <s v="21-अक्तूबर"/>
          <s v="22-अक्तूबर"/>
          <s v="23-अक्तूबर"/>
          <s v="24-अक्तूबर"/>
          <s v="25-अक्तूबर"/>
          <s v="26-अक्तूबर"/>
          <s v="27-अक्तूबर"/>
          <s v="28-अक्तूबर"/>
          <s v="29-अक्तूबर"/>
          <s v="30-अक्तूबर"/>
          <s v="31-अक्तूबर"/>
          <s v="01-नवम्बर"/>
          <s v="02-नवम्बर"/>
          <s v="03-नवम्बर"/>
          <s v="04-नवम्बर"/>
          <s v="05-नवम्बर"/>
          <s v="06-नवम्बर"/>
          <s v="07-नवम्बर"/>
          <s v="08-नवम्बर"/>
          <s v="09-नवम्बर"/>
          <s v="10-नवम्बर"/>
          <s v="11-नवम्बर"/>
          <s v="12-नवम्बर"/>
          <s v="13-नवम्बर"/>
          <s v="14-नवम्बर"/>
          <s v="15-नवम्बर"/>
          <s v="16-नवम्बर"/>
          <s v="17-नवम्बर"/>
          <s v="18-नवम्बर"/>
          <s v="19-नवम्बर"/>
          <s v="20-नवम्बर"/>
          <s v="21-नवम्बर"/>
          <s v="22-नवम्बर"/>
          <s v="23-नवम्बर"/>
          <s v="24-नवम्बर"/>
          <s v="25-नवम्बर"/>
          <s v="26-नवम्बर"/>
          <s v="27-नवम्बर"/>
          <s v="28-नवम्बर"/>
          <s v="29-नवम्बर"/>
          <s v="30-नवम्बर"/>
          <s v="01-दिसम्बर"/>
          <s v="02-दिसम्बर"/>
          <s v="03-दिसम्बर"/>
          <s v="04-दिसम्बर"/>
          <s v="05-दिसम्बर"/>
          <s v="06-दिसम्बर"/>
          <s v="07-दिसम्बर"/>
          <s v="08-दिसम्बर"/>
          <s v="09-दिसम्बर"/>
          <s v="10-दिसम्बर"/>
          <s v="11-दिसम्बर"/>
          <s v="12-दिसम्बर"/>
          <s v="13-दिसम्बर"/>
          <s v="14-दिसम्बर"/>
          <s v="15-दिसम्बर"/>
          <s v="16-दिसम्बर"/>
          <s v="17-दिसम्बर"/>
          <s v="18-दिसम्बर"/>
          <s v="19-दिसम्बर"/>
          <s v="20-दिसम्बर"/>
          <s v="21-दिसम्बर"/>
          <s v="22-दिसम्बर"/>
          <s v="23-दिसम्बर"/>
          <s v="24-दिसम्बर"/>
          <s v="25-दिसम्बर"/>
          <s v="26-दिसम्बर"/>
          <s v="27-दिसम्बर"/>
          <s v="28-दिसम्बर"/>
          <s v="29-दिसम्बर"/>
          <s v="30-दिसम्बर"/>
          <s v="31-दिसम्बर"/>
          <s v="&gt;30-03-2025"/>
        </groupItems>
      </fieldGroup>
    </cacheField>
    <cacheField name="Months (Order Date)" numFmtId="0" databaseField="0">
      <fieldGroup base="5">
        <rangePr groupBy="months" startDate="2025-01-01T00:00:00" endDate="2025-03-30T00:00:00"/>
        <groupItems count="14">
          <s v="&lt;01-01-2025"/>
          <s v="जनवरी"/>
          <s v="फरवरी"/>
          <s v="मार्च"/>
          <s v="अप्रैल"/>
          <s v="मई"/>
          <s v="जून"/>
          <s v="जुलाई"/>
          <s v="अगस्त"/>
          <s v="सितम्बर"/>
          <s v="अक्तूबर"/>
          <s v="नवम्बर"/>
          <s v="दिसम्बर"/>
          <s v="&gt;30-03-2025"/>
        </groupItems>
      </fieldGroup>
    </cacheField>
  </cacheFields>
  <extLst>
    <ext xmlns:x14="http://schemas.microsoft.com/office/spreadsheetml/2009/9/main" uri="{725AE2AE-9491-48be-B2B4-4EB974FC3084}">
      <x14:pivotCacheDefinition pivotCacheId="199851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200" refreshedDate="46201.978123611108" createdVersion="8" refreshedVersion="8" minRefreshableVersion="3" recordCount="2401" xr:uid="{D9D67475-3043-41DE-9D32-83A2E7A62C51}">
  <cacheSource type="worksheet">
    <worksheetSource ref="A1:O1048576" sheet="Data"/>
  </cacheSource>
  <cacheFields count="15">
    <cacheField name="TX ID" numFmtId="0">
      <sharedItems containsBlank="1"/>
    </cacheField>
    <cacheField name="Product" numFmtId="0">
      <sharedItems containsBlank="1"/>
    </cacheField>
    <cacheField name="Quantity" numFmtId="0">
      <sharedItems containsString="0" containsBlank="1" containsNumber="1" containsInteger="1" minValue="1" maxValue="87"/>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14">
      <sharedItems containsNonDate="0" containsDate="1" containsString="0" containsBlank="1" minDate="2025-01-01T00:00:00" maxDate="2025-03-30T00:00:00" count="89">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m/>
      </sharedItems>
    </cacheField>
    <cacheField name="Ship Date" numFmtId="14">
      <sharedItems containsNonDate="0" containsDate="1" containsString="0" containsBlank="1" minDate="2025-01-02T00:00:00" maxDate="2025-04-11T00:00:00"/>
    </cacheField>
    <cacheField name="Customer Gender" numFmtId="0">
      <sharedItems containsBlank="1" count="5">
        <s v=""/>
        <s v="M"/>
        <s v="F"/>
        <s v="O"/>
        <m/>
      </sharedItems>
    </cacheField>
    <cacheField name="Order Mode" numFmtId="0">
      <sharedItems containsBlank="1" count="6">
        <s v="App"/>
        <s v="Website"/>
        <s v="Target.com"/>
        <s v="Instagram"/>
        <s v="Partner App"/>
        <m/>
      </sharedItems>
    </cacheField>
    <cacheField name="Rating C" numFmtId="0">
      <sharedItems containsString="0" containsBlank="1" containsNumber="1" containsInteger="1" minValue="1" maxValue="5"/>
    </cacheField>
    <cacheField name="State" numFmtId="0">
      <sharedItems containsBlank="1"/>
    </cacheField>
    <cacheField name="County" numFmtId="0">
      <sharedItems containsBlank="1"/>
    </cacheField>
    <cacheField name="Days to Deliver" numFmtId="0">
      <sharedItems containsString="0" containsBlank="1" containsNumber="1" containsInteger="1" minValue="0" maxValue="14"/>
    </cacheField>
    <cacheField name="Weeknum" numFmtId="0">
      <sharedItems containsString="0" containsBlank="1" containsNumber="1" containsInteger="1" minValue="1" maxValue="13" count="14">
        <n v="1"/>
        <n v="2"/>
        <n v="3"/>
        <n v="4"/>
        <n v="5"/>
        <n v="6"/>
        <n v="7"/>
        <n v="8"/>
        <n v="9"/>
        <n v="10"/>
        <n v="11"/>
        <n v="12"/>
        <n v="13"/>
        <m/>
      </sharedItems>
    </cacheField>
    <cacheField name="Gender Value" numFmtId="0">
      <sharedItems containsBlank="1"/>
    </cacheField>
  </cacheFields>
  <extLst>
    <ext xmlns:x14="http://schemas.microsoft.com/office/spreadsheetml/2009/9/main" uri="{725AE2AE-9491-48be-B2B4-4EB974FC3084}">
      <x14:pivotCacheDefinition pivotCacheId="881252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x v="0"/>
    <x v="0"/>
    <x v="0"/>
    <x v="0"/>
    <x v="0"/>
    <x v="0"/>
    <x v="0"/>
    <n v="1"/>
    <x v="0"/>
  </r>
  <r>
    <s v="TX500002"/>
    <x v="1"/>
    <x v="1"/>
    <n v="30.6"/>
    <n v="61.2"/>
    <x v="0"/>
    <x v="1"/>
    <x v="1"/>
    <x v="0"/>
    <x v="0"/>
    <x v="0"/>
    <x v="1"/>
    <x v="1"/>
    <n v="1"/>
    <x v="1"/>
  </r>
  <r>
    <s v="TX500003"/>
    <x v="2"/>
    <x v="2"/>
    <n v="109.4"/>
    <n v="328.20000000000005"/>
    <x v="0"/>
    <x v="2"/>
    <x v="2"/>
    <x v="0"/>
    <x v="1"/>
    <x v="0"/>
    <x v="2"/>
    <x v="2"/>
    <n v="1"/>
    <x v="2"/>
  </r>
  <r>
    <s v="TX500004"/>
    <x v="3"/>
    <x v="3"/>
    <n v="37.700000000000003"/>
    <n v="263.90000000000003"/>
    <x v="0"/>
    <x v="3"/>
    <x v="2"/>
    <x v="0"/>
    <x v="0"/>
    <x v="0"/>
    <x v="2"/>
    <x v="3"/>
    <n v="1"/>
    <x v="2"/>
  </r>
  <r>
    <s v="TX500005"/>
    <x v="4"/>
    <x v="2"/>
    <n v="56.7"/>
    <n v="170.10000000000002"/>
    <x v="0"/>
    <x v="2"/>
    <x v="2"/>
    <x v="0"/>
    <x v="2"/>
    <x v="0"/>
    <x v="3"/>
    <x v="2"/>
    <n v="1"/>
    <x v="2"/>
  </r>
  <r>
    <s v="TX500006"/>
    <x v="1"/>
    <x v="4"/>
    <n v="83.5"/>
    <n v="1002"/>
    <x v="0"/>
    <x v="2"/>
    <x v="1"/>
    <x v="1"/>
    <x v="0"/>
    <x v="0"/>
    <x v="3"/>
    <x v="2"/>
    <n v="1"/>
    <x v="1"/>
  </r>
  <r>
    <s v="TX500007"/>
    <x v="5"/>
    <x v="0"/>
    <n v="55.3"/>
    <n v="55.3"/>
    <x v="0"/>
    <x v="3"/>
    <x v="2"/>
    <x v="0"/>
    <x v="0"/>
    <x v="0"/>
    <x v="3"/>
    <x v="3"/>
    <n v="1"/>
    <x v="2"/>
  </r>
  <r>
    <s v="TX500008"/>
    <x v="6"/>
    <x v="1"/>
    <n v="40.299999999999997"/>
    <n v="80.599999999999994"/>
    <x v="0"/>
    <x v="3"/>
    <x v="1"/>
    <x v="2"/>
    <x v="2"/>
    <x v="0"/>
    <x v="3"/>
    <x v="3"/>
    <n v="1"/>
    <x v="1"/>
  </r>
  <r>
    <s v="TX500009"/>
    <x v="7"/>
    <x v="5"/>
    <n v="35.700000000000003"/>
    <n v="392.70000000000005"/>
    <x v="0"/>
    <x v="3"/>
    <x v="2"/>
    <x v="0"/>
    <x v="0"/>
    <x v="0"/>
    <x v="3"/>
    <x v="3"/>
    <n v="1"/>
    <x v="2"/>
  </r>
  <r>
    <s v="TX500010"/>
    <x v="8"/>
    <x v="3"/>
    <n v="22.4"/>
    <n v="156.79999999999998"/>
    <x v="0"/>
    <x v="2"/>
    <x v="1"/>
    <x v="0"/>
    <x v="1"/>
    <x v="0"/>
    <x v="3"/>
    <x v="2"/>
    <n v="1"/>
    <x v="1"/>
  </r>
  <r>
    <s v="TX500011"/>
    <x v="9"/>
    <x v="1"/>
    <n v="54.4"/>
    <n v="108.8"/>
    <x v="0"/>
    <x v="4"/>
    <x v="2"/>
    <x v="0"/>
    <x v="0"/>
    <x v="0"/>
    <x v="3"/>
    <x v="4"/>
    <n v="1"/>
    <x v="2"/>
  </r>
  <r>
    <s v="TX500012"/>
    <x v="9"/>
    <x v="1"/>
    <n v="49"/>
    <n v="98"/>
    <x v="0"/>
    <x v="1"/>
    <x v="2"/>
    <x v="2"/>
    <x v="1"/>
    <x v="0"/>
    <x v="3"/>
    <x v="1"/>
    <n v="1"/>
    <x v="2"/>
  </r>
  <r>
    <s v="TX500013"/>
    <x v="5"/>
    <x v="3"/>
    <n v="118.6"/>
    <n v="830.19999999999993"/>
    <x v="0"/>
    <x v="5"/>
    <x v="2"/>
    <x v="1"/>
    <x v="0"/>
    <x v="0"/>
    <x v="4"/>
    <x v="5"/>
    <n v="1"/>
    <x v="2"/>
  </r>
  <r>
    <s v="TX500014"/>
    <x v="6"/>
    <x v="6"/>
    <n v="88.4"/>
    <n v="2386.8000000000002"/>
    <x v="0"/>
    <x v="6"/>
    <x v="1"/>
    <x v="3"/>
    <x v="0"/>
    <x v="0"/>
    <x v="5"/>
    <x v="6"/>
    <n v="1"/>
    <x v="1"/>
  </r>
  <r>
    <s v="TX500015"/>
    <x v="10"/>
    <x v="0"/>
    <n v="66.7"/>
    <n v="66.7"/>
    <x v="0"/>
    <x v="2"/>
    <x v="1"/>
    <x v="0"/>
    <x v="0"/>
    <x v="0"/>
    <x v="6"/>
    <x v="2"/>
    <n v="1"/>
    <x v="1"/>
  </r>
  <r>
    <s v="TX500016"/>
    <x v="9"/>
    <x v="7"/>
    <n v="30.9"/>
    <n v="309"/>
    <x v="0"/>
    <x v="3"/>
    <x v="1"/>
    <x v="1"/>
    <x v="2"/>
    <x v="0"/>
    <x v="6"/>
    <x v="3"/>
    <n v="1"/>
    <x v="1"/>
  </r>
  <r>
    <s v="TX500017"/>
    <x v="4"/>
    <x v="2"/>
    <n v="31.1"/>
    <n v="93.300000000000011"/>
    <x v="0"/>
    <x v="3"/>
    <x v="2"/>
    <x v="0"/>
    <x v="1"/>
    <x v="0"/>
    <x v="6"/>
    <x v="3"/>
    <n v="1"/>
    <x v="2"/>
  </r>
  <r>
    <s v="TX500018"/>
    <x v="7"/>
    <x v="2"/>
    <n v="36.6"/>
    <n v="109.80000000000001"/>
    <x v="0"/>
    <x v="2"/>
    <x v="2"/>
    <x v="0"/>
    <x v="0"/>
    <x v="0"/>
    <x v="7"/>
    <x v="2"/>
    <n v="1"/>
    <x v="2"/>
  </r>
  <r>
    <s v="TX500019"/>
    <x v="6"/>
    <x v="8"/>
    <n v="51.1"/>
    <n v="408.8"/>
    <x v="0"/>
    <x v="2"/>
    <x v="2"/>
    <x v="2"/>
    <x v="3"/>
    <x v="0"/>
    <x v="7"/>
    <x v="2"/>
    <n v="1"/>
    <x v="2"/>
  </r>
  <r>
    <s v="TX500020"/>
    <x v="9"/>
    <x v="0"/>
    <n v="25.2"/>
    <n v="25.2"/>
    <x v="0"/>
    <x v="3"/>
    <x v="2"/>
    <x v="1"/>
    <x v="2"/>
    <x v="0"/>
    <x v="8"/>
    <x v="3"/>
    <n v="1"/>
    <x v="2"/>
  </r>
  <r>
    <s v="TX500021"/>
    <x v="9"/>
    <x v="9"/>
    <n v="43.8"/>
    <n v="219"/>
    <x v="0"/>
    <x v="2"/>
    <x v="2"/>
    <x v="2"/>
    <x v="0"/>
    <x v="0"/>
    <x v="8"/>
    <x v="2"/>
    <n v="1"/>
    <x v="2"/>
  </r>
  <r>
    <s v="TX500022"/>
    <x v="8"/>
    <x v="4"/>
    <n v="46.7"/>
    <n v="560.40000000000009"/>
    <x v="0"/>
    <x v="3"/>
    <x v="2"/>
    <x v="1"/>
    <x v="1"/>
    <x v="0"/>
    <x v="8"/>
    <x v="3"/>
    <n v="1"/>
    <x v="2"/>
  </r>
  <r>
    <s v="TX500023"/>
    <x v="3"/>
    <x v="10"/>
    <n v="79.900000000000006"/>
    <n v="1518.1000000000001"/>
    <x v="0"/>
    <x v="3"/>
    <x v="1"/>
    <x v="0"/>
    <x v="2"/>
    <x v="0"/>
    <x v="8"/>
    <x v="3"/>
    <n v="1"/>
    <x v="1"/>
  </r>
  <r>
    <s v="TX500024"/>
    <x v="11"/>
    <x v="8"/>
    <n v="26.4"/>
    <n v="211.2"/>
    <x v="0"/>
    <x v="3"/>
    <x v="2"/>
    <x v="3"/>
    <x v="0"/>
    <x v="0"/>
    <x v="8"/>
    <x v="3"/>
    <n v="1"/>
    <x v="2"/>
  </r>
  <r>
    <s v="TX500025"/>
    <x v="12"/>
    <x v="8"/>
    <n v="88.8"/>
    <n v="710.4"/>
    <x v="0"/>
    <x v="3"/>
    <x v="2"/>
    <x v="4"/>
    <x v="0"/>
    <x v="0"/>
    <x v="8"/>
    <x v="3"/>
    <n v="1"/>
    <x v="2"/>
  </r>
  <r>
    <s v="TX500026"/>
    <x v="0"/>
    <x v="7"/>
    <n v="17.5"/>
    <n v="175"/>
    <x v="0"/>
    <x v="3"/>
    <x v="2"/>
    <x v="2"/>
    <x v="0"/>
    <x v="0"/>
    <x v="9"/>
    <x v="3"/>
    <n v="1"/>
    <x v="2"/>
  </r>
  <r>
    <s v="TX500027"/>
    <x v="1"/>
    <x v="11"/>
    <n v="38.700000000000003"/>
    <n v="348.3"/>
    <x v="0"/>
    <x v="2"/>
    <x v="1"/>
    <x v="1"/>
    <x v="0"/>
    <x v="0"/>
    <x v="10"/>
    <x v="2"/>
    <n v="1"/>
    <x v="1"/>
  </r>
  <r>
    <s v="TX500028"/>
    <x v="13"/>
    <x v="12"/>
    <n v="57.2"/>
    <n v="228.8"/>
    <x v="0"/>
    <x v="1"/>
    <x v="0"/>
    <x v="1"/>
    <x v="2"/>
    <x v="0"/>
    <x v="11"/>
    <x v="1"/>
    <n v="1"/>
    <x v="0"/>
  </r>
  <r>
    <s v="TX500029"/>
    <x v="6"/>
    <x v="9"/>
    <n v="50.9"/>
    <n v="254.5"/>
    <x v="0"/>
    <x v="4"/>
    <x v="0"/>
    <x v="1"/>
    <x v="2"/>
    <x v="0"/>
    <x v="12"/>
    <x v="4"/>
    <n v="1"/>
    <x v="0"/>
  </r>
  <r>
    <s v="TX500030"/>
    <x v="14"/>
    <x v="3"/>
    <n v="41"/>
    <n v="287"/>
    <x v="0"/>
    <x v="5"/>
    <x v="2"/>
    <x v="1"/>
    <x v="0"/>
    <x v="0"/>
    <x v="13"/>
    <x v="5"/>
    <n v="1"/>
    <x v="2"/>
  </r>
  <r>
    <s v="TX500031"/>
    <x v="8"/>
    <x v="3"/>
    <n v="19.100000000000001"/>
    <n v="133.70000000000002"/>
    <x v="0"/>
    <x v="5"/>
    <x v="1"/>
    <x v="0"/>
    <x v="2"/>
    <x v="0"/>
    <x v="14"/>
    <x v="5"/>
    <n v="1"/>
    <x v="1"/>
  </r>
  <r>
    <s v="TX500032"/>
    <x v="2"/>
    <x v="9"/>
    <n v="166.1"/>
    <n v="830.5"/>
    <x v="0"/>
    <x v="2"/>
    <x v="1"/>
    <x v="0"/>
    <x v="0"/>
    <x v="0"/>
    <x v="15"/>
    <x v="2"/>
    <n v="1"/>
    <x v="1"/>
  </r>
  <r>
    <s v="TX500033"/>
    <x v="4"/>
    <x v="2"/>
    <n v="29.9"/>
    <n v="89.699999999999989"/>
    <x v="0"/>
    <x v="3"/>
    <x v="1"/>
    <x v="3"/>
    <x v="0"/>
    <x v="0"/>
    <x v="3"/>
    <x v="3"/>
    <n v="1"/>
    <x v="1"/>
  </r>
  <r>
    <s v="TX500034"/>
    <x v="10"/>
    <x v="13"/>
    <n v="21.7"/>
    <n v="130.19999999999999"/>
    <x v="0"/>
    <x v="1"/>
    <x v="3"/>
    <x v="2"/>
    <x v="2"/>
    <x v="0"/>
    <x v="3"/>
    <x v="1"/>
    <n v="1"/>
    <x v="3"/>
  </r>
  <r>
    <s v="TX500035"/>
    <x v="11"/>
    <x v="1"/>
    <n v="32"/>
    <n v="64"/>
    <x v="0"/>
    <x v="2"/>
    <x v="1"/>
    <x v="0"/>
    <x v="2"/>
    <x v="0"/>
    <x v="3"/>
    <x v="2"/>
    <n v="1"/>
    <x v="1"/>
  </r>
  <r>
    <s v="TX500036"/>
    <x v="8"/>
    <x v="1"/>
    <n v="15.8"/>
    <n v="31.6"/>
    <x v="0"/>
    <x v="3"/>
    <x v="1"/>
    <x v="4"/>
    <x v="2"/>
    <x v="0"/>
    <x v="3"/>
    <x v="3"/>
    <n v="1"/>
    <x v="1"/>
  </r>
  <r>
    <s v="TX500037"/>
    <x v="2"/>
    <x v="14"/>
    <n v="203.1"/>
    <n v="3452.7"/>
    <x v="0"/>
    <x v="5"/>
    <x v="1"/>
    <x v="3"/>
    <x v="1"/>
    <x v="0"/>
    <x v="3"/>
    <x v="5"/>
    <n v="1"/>
    <x v="1"/>
  </r>
  <r>
    <s v="TX500038"/>
    <x v="7"/>
    <x v="15"/>
    <n v="39"/>
    <n v="507"/>
    <x v="0"/>
    <x v="4"/>
    <x v="1"/>
    <x v="0"/>
    <x v="2"/>
    <x v="0"/>
    <x v="3"/>
    <x v="4"/>
    <n v="1"/>
    <x v="1"/>
  </r>
  <r>
    <s v="TX500039"/>
    <x v="10"/>
    <x v="0"/>
    <n v="26.5"/>
    <n v="26.5"/>
    <x v="1"/>
    <x v="1"/>
    <x v="1"/>
    <x v="2"/>
    <x v="0"/>
    <x v="0"/>
    <x v="3"/>
    <x v="3"/>
    <n v="1"/>
    <x v="1"/>
  </r>
  <r>
    <s v="TX500040"/>
    <x v="5"/>
    <x v="0"/>
    <n v="43.1"/>
    <n v="43.1"/>
    <x v="1"/>
    <x v="1"/>
    <x v="2"/>
    <x v="2"/>
    <x v="1"/>
    <x v="0"/>
    <x v="3"/>
    <x v="3"/>
    <n v="1"/>
    <x v="2"/>
  </r>
  <r>
    <s v="TX500041"/>
    <x v="1"/>
    <x v="2"/>
    <n v="139"/>
    <n v="417"/>
    <x v="1"/>
    <x v="1"/>
    <x v="2"/>
    <x v="4"/>
    <x v="2"/>
    <x v="0"/>
    <x v="3"/>
    <x v="3"/>
    <n v="1"/>
    <x v="2"/>
  </r>
  <r>
    <s v="TX500042"/>
    <x v="12"/>
    <x v="0"/>
    <n v="80.7"/>
    <n v="80.7"/>
    <x v="1"/>
    <x v="1"/>
    <x v="1"/>
    <x v="0"/>
    <x v="2"/>
    <x v="0"/>
    <x v="16"/>
    <x v="3"/>
    <n v="1"/>
    <x v="1"/>
  </r>
  <r>
    <s v="TX500043"/>
    <x v="4"/>
    <x v="1"/>
    <n v="54.5"/>
    <n v="109"/>
    <x v="1"/>
    <x v="2"/>
    <x v="1"/>
    <x v="1"/>
    <x v="1"/>
    <x v="0"/>
    <x v="6"/>
    <x v="1"/>
    <n v="1"/>
    <x v="1"/>
  </r>
  <r>
    <s v="TX500044"/>
    <x v="6"/>
    <x v="2"/>
    <n v="68.599999999999994"/>
    <n v="205.79999999999998"/>
    <x v="1"/>
    <x v="3"/>
    <x v="2"/>
    <x v="0"/>
    <x v="1"/>
    <x v="0"/>
    <x v="8"/>
    <x v="7"/>
    <n v="1"/>
    <x v="2"/>
  </r>
  <r>
    <s v="TX500045"/>
    <x v="2"/>
    <x v="12"/>
    <n v="135.9"/>
    <n v="543.6"/>
    <x v="1"/>
    <x v="1"/>
    <x v="2"/>
    <x v="2"/>
    <x v="2"/>
    <x v="0"/>
    <x v="8"/>
    <x v="3"/>
    <n v="1"/>
    <x v="2"/>
  </r>
  <r>
    <s v="TX500046"/>
    <x v="2"/>
    <x v="12"/>
    <n v="70.900000000000006"/>
    <n v="283.60000000000002"/>
    <x v="1"/>
    <x v="1"/>
    <x v="2"/>
    <x v="0"/>
    <x v="0"/>
    <x v="0"/>
    <x v="17"/>
    <x v="3"/>
    <n v="1"/>
    <x v="2"/>
  </r>
  <r>
    <s v="TX500047"/>
    <x v="1"/>
    <x v="9"/>
    <n v="63.7"/>
    <n v="318.5"/>
    <x v="1"/>
    <x v="1"/>
    <x v="1"/>
    <x v="1"/>
    <x v="1"/>
    <x v="0"/>
    <x v="9"/>
    <x v="3"/>
    <n v="1"/>
    <x v="1"/>
  </r>
  <r>
    <s v="TX500048"/>
    <x v="13"/>
    <x v="0"/>
    <n v="29.7"/>
    <n v="29.7"/>
    <x v="1"/>
    <x v="2"/>
    <x v="2"/>
    <x v="1"/>
    <x v="0"/>
    <x v="0"/>
    <x v="11"/>
    <x v="1"/>
    <n v="1"/>
    <x v="2"/>
  </r>
  <r>
    <s v="TX500049"/>
    <x v="4"/>
    <x v="2"/>
    <n v="26.8"/>
    <n v="80.400000000000006"/>
    <x v="1"/>
    <x v="7"/>
    <x v="2"/>
    <x v="1"/>
    <x v="2"/>
    <x v="0"/>
    <x v="11"/>
    <x v="8"/>
    <n v="1"/>
    <x v="2"/>
  </r>
  <r>
    <s v="TX500050"/>
    <x v="14"/>
    <x v="0"/>
    <n v="27"/>
    <n v="27"/>
    <x v="1"/>
    <x v="2"/>
    <x v="2"/>
    <x v="0"/>
    <x v="0"/>
    <x v="0"/>
    <x v="18"/>
    <x v="1"/>
    <n v="1"/>
    <x v="2"/>
  </r>
  <r>
    <s v="TX500051"/>
    <x v="8"/>
    <x v="0"/>
    <n v="41.4"/>
    <n v="41.4"/>
    <x v="1"/>
    <x v="1"/>
    <x v="1"/>
    <x v="1"/>
    <x v="2"/>
    <x v="0"/>
    <x v="19"/>
    <x v="3"/>
    <n v="1"/>
    <x v="1"/>
  </r>
  <r>
    <s v="TX500052"/>
    <x v="8"/>
    <x v="1"/>
    <n v="24.3"/>
    <n v="48.6"/>
    <x v="1"/>
    <x v="5"/>
    <x v="2"/>
    <x v="1"/>
    <x v="0"/>
    <x v="0"/>
    <x v="19"/>
    <x v="2"/>
    <n v="1"/>
    <x v="2"/>
  </r>
  <r>
    <s v="TX500053"/>
    <x v="8"/>
    <x v="2"/>
    <n v="41.7"/>
    <n v="125.10000000000001"/>
    <x v="1"/>
    <x v="2"/>
    <x v="1"/>
    <x v="0"/>
    <x v="2"/>
    <x v="0"/>
    <x v="20"/>
    <x v="1"/>
    <n v="1"/>
    <x v="1"/>
  </r>
  <r>
    <s v="TX500054"/>
    <x v="0"/>
    <x v="1"/>
    <n v="18"/>
    <n v="36"/>
    <x v="1"/>
    <x v="1"/>
    <x v="2"/>
    <x v="0"/>
    <x v="2"/>
    <x v="0"/>
    <x v="21"/>
    <x v="3"/>
    <n v="1"/>
    <x v="2"/>
  </r>
  <r>
    <s v="TX500055"/>
    <x v="7"/>
    <x v="2"/>
    <n v="91.3"/>
    <n v="273.89999999999998"/>
    <x v="1"/>
    <x v="5"/>
    <x v="1"/>
    <x v="2"/>
    <x v="2"/>
    <x v="0"/>
    <x v="3"/>
    <x v="2"/>
    <n v="1"/>
    <x v="1"/>
  </r>
  <r>
    <s v="TX500056"/>
    <x v="8"/>
    <x v="8"/>
    <n v="19.3"/>
    <n v="154.4"/>
    <x v="1"/>
    <x v="1"/>
    <x v="1"/>
    <x v="0"/>
    <x v="0"/>
    <x v="0"/>
    <x v="3"/>
    <x v="3"/>
    <n v="1"/>
    <x v="1"/>
  </r>
  <r>
    <s v="TX500057"/>
    <x v="12"/>
    <x v="15"/>
    <n v="63.2"/>
    <n v="821.6"/>
    <x v="1"/>
    <x v="1"/>
    <x v="2"/>
    <x v="0"/>
    <x v="0"/>
    <x v="0"/>
    <x v="3"/>
    <x v="3"/>
    <n v="1"/>
    <x v="2"/>
  </r>
  <r>
    <s v="TX500058"/>
    <x v="10"/>
    <x v="11"/>
    <n v="33.299999999999997"/>
    <n v="299.7"/>
    <x v="2"/>
    <x v="7"/>
    <x v="2"/>
    <x v="0"/>
    <x v="2"/>
    <x v="0"/>
    <x v="3"/>
    <x v="9"/>
    <n v="1"/>
    <x v="2"/>
  </r>
  <r>
    <s v="TX500059"/>
    <x v="7"/>
    <x v="1"/>
    <n v="64.2"/>
    <n v="128.4"/>
    <x v="2"/>
    <x v="2"/>
    <x v="1"/>
    <x v="0"/>
    <x v="2"/>
    <x v="0"/>
    <x v="3"/>
    <x v="3"/>
    <n v="1"/>
    <x v="1"/>
  </r>
  <r>
    <s v="TX500060"/>
    <x v="9"/>
    <x v="2"/>
    <n v="23.1"/>
    <n v="69.300000000000011"/>
    <x v="2"/>
    <x v="0"/>
    <x v="2"/>
    <x v="1"/>
    <x v="2"/>
    <x v="0"/>
    <x v="3"/>
    <x v="2"/>
    <n v="1"/>
    <x v="2"/>
  </r>
  <r>
    <s v="TX500061"/>
    <x v="15"/>
    <x v="1"/>
    <n v="71.099999999999994"/>
    <n v="142.19999999999999"/>
    <x v="2"/>
    <x v="5"/>
    <x v="2"/>
    <x v="3"/>
    <x v="1"/>
    <x v="0"/>
    <x v="3"/>
    <x v="1"/>
    <n v="1"/>
    <x v="2"/>
  </r>
  <r>
    <s v="TX500062"/>
    <x v="0"/>
    <x v="1"/>
    <n v="11.5"/>
    <n v="23"/>
    <x v="2"/>
    <x v="2"/>
    <x v="2"/>
    <x v="0"/>
    <x v="0"/>
    <x v="0"/>
    <x v="3"/>
    <x v="3"/>
    <n v="1"/>
    <x v="2"/>
  </r>
  <r>
    <s v="TX500063"/>
    <x v="15"/>
    <x v="10"/>
    <n v="69.2"/>
    <n v="1314.8"/>
    <x v="2"/>
    <x v="6"/>
    <x v="2"/>
    <x v="0"/>
    <x v="0"/>
    <x v="0"/>
    <x v="3"/>
    <x v="0"/>
    <n v="1"/>
    <x v="2"/>
  </r>
  <r>
    <s v="TX500064"/>
    <x v="0"/>
    <x v="0"/>
    <n v="26.8"/>
    <n v="26.8"/>
    <x v="2"/>
    <x v="2"/>
    <x v="1"/>
    <x v="2"/>
    <x v="4"/>
    <x v="0"/>
    <x v="3"/>
    <x v="3"/>
    <n v="1"/>
    <x v="1"/>
  </r>
  <r>
    <s v="TX500065"/>
    <x v="16"/>
    <x v="2"/>
    <n v="31.2"/>
    <n v="93.6"/>
    <x v="2"/>
    <x v="0"/>
    <x v="2"/>
    <x v="0"/>
    <x v="0"/>
    <x v="0"/>
    <x v="3"/>
    <x v="2"/>
    <n v="1"/>
    <x v="2"/>
  </r>
  <r>
    <s v="TX500066"/>
    <x v="12"/>
    <x v="1"/>
    <n v="113.2"/>
    <n v="226.4"/>
    <x v="2"/>
    <x v="2"/>
    <x v="2"/>
    <x v="4"/>
    <x v="0"/>
    <x v="0"/>
    <x v="3"/>
    <x v="3"/>
    <n v="1"/>
    <x v="2"/>
  </r>
  <r>
    <s v="TX500067"/>
    <x v="10"/>
    <x v="8"/>
    <n v="21"/>
    <n v="168"/>
    <x v="2"/>
    <x v="2"/>
    <x v="1"/>
    <x v="0"/>
    <x v="0"/>
    <x v="0"/>
    <x v="6"/>
    <x v="3"/>
    <n v="1"/>
    <x v="1"/>
  </r>
  <r>
    <s v="TX500068"/>
    <x v="1"/>
    <x v="1"/>
    <n v="89.1"/>
    <n v="178.2"/>
    <x v="2"/>
    <x v="2"/>
    <x v="2"/>
    <x v="2"/>
    <x v="2"/>
    <x v="0"/>
    <x v="6"/>
    <x v="3"/>
    <n v="1"/>
    <x v="2"/>
  </r>
  <r>
    <s v="TX500069"/>
    <x v="1"/>
    <x v="0"/>
    <n v="97.7"/>
    <n v="97.7"/>
    <x v="2"/>
    <x v="5"/>
    <x v="2"/>
    <x v="0"/>
    <x v="1"/>
    <x v="0"/>
    <x v="6"/>
    <x v="1"/>
    <n v="1"/>
    <x v="2"/>
  </r>
  <r>
    <s v="TX500070"/>
    <x v="15"/>
    <x v="12"/>
    <n v="97.7"/>
    <n v="390.8"/>
    <x v="2"/>
    <x v="5"/>
    <x v="1"/>
    <x v="3"/>
    <x v="0"/>
    <x v="0"/>
    <x v="6"/>
    <x v="1"/>
    <n v="1"/>
    <x v="1"/>
  </r>
  <r>
    <s v="TX500071"/>
    <x v="17"/>
    <x v="2"/>
    <n v="47.4"/>
    <n v="142.19999999999999"/>
    <x v="2"/>
    <x v="0"/>
    <x v="1"/>
    <x v="3"/>
    <x v="2"/>
    <x v="0"/>
    <x v="8"/>
    <x v="2"/>
    <n v="1"/>
    <x v="1"/>
  </r>
  <r>
    <s v="TX500072"/>
    <x v="7"/>
    <x v="0"/>
    <n v="89.6"/>
    <n v="89.6"/>
    <x v="2"/>
    <x v="0"/>
    <x v="2"/>
    <x v="0"/>
    <x v="2"/>
    <x v="0"/>
    <x v="8"/>
    <x v="2"/>
    <n v="1"/>
    <x v="2"/>
  </r>
  <r>
    <s v="TX500073"/>
    <x v="10"/>
    <x v="16"/>
    <n v="28.4"/>
    <n v="511.2"/>
    <x v="2"/>
    <x v="0"/>
    <x v="2"/>
    <x v="3"/>
    <x v="2"/>
    <x v="0"/>
    <x v="17"/>
    <x v="2"/>
    <n v="1"/>
    <x v="2"/>
  </r>
  <r>
    <s v="TX500074"/>
    <x v="0"/>
    <x v="1"/>
    <n v="17.899999999999999"/>
    <n v="35.799999999999997"/>
    <x v="2"/>
    <x v="2"/>
    <x v="2"/>
    <x v="0"/>
    <x v="2"/>
    <x v="0"/>
    <x v="9"/>
    <x v="3"/>
    <n v="1"/>
    <x v="2"/>
  </r>
  <r>
    <s v="TX500075"/>
    <x v="9"/>
    <x v="1"/>
    <n v="48.4"/>
    <n v="96.8"/>
    <x v="2"/>
    <x v="0"/>
    <x v="1"/>
    <x v="1"/>
    <x v="0"/>
    <x v="0"/>
    <x v="9"/>
    <x v="2"/>
    <n v="1"/>
    <x v="1"/>
  </r>
  <r>
    <s v="TX500076"/>
    <x v="12"/>
    <x v="12"/>
    <n v="44.4"/>
    <n v="177.6"/>
    <x v="2"/>
    <x v="2"/>
    <x v="3"/>
    <x v="1"/>
    <x v="1"/>
    <x v="0"/>
    <x v="11"/>
    <x v="3"/>
    <n v="1"/>
    <x v="3"/>
  </r>
  <r>
    <s v="TX500077"/>
    <x v="2"/>
    <x v="8"/>
    <n v="103.7"/>
    <n v="829.6"/>
    <x v="2"/>
    <x v="2"/>
    <x v="2"/>
    <x v="0"/>
    <x v="1"/>
    <x v="0"/>
    <x v="19"/>
    <x v="3"/>
    <n v="1"/>
    <x v="2"/>
  </r>
  <r>
    <s v="TX500078"/>
    <x v="5"/>
    <x v="12"/>
    <n v="58.6"/>
    <n v="234.4"/>
    <x v="2"/>
    <x v="5"/>
    <x v="1"/>
    <x v="3"/>
    <x v="0"/>
    <x v="0"/>
    <x v="19"/>
    <x v="1"/>
    <n v="1"/>
    <x v="1"/>
  </r>
  <r>
    <s v="TX500079"/>
    <x v="9"/>
    <x v="12"/>
    <n v="54.8"/>
    <n v="219.2"/>
    <x v="2"/>
    <x v="4"/>
    <x v="2"/>
    <x v="2"/>
    <x v="1"/>
    <x v="0"/>
    <x v="13"/>
    <x v="5"/>
    <n v="1"/>
    <x v="2"/>
  </r>
  <r>
    <s v="TX500080"/>
    <x v="12"/>
    <x v="2"/>
    <n v="78.8"/>
    <n v="236.39999999999998"/>
    <x v="2"/>
    <x v="8"/>
    <x v="2"/>
    <x v="4"/>
    <x v="1"/>
    <x v="0"/>
    <x v="21"/>
    <x v="4"/>
    <n v="1"/>
    <x v="2"/>
  </r>
  <r>
    <s v="TX500081"/>
    <x v="18"/>
    <x v="9"/>
    <n v="36.799999999999997"/>
    <n v="184"/>
    <x v="2"/>
    <x v="0"/>
    <x v="1"/>
    <x v="4"/>
    <x v="1"/>
    <x v="0"/>
    <x v="22"/>
    <x v="2"/>
    <n v="1"/>
    <x v="1"/>
  </r>
  <r>
    <s v="TX500082"/>
    <x v="6"/>
    <x v="13"/>
    <n v="50.6"/>
    <n v="303.60000000000002"/>
    <x v="2"/>
    <x v="5"/>
    <x v="2"/>
    <x v="3"/>
    <x v="0"/>
    <x v="0"/>
    <x v="3"/>
    <x v="1"/>
    <n v="1"/>
    <x v="2"/>
  </r>
  <r>
    <s v="TX500083"/>
    <x v="15"/>
    <x v="2"/>
    <n v="36.799999999999997"/>
    <n v="110.39999999999999"/>
    <x v="2"/>
    <x v="1"/>
    <x v="1"/>
    <x v="2"/>
    <x v="1"/>
    <x v="0"/>
    <x v="3"/>
    <x v="7"/>
    <n v="1"/>
    <x v="1"/>
  </r>
  <r>
    <s v="TX500084"/>
    <x v="8"/>
    <x v="11"/>
    <n v="41.8"/>
    <n v="376.2"/>
    <x v="3"/>
    <x v="9"/>
    <x v="2"/>
    <x v="3"/>
    <x v="0"/>
    <x v="0"/>
    <x v="3"/>
    <x v="4"/>
    <n v="1"/>
    <x v="2"/>
  </r>
  <r>
    <s v="TX500085"/>
    <x v="18"/>
    <x v="0"/>
    <n v="77.3"/>
    <n v="77.3"/>
    <x v="3"/>
    <x v="5"/>
    <x v="1"/>
    <x v="4"/>
    <x v="4"/>
    <x v="0"/>
    <x v="3"/>
    <x v="3"/>
    <n v="1"/>
    <x v="1"/>
  </r>
  <r>
    <s v="TX500086"/>
    <x v="8"/>
    <x v="12"/>
    <n v="19.8"/>
    <n v="79.2"/>
    <x v="3"/>
    <x v="9"/>
    <x v="1"/>
    <x v="1"/>
    <x v="2"/>
    <x v="0"/>
    <x v="3"/>
    <x v="4"/>
    <n v="1"/>
    <x v="1"/>
  </r>
  <r>
    <s v="TX500087"/>
    <x v="13"/>
    <x v="12"/>
    <n v="15.5"/>
    <n v="62"/>
    <x v="3"/>
    <x v="5"/>
    <x v="2"/>
    <x v="1"/>
    <x v="2"/>
    <x v="0"/>
    <x v="3"/>
    <x v="3"/>
    <n v="1"/>
    <x v="2"/>
  </r>
  <r>
    <s v="TX500088"/>
    <x v="12"/>
    <x v="0"/>
    <n v="46.8"/>
    <n v="46.8"/>
    <x v="3"/>
    <x v="6"/>
    <x v="1"/>
    <x v="0"/>
    <x v="2"/>
    <x v="0"/>
    <x v="3"/>
    <x v="5"/>
    <n v="1"/>
    <x v="1"/>
  </r>
  <r>
    <s v="TX500089"/>
    <x v="9"/>
    <x v="11"/>
    <n v="28.6"/>
    <n v="257.40000000000003"/>
    <x v="3"/>
    <x v="6"/>
    <x v="1"/>
    <x v="0"/>
    <x v="2"/>
    <x v="0"/>
    <x v="3"/>
    <x v="5"/>
    <n v="1"/>
    <x v="1"/>
  </r>
  <r>
    <s v="TX500090"/>
    <x v="2"/>
    <x v="0"/>
    <n v="97.7"/>
    <n v="97.7"/>
    <x v="3"/>
    <x v="4"/>
    <x v="2"/>
    <x v="1"/>
    <x v="0"/>
    <x v="0"/>
    <x v="3"/>
    <x v="2"/>
    <n v="1"/>
    <x v="2"/>
  </r>
  <r>
    <s v="TX500091"/>
    <x v="9"/>
    <x v="9"/>
    <n v="54.7"/>
    <n v="273.5"/>
    <x v="3"/>
    <x v="4"/>
    <x v="0"/>
    <x v="0"/>
    <x v="2"/>
    <x v="0"/>
    <x v="23"/>
    <x v="2"/>
    <n v="1"/>
    <x v="0"/>
  </r>
  <r>
    <s v="TX500092"/>
    <x v="2"/>
    <x v="13"/>
    <n v="130.5"/>
    <n v="783"/>
    <x v="3"/>
    <x v="0"/>
    <x v="2"/>
    <x v="0"/>
    <x v="1"/>
    <x v="0"/>
    <x v="23"/>
    <x v="1"/>
    <n v="1"/>
    <x v="2"/>
  </r>
  <r>
    <s v="TX500093"/>
    <x v="11"/>
    <x v="1"/>
    <n v="50.4"/>
    <n v="100.8"/>
    <x v="3"/>
    <x v="0"/>
    <x v="1"/>
    <x v="2"/>
    <x v="2"/>
    <x v="0"/>
    <x v="6"/>
    <x v="1"/>
    <n v="1"/>
    <x v="1"/>
  </r>
  <r>
    <s v="TX500094"/>
    <x v="6"/>
    <x v="15"/>
    <n v="61.5"/>
    <n v="799.5"/>
    <x v="3"/>
    <x v="5"/>
    <x v="0"/>
    <x v="3"/>
    <x v="1"/>
    <x v="0"/>
    <x v="11"/>
    <x v="3"/>
    <n v="1"/>
    <x v="0"/>
  </r>
  <r>
    <s v="TX500095"/>
    <x v="9"/>
    <x v="12"/>
    <n v="30.1"/>
    <n v="120.4"/>
    <x v="3"/>
    <x v="5"/>
    <x v="2"/>
    <x v="0"/>
    <x v="2"/>
    <x v="0"/>
    <x v="21"/>
    <x v="3"/>
    <n v="1"/>
    <x v="2"/>
  </r>
  <r>
    <s v="TX500096"/>
    <x v="2"/>
    <x v="9"/>
    <n v="74.8"/>
    <n v="374"/>
    <x v="3"/>
    <x v="5"/>
    <x v="2"/>
    <x v="1"/>
    <x v="0"/>
    <x v="0"/>
    <x v="1"/>
    <x v="3"/>
    <n v="1"/>
    <x v="2"/>
  </r>
  <r>
    <s v="TX500097"/>
    <x v="16"/>
    <x v="2"/>
    <n v="64.900000000000006"/>
    <n v="194.70000000000002"/>
    <x v="3"/>
    <x v="7"/>
    <x v="1"/>
    <x v="0"/>
    <x v="0"/>
    <x v="0"/>
    <x v="2"/>
    <x v="6"/>
    <n v="1"/>
    <x v="1"/>
  </r>
  <r>
    <s v="TX500098"/>
    <x v="9"/>
    <x v="1"/>
    <n v="50.5"/>
    <n v="101"/>
    <x v="3"/>
    <x v="0"/>
    <x v="1"/>
    <x v="1"/>
    <x v="0"/>
    <x v="0"/>
    <x v="22"/>
    <x v="1"/>
    <n v="1"/>
    <x v="1"/>
  </r>
  <r>
    <s v="TX500099"/>
    <x v="11"/>
    <x v="3"/>
    <n v="63"/>
    <n v="441"/>
    <x v="3"/>
    <x v="4"/>
    <x v="1"/>
    <x v="3"/>
    <x v="2"/>
    <x v="0"/>
    <x v="3"/>
    <x v="2"/>
    <n v="1"/>
    <x v="1"/>
  </r>
  <r>
    <s v="TX500100"/>
    <x v="2"/>
    <x v="2"/>
    <n v="93.6"/>
    <n v="280.79999999999995"/>
    <x v="3"/>
    <x v="10"/>
    <x v="2"/>
    <x v="0"/>
    <x v="2"/>
    <x v="0"/>
    <x v="3"/>
    <x v="10"/>
    <n v="1"/>
    <x v="2"/>
  </r>
  <r>
    <s v="TX500101"/>
    <x v="5"/>
    <x v="17"/>
    <n v="41.4"/>
    <n v="1242"/>
    <x v="3"/>
    <x v="6"/>
    <x v="1"/>
    <x v="2"/>
    <x v="2"/>
    <x v="0"/>
    <x v="3"/>
    <x v="5"/>
    <n v="1"/>
    <x v="1"/>
  </r>
  <r>
    <s v="TX500102"/>
    <x v="2"/>
    <x v="1"/>
    <n v="160"/>
    <n v="320"/>
    <x v="4"/>
    <x v="0"/>
    <x v="1"/>
    <x v="2"/>
    <x v="2"/>
    <x v="0"/>
    <x v="5"/>
    <x v="3"/>
    <n v="2"/>
    <x v="1"/>
  </r>
  <r>
    <s v="TX500103"/>
    <x v="19"/>
    <x v="5"/>
    <n v="10.5"/>
    <n v="115.5"/>
    <x v="4"/>
    <x v="6"/>
    <x v="2"/>
    <x v="4"/>
    <x v="0"/>
    <x v="0"/>
    <x v="8"/>
    <x v="2"/>
    <n v="2"/>
    <x v="2"/>
  </r>
  <r>
    <s v="TX500104"/>
    <x v="10"/>
    <x v="1"/>
    <n v="53"/>
    <n v="106"/>
    <x v="4"/>
    <x v="5"/>
    <x v="1"/>
    <x v="2"/>
    <x v="4"/>
    <x v="0"/>
    <x v="17"/>
    <x v="7"/>
    <n v="2"/>
    <x v="1"/>
  </r>
  <r>
    <s v="TX500105"/>
    <x v="8"/>
    <x v="2"/>
    <n v="18.5"/>
    <n v="55.5"/>
    <x v="4"/>
    <x v="9"/>
    <x v="2"/>
    <x v="1"/>
    <x v="2"/>
    <x v="0"/>
    <x v="11"/>
    <x v="0"/>
    <n v="2"/>
    <x v="2"/>
  </r>
  <r>
    <s v="TX500106"/>
    <x v="16"/>
    <x v="2"/>
    <n v="84.5"/>
    <n v="253.5"/>
    <x v="4"/>
    <x v="4"/>
    <x v="2"/>
    <x v="4"/>
    <x v="1"/>
    <x v="0"/>
    <x v="13"/>
    <x v="1"/>
    <n v="2"/>
    <x v="2"/>
  </r>
  <r>
    <s v="TX500107"/>
    <x v="15"/>
    <x v="3"/>
    <n v="31.2"/>
    <n v="218.4"/>
    <x v="4"/>
    <x v="5"/>
    <x v="2"/>
    <x v="2"/>
    <x v="2"/>
    <x v="0"/>
    <x v="3"/>
    <x v="7"/>
    <n v="2"/>
    <x v="2"/>
  </r>
  <r>
    <s v="TX500108"/>
    <x v="8"/>
    <x v="16"/>
    <n v="32.6"/>
    <n v="586.80000000000007"/>
    <x v="4"/>
    <x v="0"/>
    <x v="1"/>
    <x v="1"/>
    <x v="1"/>
    <x v="0"/>
    <x v="3"/>
    <x v="3"/>
    <n v="2"/>
    <x v="1"/>
  </r>
  <r>
    <s v="TX500109"/>
    <x v="10"/>
    <x v="12"/>
    <n v="45.4"/>
    <n v="181.6"/>
    <x v="4"/>
    <x v="4"/>
    <x v="1"/>
    <x v="1"/>
    <x v="0"/>
    <x v="0"/>
    <x v="3"/>
    <x v="1"/>
    <n v="2"/>
    <x v="1"/>
  </r>
  <r>
    <s v="TX500110"/>
    <x v="2"/>
    <x v="4"/>
    <n v="120"/>
    <n v="1440"/>
    <x v="4"/>
    <x v="0"/>
    <x v="2"/>
    <x v="2"/>
    <x v="4"/>
    <x v="0"/>
    <x v="3"/>
    <x v="3"/>
    <n v="2"/>
    <x v="2"/>
  </r>
  <r>
    <s v="TX500111"/>
    <x v="0"/>
    <x v="12"/>
    <n v="18.899999999999999"/>
    <n v="75.599999999999994"/>
    <x v="4"/>
    <x v="4"/>
    <x v="1"/>
    <x v="0"/>
    <x v="2"/>
    <x v="0"/>
    <x v="3"/>
    <x v="1"/>
    <n v="2"/>
    <x v="1"/>
  </r>
  <r>
    <s v="TX500112"/>
    <x v="4"/>
    <x v="0"/>
    <n v="32"/>
    <n v="32"/>
    <x v="4"/>
    <x v="4"/>
    <x v="2"/>
    <x v="4"/>
    <x v="0"/>
    <x v="0"/>
    <x v="3"/>
    <x v="1"/>
    <n v="2"/>
    <x v="2"/>
  </r>
  <r>
    <s v="TX500113"/>
    <x v="7"/>
    <x v="1"/>
    <n v="37.299999999999997"/>
    <n v="74.599999999999994"/>
    <x v="4"/>
    <x v="0"/>
    <x v="1"/>
    <x v="2"/>
    <x v="0"/>
    <x v="0"/>
    <x v="3"/>
    <x v="3"/>
    <n v="2"/>
    <x v="1"/>
  </r>
  <r>
    <s v="TX500114"/>
    <x v="18"/>
    <x v="0"/>
    <n v="119.8"/>
    <n v="119.8"/>
    <x v="4"/>
    <x v="0"/>
    <x v="1"/>
    <x v="1"/>
    <x v="1"/>
    <x v="0"/>
    <x v="3"/>
    <x v="3"/>
    <n v="2"/>
    <x v="1"/>
  </r>
  <r>
    <s v="TX500115"/>
    <x v="10"/>
    <x v="1"/>
    <n v="26.4"/>
    <n v="52.8"/>
    <x v="4"/>
    <x v="6"/>
    <x v="1"/>
    <x v="2"/>
    <x v="0"/>
    <x v="0"/>
    <x v="3"/>
    <x v="2"/>
    <n v="2"/>
    <x v="1"/>
  </r>
  <r>
    <s v="TX500116"/>
    <x v="6"/>
    <x v="13"/>
    <n v="76.5"/>
    <n v="459"/>
    <x v="4"/>
    <x v="0"/>
    <x v="2"/>
    <x v="1"/>
    <x v="1"/>
    <x v="0"/>
    <x v="3"/>
    <x v="3"/>
    <n v="2"/>
    <x v="2"/>
  </r>
  <r>
    <s v="TX500117"/>
    <x v="4"/>
    <x v="7"/>
    <n v="45.7"/>
    <n v="457"/>
    <x v="4"/>
    <x v="0"/>
    <x v="2"/>
    <x v="2"/>
    <x v="0"/>
    <x v="0"/>
    <x v="24"/>
    <x v="3"/>
    <n v="2"/>
    <x v="2"/>
  </r>
  <r>
    <s v="TX500118"/>
    <x v="1"/>
    <x v="4"/>
    <n v="92.6"/>
    <n v="1111.1999999999998"/>
    <x v="4"/>
    <x v="4"/>
    <x v="2"/>
    <x v="2"/>
    <x v="0"/>
    <x v="0"/>
    <x v="25"/>
    <x v="1"/>
    <n v="2"/>
    <x v="2"/>
  </r>
  <r>
    <s v="TX500119"/>
    <x v="6"/>
    <x v="13"/>
    <n v="60.1"/>
    <n v="360.6"/>
    <x v="4"/>
    <x v="0"/>
    <x v="1"/>
    <x v="1"/>
    <x v="0"/>
    <x v="0"/>
    <x v="23"/>
    <x v="3"/>
    <n v="2"/>
    <x v="1"/>
  </r>
  <r>
    <s v="TX500120"/>
    <x v="1"/>
    <x v="2"/>
    <n v="73"/>
    <n v="219"/>
    <x v="4"/>
    <x v="0"/>
    <x v="2"/>
    <x v="3"/>
    <x v="1"/>
    <x v="0"/>
    <x v="6"/>
    <x v="3"/>
    <n v="2"/>
    <x v="2"/>
  </r>
  <r>
    <s v="TX500121"/>
    <x v="6"/>
    <x v="2"/>
    <n v="44.3"/>
    <n v="132.89999999999998"/>
    <x v="4"/>
    <x v="8"/>
    <x v="0"/>
    <x v="2"/>
    <x v="2"/>
    <x v="0"/>
    <x v="6"/>
    <x v="5"/>
    <n v="2"/>
    <x v="0"/>
  </r>
  <r>
    <s v="TX500122"/>
    <x v="6"/>
    <x v="2"/>
    <n v="63.3"/>
    <n v="189.89999999999998"/>
    <x v="4"/>
    <x v="0"/>
    <x v="1"/>
    <x v="2"/>
    <x v="0"/>
    <x v="0"/>
    <x v="6"/>
    <x v="3"/>
    <n v="2"/>
    <x v="1"/>
  </r>
  <r>
    <s v="TX500123"/>
    <x v="12"/>
    <x v="0"/>
    <n v="66.8"/>
    <n v="66.8"/>
    <x v="4"/>
    <x v="0"/>
    <x v="2"/>
    <x v="1"/>
    <x v="0"/>
    <x v="0"/>
    <x v="6"/>
    <x v="3"/>
    <n v="2"/>
    <x v="2"/>
  </r>
  <r>
    <s v="TX500124"/>
    <x v="2"/>
    <x v="1"/>
    <n v="59.7"/>
    <n v="119.4"/>
    <x v="4"/>
    <x v="0"/>
    <x v="2"/>
    <x v="0"/>
    <x v="0"/>
    <x v="0"/>
    <x v="7"/>
    <x v="3"/>
    <n v="2"/>
    <x v="2"/>
  </r>
  <r>
    <s v="TX500125"/>
    <x v="1"/>
    <x v="13"/>
    <n v="92"/>
    <n v="552"/>
    <x v="4"/>
    <x v="4"/>
    <x v="1"/>
    <x v="0"/>
    <x v="4"/>
    <x v="0"/>
    <x v="7"/>
    <x v="1"/>
    <n v="2"/>
    <x v="1"/>
  </r>
  <r>
    <s v="TX500126"/>
    <x v="7"/>
    <x v="1"/>
    <n v="87.6"/>
    <n v="175.2"/>
    <x v="4"/>
    <x v="4"/>
    <x v="1"/>
    <x v="1"/>
    <x v="1"/>
    <x v="0"/>
    <x v="8"/>
    <x v="1"/>
    <n v="2"/>
    <x v="1"/>
  </r>
  <r>
    <s v="TX500127"/>
    <x v="6"/>
    <x v="2"/>
    <n v="84.5"/>
    <n v="253.5"/>
    <x v="4"/>
    <x v="0"/>
    <x v="2"/>
    <x v="1"/>
    <x v="1"/>
    <x v="0"/>
    <x v="8"/>
    <x v="3"/>
    <n v="2"/>
    <x v="2"/>
  </r>
  <r>
    <s v="TX500128"/>
    <x v="1"/>
    <x v="1"/>
    <n v="116.3"/>
    <n v="232.6"/>
    <x v="5"/>
    <x v="6"/>
    <x v="1"/>
    <x v="2"/>
    <x v="2"/>
    <x v="0"/>
    <x v="8"/>
    <x v="1"/>
    <n v="2"/>
    <x v="1"/>
  </r>
  <r>
    <s v="TX500129"/>
    <x v="6"/>
    <x v="9"/>
    <n v="52.7"/>
    <n v="263.5"/>
    <x v="5"/>
    <x v="9"/>
    <x v="1"/>
    <x v="0"/>
    <x v="0"/>
    <x v="0"/>
    <x v="8"/>
    <x v="5"/>
    <n v="2"/>
    <x v="1"/>
  </r>
  <r>
    <s v="TX500130"/>
    <x v="16"/>
    <x v="2"/>
    <n v="34.200000000000003"/>
    <n v="102.60000000000001"/>
    <x v="5"/>
    <x v="4"/>
    <x v="1"/>
    <x v="0"/>
    <x v="2"/>
    <x v="0"/>
    <x v="26"/>
    <x v="3"/>
    <n v="2"/>
    <x v="1"/>
  </r>
  <r>
    <s v="TX500131"/>
    <x v="9"/>
    <x v="0"/>
    <n v="23.3"/>
    <n v="23.3"/>
    <x v="5"/>
    <x v="11"/>
    <x v="3"/>
    <x v="2"/>
    <x v="2"/>
    <x v="0"/>
    <x v="9"/>
    <x v="8"/>
    <n v="2"/>
    <x v="3"/>
  </r>
  <r>
    <s v="TX500132"/>
    <x v="0"/>
    <x v="18"/>
    <n v="25.9"/>
    <n v="673.4"/>
    <x v="5"/>
    <x v="8"/>
    <x v="2"/>
    <x v="4"/>
    <x v="1"/>
    <x v="0"/>
    <x v="9"/>
    <x v="2"/>
    <n v="2"/>
    <x v="2"/>
  </r>
  <r>
    <s v="TX500133"/>
    <x v="6"/>
    <x v="19"/>
    <n v="54.9"/>
    <n v="1592.1"/>
    <x v="5"/>
    <x v="4"/>
    <x v="1"/>
    <x v="1"/>
    <x v="2"/>
    <x v="0"/>
    <x v="9"/>
    <x v="3"/>
    <n v="2"/>
    <x v="1"/>
  </r>
  <r>
    <s v="TX500134"/>
    <x v="5"/>
    <x v="2"/>
    <n v="75.8"/>
    <n v="227.39999999999998"/>
    <x v="5"/>
    <x v="7"/>
    <x v="3"/>
    <x v="1"/>
    <x v="0"/>
    <x v="0"/>
    <x v="18"/>
    <x v="0"/>
    <n v="2"/>
    <x v="3"/>
  </r>
  <r>
    <s v="TX500135"/>
    <x v="1"/>
    <x v="11"/>
    <n v="44.9"/>
    <n v="404.09999999999997"/>
    <x v="5"/>
    <x v="8"/>
    <x v="2"/>
    <x v="2"/>
    <x v="2"/>
    <x v="0"/>
    <x v="2"/>
    <x v="2"/>
    <n v="2"/>
    <x v="2"/>
  </r>
  <r>
    <s v="TX500136"/>
    <x v="11"/>
    <x v="1"/>
    <n v="48.8"/>
    <n v="97.6"/>
    <x v="5"/>
    <x v="6"/>
    <x v="2"/>
    <x v="3"/>
    <x v="0"/>
    <x v="0"/>
    <x v="27"/>
    <x v="1"/>
    <n v="2"/>
    <x v="2"/>
  </r>
  <r>
    <s v="TX500137"/>
    <x v="15"/>
    <x v="0"/>
    <n v="20.3"/>
    <n v="20.3"/>
    <x v="5"/>
    <x v="4"/>
    <x v="2"/>
    <x v="0"/>
    <x v="2"/>
    <x v="0"/>
    <x v="22"/>
    <x v="3"/>
    <n v="2"/>
    <x v="2"/>
  </r>
  <r>
    <s v="TX500138"/>
    <x v="5"/>
    <x v="3"/>
    <n v="36.4"/>
    <n v="254.79999999999998"/>
    <x v="5"/>
    <x v="8"/>
    <x v="2"/>
    <x v="0"/>
    <x v="1"/>
    <x v="0"/>
    <x v="3"/>
    <x v="2"/>
    <n v="2"/>
    <x v="2"/>
  </r>
  <r>
    <s v="TX500139"/>
    <x v="0"/>
    <x v="0"/>
    <n v="19"/>
    <n v="19"/>
    <x v="5"/>
    <x v="7"/>
    <x v="2"/>
    <x v="1"/>
    <x v="2"/>
    <x v="0"/>
    <x v="3"/>
    <x v="0"/>
    <n v="2"/>
    <x v="2"/>
  </r>
  <r>
    <s v="TX500140"/>
    <x v="8"/>
    <x v="0"/>
    <n v="17.8"/>
    <n v="17.8"/>
    <x v="5"/>
    <x v="0"/>
    <x v="1"/>
    <x v="0"/>
    <x v="0"/>
    <x v="0"/>
    <x v="3"/>
    <x v="7"/>
    <n v="2"/>
    <x v="1"/>
  </r>
  <r>
    <s v="TX500141"/>
    <x v="2"/>
    <x v="13"/>
    <n v="139.6"/>
    <n v="837.59999999999991"/>
    <x v="5"/>
    <x v="8"/>
    <x v="1"/>
    <x v="0"/>
    <x v="0"/>
    <x v="0"/>
    <x v="3"/>
    <x v="2"/>
    <n v="2"/>
    <x v="1"/>
  </r>
  <r>
    <s v="TX500142"/>
    <x v="9"/>
    <x v="0"/>
    <n v="31.7"/>
    <n v="31.7"/>
    <x v="5"/>
    <x v="0"/>
    <x v="0"/>
    <x v="0"/>
    <x v="0"/>
    <x v="0"/>
    <x v="3"/>
    <x v="7"/>
    <n v="2"/>
    <x v="0"/>
  </r>
  <r>
    <s v="TX500143"/>
    <x v="8"/>
    <x v="8"/>
    <n v="26.3"/>
    <n v="210.4"/>
    <x v="5"/>
    <x v="8"/>
    <x v="2"/>
    <x v="4"/>
    <x v="4"/>
    <x v="0"/>
    <x v="3"/>
    <x v="2"/>
    <n v="2"/>
    <x v="2"/>
  </r>
  <r>
    <s v="TX500144"/>
    <x v="4"/>
    <x v="1"/>
    <n v="47.8"/>
    <n v="95.6"/>
    <x v="5"/>
    <x v="4"/>
    <x v="0"/>
    <x v="0"/>
    <x v="0"/>
    <x v="0"/>
    <x v="3"/>
    <x v="3"/>
    <n v="2"/>
    <x v="0"/>
  </r>
  <r>
    <s v="TX500145"/>
    <x v="9"/>
    <x v="2"/>
    <n v="69.400000000000006"/>
    <n v="208.20000000000002"/>
    <x v="5"/>
    <x v="9"/>
    <x v="2"/>
    <x v="0"/>
    <x v="0"/>
    <x v="0"/>
    <x v="3"/>
    <x v="5"/>
    <n v="2"/>
    <x v="2"/>
  </r>
  <r>
    <s v="TX500146"/>
    <x v="18"/>
    <x v="4"/>
    <n v="25.8"/>
    <n v="309.60000000000002"/>
    <x v="5"/>
    <x v="4"/>
    <x v="1"/>
    <x v="4"/>
    <x v="4"/>
    <x v="0"/>
    <x v="3"/>
    <x v="3"/>
    <n v="2"/>
    <x v="1"/>
  </r>
  <r>
    <s v="TX500147"/>
    <x v="0"/>
    <x v="12"/>
    <n v="26.4"/>
    <n v="105.6"/>
    <x v="5"/>
    <x v="4"/>
    <x v="1"/>
    <x v="1"/>
    <x v="2"/>
    <x v="0"/>
    <x v="3"/>
    <x v="3"/>
    <n v="2"/>
    <x v="1"/>
  </r>
  <r>
    <s v="TX500148"/>
    <x v="8"/>
    <x v="12"/>
    <n v="15.7"/>
    <n v="62.8"/>
    <x v="5"/>
    <x v="4"/>
    <x v="1"/>
    <x v="2"/>
    <x v="0"/>
    <x v="0"/>
    <x v="3"/>
    <x v="3"/>
    <n v="2"/>
    <x v="1"/>
  </r>
  <r>
    <s v="TX500149"/>
    <x v="8"/>
    <x v="0"/>
    <n v="39.700000000000003"/>
    <n v="39.700000000000003"/>
    <x v="5"/>
    <x v="9"/>
    <x v="1"/>
    <x v="0"/>
    <x v="0"/>
    <x v="0"/>
    <x v="3"/>
    <x v="5"/>
    <n v="2"/>
    <x v="1"/>
  </r>
  <r>
    <s v="TX500150"/>
    <x v="10"/>
    <x v="12"/>
    <n v="31.1"/>
    <n v="124.4"/>
    <x v="5"/>
    <x v="6"/>
    <x v="2"/>
    <x v="2"/>
    <x v="1"/>
    <x v="0"/>
    <x v="3"/>
    <x v="1"/>
    <n v="2"/>
    <x v="2"/>
  </r>
  <r>
    <s v="TX500151"/>
    <x v="13"/>
    <x v="20"/>
    <n v="23.4"/>
    <n v="351"/>
    <x v="5"/>
    <x v="11"/>
    <x v="1"/>
    <x v="0"/>
    <x v="0"/>
    <x v="0"/>
    <x v="3"/>
    <x v="8"/>
    <n v="2"/>
    <x v="1"/>
  </r>
  <r>
    <s v="TX500152"/>
    <x v="1"/>
    <x v="12"/>
    <n v="57.1"/>
    <n v="228.4"/>
    <x v="6"/>
    <x v="6"/>
    <x v="1"/>
    <x v="2"/>
    <x v="0"/>
    <x v="0"/>
    <x v="25"/>
    <x v="3"/>
    <n v="2"/>
    <x v="1"/>
  </r>
  <r>
    <s v="TX500153"/>
    <x v="2"/>
    <x v="9"/>
    <n v="89.9"/>
    <n v="449.5"/>
    <x v="6"/>
    <x v="4"/>
    <x v="2"/>
    <x v="0"/>
    <x v="3"/>
    <x v="0"/>
    <x v="23"/>
    <x v="7"/>
    <n v="2"/>
    <x v="2"/>
  </r>
  <r>
    <s v="TX500154"/>
    <x v="10"/>
    <x v="3"/>
    <n v="48.1"/>
    <n v="336.7"/>
    <x v="6"/>
    <x v="8"/>
    <x v="2"/>
    <x v="1"/>
    <x v="2"/>
    <x v="0"/>
    <x v="6"/>
    <x v="1"/>
    <n v="2"/>
    <x v="2"/>
  </r>
  <r>
    <s v="TX500155"/>
    <x v="8"/>
    <x v="1"/>
    <n v="29.3"/>
    <n v="58.6"/>
    <x v="6"/>
    <x v="4"/>
    <x v="2"/>
    <x v="1"/>
    <x v="1"/>
    <x v="0"/>
    <x v="6"/>
    <x v="7"/>
    <n v="2"/>
    <x v="2"/>
  </r>
  <r>
    <s v="TX500156"/>
    <x v="8"/>
    <x v="12"/>
    <n v="28.8"/>
    <n v="115.2"/>
    <x v="6"/>
    <x v="6"/>
    <x v="2"/>
    <x v="0"/>
    <x v="4"/>
    <x v="0"/>
    <x v="6"/>
    <x v="3"/>
    <n v="2"/>
    <x v="2"/>
  </r>
  <r>
    <s v="TX500157"/>
    <x v="10"/>
    <x v="9"/>
    <n v="40.5"/>
    <n v="202.5"/>
    <x v="6"/>
    <x v="7"/>
    <x v="2"/>
    <x v="3"/>
    <x v="0"/>
    <x v="0"/>
    <x v="6"/>
    <x v="5"/>
    <n v="2"/>
    <x v="2"/>
  </r>
  <r>
    <s v="TX500158"/>
    <x v="18"/>
    <x v="21"/>
    <n v="65.099999999999994"/>
    <n v="911.39999999999986"/>
    <x v="6"/>
    <x v="6"/>
    <x v="2"/>
    <x v="4"/>
    <x v="0"/>
    <x v="0"/>
    <x v="7"/>
    <x v="3"/>
    <n v="2"/>
    <x v="2"/>
  </r>
  <r>
    <s v="TX500159"/>
    <x v="8"/>
    <x v="12"/>
    <n v="40.299999999999997"/>
    <n v="161.19999999999999"/>
    <x v="6"/>
    <x v="12"/>
    <x v="2"/>
    <x v="2"/>
    <x v="0"/>
    <x v="0"/>
    <x v="7"/>
    <x v="0"/>
    <n v="2"/>
    <x v="2"/>
  </r>
  <r>
    <s v="TX500160"/>
    <x v="6"/>
    <x v="9"/>
    <n v="51.8"/>
    <n v="259"/>
    <x v="6"/>
    <x v="6"/>
    <x v="1"/>
    <x v="2"/>
    <x v="2"/>
    <x v="0"/>
    <x v="8"/>
    <x v="3"/>
    <n v="2"/>
    <x v="1"/>
  </r>
  <r>
    <s v="TX500161"/>
    <x v="6"/>
    <x v="2"/>
    <n v="61.3"/>
    <n v="183.89999999999998"/>
    <x v="6"/>
    <x v="6"/>
    <x v="2"/>
    <x v="3"/>
    <x v="0"/>
    <x v="0"/>
    <x v="8"/>
    <x v="3"/>
    <n v="2"/>
    <x v="2"/>
  </r>
  <r>
    <s v="TX500162"/>
    <x v="2"/>
    <x v="12"/>
    <n v="122.5"/>
    <n v="490"/>
    <x v="6"/>
    <x v="6"/>
    <x v="1"/>
    <x v="0"/>
    <x v="0"/>
    <x v="0"/>
    <x v="8"/>
    <x v="3"/>
    <n v="2"/>
    <x v="1"/>
  </r>
  <r>
    <s v="TX500163"/>
    <x v="0"/>
    <x v="11"/>
    <n v="12.5"/>
    <n v="112.5"/>
    <x v="6"/>
    <x v="6"/>
    <x v="0"/>
    <x v="1"/>
    <x v="2"/>
    <x v="0"/>
    <x v="8"/>
    <x v="3"/>
    <n v="2"/>
    <x v="0"/>
  </r>
  <r>
    <s v="TX500164"/>
    <x v="15"/>
    <x v="8"/>
    <n v="37.5"/>
    <n v="300"/>
    <x v="6"/>
    <x v="6"/>
    <x v="2"/>
    <x v="0"/>
    <x v="0"/>
    <x v="0"/>
    <x v="9"/>
    <x v="3"/>
    <n v="2"/>
    <x v="2"/>
  </r>
  <r>
    <s v="TX500165"/>
    <x v="6"/>
    <x v="2"/>
    <n v="40"/>
    <n v="120"/>
    <x v="6"/>
    <x v="9"/>
    <x v="1"/>
    <x v="0"/>
    <x v="4"/>
    <x v="0"/>
    <x v="11"/>
    <x v="2"/>
    <n v="2"/>
    <x v="1"/>
  </r>
  <r>
    <s v="TX500166"/>
    <x v="17"/>
    <x v="8"/>
    <n v="38.5"/>
    <n v="308"/>
    <x v="6"/>
    <x v="12"/>
    <x v="2"/>
    <x v="2"/>
    <x v="1"/>
    <x v="0"/>
    <x v="11"/>
    <x v="0"/>
    <n v="2"/>
    <x v="2"/>
  </r>
  <r>
    <s v="TX500167"/>
    <x v="2"/>
    <x v="1"/>
    <n v="86.4"/>
    <n v="172.8"/>
    <x v="6"/>
    <x v="8"/>
    <x v="2"/>
    <x v="0"/>
    <x v="0"/>
    <x v="0"/>
    <x v="18"/>
    <x v="1"/>
    <n v="2"/>
    <x v="2"/>
  </r>
  <r>
    <s v="TX500168"/>
    <x v="10"/>
    <x v="0"/>
    <n v="50.7"/>
    <n v="50.7"/>
    <x v="6"/>
    <x v="7"/>
    <x v="2"/>
    <x v="1"/>
    <x v="0"/>
    <x v="0"/>
    <x v="18"/>
    <x v="5"/>
    <n v="2"/>
    <x v="2"/>
  </r>
  <r>
    <s v="TX500169"/>
    <x v="10"/>
    <x v="1"/>
    <n v="61"/>
    <n v="122"/>
    <x v="6"/>
    <x v="13"/>
    <x v="2"/>
    <x v="4"/>
    <x v="1"/>
    <x v="0"/>
    <x v="18"/>
    <x v="11"/>
    <n v="2"/>
    <x v="2"/>
  </r>
  <r>
    <s v="TX500170"/>
    <x v="4"/>
    <x v="1"/>
    <n v="19.899999999999999"/>
    <n v="39.799999999999997"/>
    <x v="6"/>
    <x v="9"/>
    <x v="2"/>
    <x v="1"/>
    <x v="0"/>
    <x v="0"/>
    <x v="28"/>
    <x v="2"/>
    <n v="2"/>
    <x v="2"/>
  </r>
  <r>
    <s v="TX500171"/>
    <x v="5"/>
    <x v="0"/>
    <n v="78.3"/>
    <n v="78.3"/>
    <x v="6"/>
    <x v="4"/>
    <x v="2"/>
    <x v="0"/>
    <x v="2"/>
    <x v="0"/>
    <x v="1"/>
    <x v="7"/>
    <n v="2"/>
    <x v="2"/>
  </r>
  <r>
    <s v="TX500172"/>
    <x v="0"/>
    <x v="10"/>
    <n v="10.4"/>
    <n v="197.6"/>
    <x v="6"/>
    <x v="8"/>
    <x v="1"/>
    <x v="0"/>
    <x v="2"/>
    <x v="0"/>
    <x v="2"/>
    <x v="1"/>
    <n v="2"/>
    <x v="1"/>
  </r>
  <r>
    <s v="TX500173"/>
    <x v="10"/>
    <x v="0"/>
    <n v="36.1"/>
    <n v="36.1"/>
    <x v="6"/>
    <x v="9"/>
    <x v="1"/>
    <x v="3"/>
    <x v="2"/>
    <x v="0"/>
    <x v="3"/>
    <x v="2"/>
    <n v="2"/>
    <x v="1"/>
  </r>
  <r>
    <s v="TX500174"/>
    <x v="14"/>
    <x v="1"/>
    <n v="17.3"/>
    <n v="34.6"/>
    <x v="6"/>
    <x v="8"/>
    <x v="2"/>
    <x v="1"/>
    <x v="2"/>
    <x v="0"/>
    <x v="3"/>
    <x v="1"/>
    <n v="2"/>
    <x v="2"/>
  </r>
  <r>
    <s v="TX500175"/>
    <x v="10"/>
    <x v="1"/>
    <n v="30.5"/>
    <n v="61"/>
    <x v="6"/>
    <x v="6"/>
    <x v="2"/>
    <x v="1"/>
    <x v="2"/>
    <x v="0"/>
    <x v="3"/>
    <x v="3"/>
    <n v="2"/>
    <x v="2"/>
  </r>
  <r>
    <s v="TX500176"/>
    <x v="18"/>
    <x v="22"/>
    <n v="70.099999999999994"/>
    <n v="4346.2"/>
    <x v="6"/>
    <x v="4"/>
    <x v="2"/>
    <x v="2"/>
    <x v="0"/>
    <x v="0"/>
    <x v="3"/>
    <x v="7"/>
    <n v="2"/>
    <x v="2"/>
  </r>
  <r>
    <s v="TX500177"/>
    <x v="3"/>
    <x v="0"/>
    <n v="76.099999999999994"/>
    <n v="76.099999999999994"/>
    <x v="6"/>
    <x v="4"/>
    <x v="2"/>
    <x v="2"/>
    <x v="1"/>
    <x v="0"/>
    <x v="3"/>
    <x v="7"/>
    <n v="2"/>
    <x v="2"/>
  </r>
  <r>
    <s v="TX500178"/>
    <x v="15"/>
    <x v="15"/>
    <n v="34.200000000000003"/>
    <n v="444.6"/>
    <x v="6"/>
    <x v="6"/>
    <x v="1"/>
    <x v="0"/>
    <x v="0"/>
    <x v="0"/>
    <x v="3"/>
    <x v="3"/>
    <n v="2"/>
    <x v="1"/>
  </r>
  <r>
    <s v="TX500179"/>
    <x v="8"/>
    <x v="9"/>
    <n v="30.3"/>
    <n v="151.5"/>
    <x v="6"/>
    <x v="12"/>
    <x v="2"/>
    <x v="4"/>
    <x v="0"/>
    <x v="0"/>
    <x v="3"/>
    <x v="0"/>
    <n v="2"/>
    <x v="2"/>
  </r>
  <r>
    <s v="TX500180"/>
    <x v="6"/>
    <x v="9"/>
    <n v="52.5"/>
    <n v="262.5"/>
    <x v="6"/>
    <x v="7"/>
    <x v="0"/>
    <x v="3"/>
    <x v="0"/>
    <x v="0"/>
    <x v="3"/>
    <x v="5"/>
    <n v="2"/>
    <x v="0"/>
  </r>
  <r>
    <s v="TX500181"/>
    <x v="9"/>
    <x v="5"/>
    <n v="28.7"/>
    <n v="315.7"/>
    <x v="6"/>
    <x v="6"/>
    <x v="2"/>
    <x v="2"/>
    <x v="0"/>
    <x v="0"/>
    <x v="3"/>
    <x v="3"/>
    <n v="2"/>
    <x v="2"/>
  </r>
  <r>
    <s v="TX500182"/>
    <x v="7"/>
    <x v="3"/>
    <n v="52"/>
    <n v="364"/>
    <x v="6"/>
    <x v="6"/>
    <x v="1"/>
    <x v="1"/>
    <x v="4"/>
    <x v="0"/>
    <x v="3"/>
    <x v="3"/>
    <n v="2"/>
    <x v="1"/>
  </r>
  <r>
    <s v="TX500183"/>
    <x v="0"/>
    <x v="0"/>
    <n v="13.3"/>
    <n v="13.3"/>
    <x v="7"/>
    <x v="12"/>
    <x v="2"/>
    <x v="2"/>
    <x v="1"/>
    <x v="0"/>
    <x v="3"/>
    <x v="5"/>
    <n v="2"/>
    <x v="2"/>
  </r>
  <r>
    <s v="TX500184"/>
    <x v="0"/>
    <x v="2"/>
    <n v="15.7"/>
    <n v="47.099999999999994"/>
    <x v="7"/>
    <x v="8"/>
    <x v="2"/>
    <x v="1"/>
    <x v="0"/>
    <x v="0"/>
    <x v="29"/>
    <x v="3"/>
    <n v="2"/>
    <x v="2"/>
  </r>
  <r>
    <s v="TX500185"/>
    <x v="8"/>
    <x v="1"/>
    <n v="25.6"/>
    <n v="51.2"/>
    <x v="7"/>
    <x v="8"/>
    <x v="1"/>
    <x v="0"/>
    <x v="2"/>
    <x v="0"/>
    <x v="23"/>
    <x v="3"/>
    <n v="2"/>
    <x v="1"/>
  </r>
  <r>
    <s v="TX500186"/>
    <x v="8"/>
    <x v="0"/>
    <n v="43.4"/>
    <n v="43.4"/>
    <x v="7"/>
    <x v="14"/>
    <x v="1"/>
    <x v="0"/>
    <x v="0"/>
    <x v="0"/>
    <x v="6"/>
    <x v="0"/>
    <n v="2"/>
    <x v="1"/>
  </r>
  <r>
    <s v="TX500187"/>
    <x v="11"/>
    <x v="11"/>
    <n v="33.4"/>
    <n v="300.59999999999997"/>
    <x v="7"/>
    <x v="6"/>
    <x v="2"/>
    <x v="0"/>
    <x v="0"/>
    <x v="0"/>
    <x v="8"/>
    <x v="7"/>
    <n v="2"/>
    <x v="2"/>
  </r>
  <r>
    <s v="TX500188"/>
    <x v="8"/>
    <x v="10"/>
    <n v="55"/>
    <n v="1045"/>
    <x v="7"/>
    <x v="8"/>
    <x v="2"/>
    <x v="1"/>
    <x v="2"/>
    <x v="0"/>
    <x v="8"/>
    <x v="3"/>
    <n v="2"/>
    <x v="2"/>
  </r>
  <r>
    <s v="TX500189"/>
    <x v="8"/>
    <x v="2"/>
    <n v="23.6"/>
    <n v="70.800000000000011"/>
    <x v="7"/>
    <x v="8"/>
    <x v="1"/>
    <x v="0"/>
    <x v="2"/>
    <x v="0"/>
    <x v="8"/>
    <x v="3"/>
    <n v="2"/>
    <x v="1"/>
  </r>
  <r>
    <s v="TX500190"/>
    <x v="12"/>
    <x v="11"/>
    <n v="104"/>
    <n v="936"/>
    <x v="7"/>
    <x v="9"/>
    <x v="2"/>
    <x v="2"/>
    <x v="2"/>
    <x v="0"/>
    <x v="17"/>
    <x v="1"/>
    <n v="2"/>
    <x v="2"/>
  </r>
  <r>
    <s v="TX500191"/>
    <x v="6"/>
    <x v="1"/>
    <n v="51.8"/>
    <n v="103.6"/>
    <x v="7"/>
    <x v="12"/>
    <x v="0"/>
    <x v="0"/>
    <x v="2"/>
    <x v="0"/>
    <x v="10"/>
    <x v="5"/>
    <n v="2"/>
    <x v="0"/>
  </r>
  <r>
    <s v="TX500192"/>
    <x v="10"/>
    <x v="9"/>
    <n v="34.5"/>
    <n v="172.5"/>
    <x v="7"/>
    <x v="9"/>
    <x v="0"/>
    <x v="2"/>
    <x v="2"/>
    <x v="0"/>
    <x v="11"/>
    <x v="1"/>
    <n v="2"/>
    <x v="0"/>
  </r>
  <r>
    <s v="TX500193"/>
    <x v="6"/>
    <x v="1"/>
    <n v="51.8"/>
    <n v="103.6"/>
    <x v="7"/>
    <x v="9"/>
    <x v="1"/>
    <x v="1"/>
    <x v="2"/>
    <x v="0"/>
    <x v="30"/>
    <x v="1"/>
    <n v="2"/>
    <x v="1"/>
  </r>
  <r>
    <s v="TX500194"/>
    <x v="18"/>
    <x v="23"/>
    <n v="131.5"/>
    <n v="5654.5"/>
    <x v="7"/>
    <x v="8"/>
    <x v="2"/>
    <x v="0"/>
    <x v="2"/>
    <x v="0"/>
    <x v="18"/>
    <x v="3"/>
    <n v="2"/>
    <x v="2"/>
  </r>
  <r>
    <s v="TX500195"/>
    <x v="8"/>
    <x v="3"/>
    <n v="47.8"/>
    <n v="334.59999999999997"/>
    <x v="7"/>
    <x v="6"/>
    <x v="2"/>
    <x v="0"/>
    <x v="0"/>
    <x v="0"/>
    <x v="19"/>
    <x v="7"/>
    <n v="2"/>
    <x v="2"/>
  </r>
  <r>
    <s v="TX500196"/>
    <x v="0"/>
    <x v="1"/>
    <n v="10.199999999999999"/>
    <n v="20.399999999999999"/>
    <x v="7"/>
    <x v="9"/>
    <x v="2"/>
    <x v="0"/>
    <x v="0"/>
    <x v="0"/>
    <x v="19"/>
    <x v="1"/>
    <n v="2"/>
    <x v="2"/>
  </r>
  <r>
    <s v="TX500197"/>
    <x v="8"/>
    <x v="8"/>
    <n v="41"/>
    <n v="328"/>
    <x v="7"/>
    <x v="6"/>
    <x v="2"/>
    <x v="1"/>
    <x v="2"/>
    <x v="0"/>
    <x v="19"/>
    <x v="7"/>
    <n v="2"/>
    <x v="2"/>
  </r>
  <r>
    <s v="TX500198"/>
    <x v="10"/>
    <x v="3"/>
    <n v="50.8"/>
    <n v="355.59999999999997"/>
    <x v="7"/>
    <x v="7"/>
    <x v="2"/>
    <x v="1"/>
    <x v="0"/>
    <x v="0"/>
    <x v="21"/>
    <x v="2"/>
    <n v="2"/>
    <x v="2"/>
  </r>
  <r>
    <s v="TX500199"/>
    <x v="18"/>
    <x v="2"/>
    <n v="39.6"/>
    <n v="118.80000000000001"/>
    <x v="7"/>
    <x v="8"/>
    <x v="1"/>
    <x v="2"/>
    <x v="2"/>
    <x v="0"/>
    <x v="1"/>
    <x v="3"/>
    <n v="2"/>
    <x v="1"/>
  </r>
  <r>
    <s v="TX500200"/>
    <x v="5"/>
    <x v="1"/>
    <n v="69.5"/>
    <n v="139"/>
    <x v="7"/>
    <x v="9"/>
    <x v="1"/>
    <x v="0"/>
    <x v="2"/>
    <x v="0"/>
    <x v="2"/>
    <x v="1"/>
    <n v="2"/>
    <x v="1"/>
  </r>
  <r>
    <s v="TX500201"/>
    <x v="8"/>
    <x v="8"/>
    <n v="32.6"/>
    <n v="260.8"/>
    <x v="7"/>
    <x v="7"/>
    <x v="1"/>
    <x v="1"/>
    <x v="0"/>
    <x v="0"/>
    <x v="3"/>
    <x v="2"/>
    <n v="2"/>
    <x v="1"/>
  </r>
  <r>
    <s v="TX500202"/>
    <x v="7"/>
    <x v="1"/>
    <n v="49.1"/>
    <n v="98.2"/>
    <x v="7"/>
    <x v="15"/>
    <x v="1"/>
    <x v="3"/>
    <x v="2"/>
    <x v="0"/>
    <x v="3"/>
    <x v="9"/>
    <n v="2"/>
    <x v="1"/>
  </r>
  <r>
    <s v="TX500203"/>
    <x v="6"/>
    <x v="1"/>
    <n v="49.4"/>
    <n v="98.8"/>
    <x v="8"/>
    <x v="9"/>
    <x v="2"/>
    <x v="2"/>
    <x v="0"/>
    <x v="0"/>
    <x v="3"/>
    <x v="3"/>
    <n v="2"/>
    <x v="2"/>
  </r>
  <r>
    <s v="TX500204"/>
    <x v="7"/>
    <x v="3"/>
    <n v="65.099999999999994"/>
    <n v="455.69999999999993"/>
    <x v="8"/>
    <x v="12"/>
    <x v="2"/>
    <x v="2"/>
    <x v="2"/>
    <x v="0"/>
    <x v="3"/>
    <x v="2"/>
    <n v="2"/>
    <x v="2"/>
  </r>
  <r>
    <s v="TX500205"/>
    <x v="3"/>
    <x v="1"/>
    <n v="52.1"/>
    <n v="104.2"/>
    <x v="8"/>
    <x v="14"/>
    <x v="2"/>
    <x v="2"/>
    <x v="0"/>
    <x v="0"/>
    <x v="3"/>
    <x v="5"/>
    <n v="2"/>
    <x v="2"/>
  </r>
  <r>
    <s v="TX500206"/>
    <x v="2"/>
    <x v="12"/>
    <n v="129.19999999999999"/>
    <n v="516.79999999999995"/>
    <x v="8"/>
    <x v="9"/>
    <x v="2"/>
    <x v="1"/>
    <x v="0"/>
    <x v="0"/>
    <x v="3"/>
    <x v="3"/>
    <n v="2"/>
    <x v="2"/>
  </r>
  <r>
    <s v="TX500207"/>
    <x v="1"/>
    <x v="10"/>
    <n v="81.8"/>
    <n v="1554.2"/>
    <x v="8"/>
    <x v="8"/>
    <x v="2"/>
    <x v="1"/>
    <x v="1"/>
    <x v="0"/>
    <x v="3"/>
    <x v="7"/>
    <n v="2"/>
    <x v="2"/>
  </r>
  <r>
    <s v="TX500208"/>
    <x v="17"/>
    <x v="0"/>
    <n v="24.9"/>
    <n v="24.9"/>
    <x v="8"/>
    <x v="14"/>
    <x v="2"/>
    <x v="1"/>
    <x v="0"/>
    <x v="0"/>
    <x v="3"/>
    <x v="5"/>
    <n v="2"/>
    <x v="2"/>
  </r>
  <r>
    <s v="TX500209"/>
    <x v="0"/>
    <x v="2"/>
    <n v="49.4"/>
    <n v="148.19999999999999"/>
    <x v="8"/>
    <x v="12"/>
    <x v="2"/>
    <x v="4"/>
    <x v="4"/>
    <x v="0"/>
    <x v="3"/>
    <x v="2"/>
    <n v="2"/>
    <x v="2"/>
  </r>
  <r>
    <s v="TX500210"/>
    <x v="8"/>
    <x v="1"/>
    <n v="22.7"/>
    <n v="45.4"/>
    <x v="8"/>
    <x v="9"/>
    <x v="1"/>
    <x v="3"/>
    <x v="2"/>
    <x v="0"/>
    <x v="3"/>
    <x v="3"/>
    <n v="2"/>
    <x v="1"/>
  </r>
  <r>
    <s v="TX500211"/>
    <x v="1"/>
    <x v="0"/>
    <n v="77.3"/>
    <n v="77.3"/>
    <x v="8"/>
    <x v="8"/>
    <x v="2"/>
    <x v="0"/>
    <x v="2"/>
    <x v="0"/>
    <x v="6"/>
    <x v="7"/>
    <n v="2"/>
    <x v="2"/>
  </r>
  <r>
    <s v="TX500212"/>
    <x v="1"/>
    <x v="9"/>
    <n v="109.1"/>
    <n v="545.5"/>
    <x v="8"/>
    <x v="12"/>
    <x v="2"/>
    <x v="0"/>
    <x v="0"/>
    <x v="0"/>
    <x v="6"/>
    <x v="2"/>
    <n v="2"/>
    <x v="2"/>
  </r>
  <r>
    <s v="TX500213"/>
    <x v="2"/>
    <x v="12"/>
    <n v="53.9"/>
    <n v="215.6"/>
    <x v="8"/>
    <x v="9"/>
    <x v="1"/>
    <x v="0"/>
    <x v="1"/>
    <x v="0"/>
    <x v="8"/>
    <x v="3"/>
    <n v="2"/>
    <x v="1"/>
  </r>
  <r>
    <s v="TX500214"/>
    <x v="9"/>
    <x v="18"/>
    <n v="21.2"/>
    <n v="551.19999999999993"/>
    <x v="8"/>
    <x v="8"/>
    <x v="2"/>
    <x v="0"/>
    <x v="0"/>
    <x v="0"/>
    <x v="9"/>
    <x v="7"/>
    <n v="2"/>
    <x v="2"/>
  </r>
  <r>
    <s v="TX500215"/>
    <x v="16"/>
    <x v="12"/>
    <n v="69"/>
    <n v="276"/>
    <x v="8"/>
    <x v="7"/>
    <x v="2"/>
    <x v="1"/>
    <x v="1"/>
    <x v="0"/>
    <x v="18"/>
    <x v="1"/>
    <n v="2"/>
    <x v="2"/>
  </r>
  <r>
    <s v="TX500216"/>
    <x v="6"/>
    <x v="2"/>
    <n v="46.2"/>
    <n v="138.60000000000002"/>
    <x v="8"/>
    <x v="7"/>
    <x v="2"/>
    <x v="0"/>
    <x v="2"/>
    <x v="0"/>
    <x v="31"/>
    <x v="1"/>
    <n v="2"/>
    <x v="2"/>
  </r>
  <r>
    <s v="TX500217"/>
    <x v="1"/>
    <x v="9"/>
    <n v="97.4"/>
    <n v="487"/>
    <x v="8"/>
    <x v="14"/>
    <x v="2"/>
    <x v="4"/>
    <x v="2"/>
    <x v="0"/>
    <x v="21"/>
    <x v="5"/>
    <n v="2"/>
    <x v="2"/>
  </r>
  <r>
    <s v="TX500218"/>
    <x v="8"/>
    <x v="9"/>
    <n v="21"/>
    <n v="105"/>
    <x v="8"/>
    <x v="9"/>
    <x v="1"/>
    <x v="0"/>
    <x v="1"/>
    <x v="0"/>
    <x v="21"/>
    <x v="3"/>
    <n v="2"/>
    <x v="1"/>
  </r>
  <r>
    <s v="TX500219"/>
    <x v="5"/>
    <x v="1"/>
    <n v="32.700000000000003"/>
    <n v="65.400000000000006"/>
    <x v="9"/>
    <x v="14"/>
    <x v="2"/>
    <x v="1"/>
    <x v="0"/>
    <x v="0"/>
    <x v="2"/>
    <x v="2"/>
    <n v="2"/>
    <x v="2"/>
  </r>
  <r>
    <s v="TX500220"/>
    <x v="6"/>
    <x v="12"/>
    <n v="48"/>
    <n v="192"/>
    <x v="9"/>
    <x v="7"/>
    <x v="1"/>
    <x v="3"/>
    <x v="0"/>
    <x v="0"/>
    <x v="3"/>
    <x v="3"/>
    <n v="2"/>
    <x v="1"/>
  </r>
  <r>
    <s v="TX500221"/>
    <x v="6"/>
    <x v="2"/>
    <n v="68.2"/>
    <n v="204.60000000000002"/>
    <x v="9"/>
    <x v="16"/>
    <x v="0"/>
    <x v="0"/>
    <x v="2"/>
    <x v="0"/>
    <x v="3"/>
    <x v="5"/>
    <n v="2"/>
    <x v="0"/>
  </r>
  <r>
    <s v="TX500222"/>
    <x v="5"/>
    <x v="0"/>
    <n v="45.4"/>
    <n v="45.4"/>
    <x v="9"/>
    <x v="12"/>
    <x v="1"/>
    <x v="1"/>
    <x v="0"/>
    <x v="0"/>
    <x v="3"/>
    <x v="1"/>
    <n v="2"/>
    <x v="1"/>
  </r>
  <r>
    <s v="TX500223"/>
    <x v="12"/>
    <x v="1"/>
    <n v="53.9"/>
    <n v="107.8"/>
    <x v="9"/>
    <x v="7"/>
    <x v="2"/>
    <x v="2"/>
    <x v="0"/>
    <x v="0"/>
    <x v="3"/>
    <x v="3"/>
    <n v="2"/>
    <x v="2"/>
  </r>
  <r>
    <s v="TX500224"/>
    <x v="2"/>
    <x v="12"/>
    <n v="62.1"/>
    <n v="248.4"/>
    <x v="9"/>
    <x v="16"/>
    <x v="2"/>
    <x v="0"/>
    <x v="0"/>
    <x v="0"/>
    <x v="4"/>
    <x v="5"/>
    <n v="2"/>
    <x v="2"/>
  </r>
  <r>
    <s v="TX500225"/>
    <x v="13"/>
    <x v="3"/>
    <n v="33.1"/>
    <n v="231.70000000000002"/>
    <x v="9"/>
    <x v="11"/>
    <x v="1"/>
    <x v="1"/>
    <x v="0"/>
    <x v="0"/>
    <x v="6"/>
    <x v="0"/>
    <n v="2"/>
    <x v="1"/>
  </r>
  <r>
    <s v="TX500226"/>
    <x v="18"/>
    <x v="9"/>
    <n v="35.200000000000003"/>
    <n v="176"/>
    <x v="9"/>
    <x v="9"/>
    <x v="2"/>
    <x v="1"/>
    <x v="0"/>
    <x v="0"/>
    <x v="6"/>
    <x v="7"/>
    <n v="2"/>
    <x v="2"/>
  </r>
  <r>
    <s v="TX500227"/>
    <x v="9"/>
    <x v="2"/>
    <n v="32.1"/>
    <n v="96.300000000000011"/>
    <x v="9"/>
    <x v="11"/>
    <x v="1"/>
    <x v="3"/>
    <x v="0"/>
    <x v="0"/>
    <x v="8"/>
    <x v="0"/>
    <n v="2"/>
    <x v="1"/>
  </r>
  <r>
    <s v="TX500228"/>
    <x v="11"/>
    <x v="0"/>
    <n v="38.1"/>
    <n v="38.1"/>
    <x v="9"/>
    <x v="11"/>
    <x v="2"/>
    <x v="0"/>
    <x v="2"/>
    <x v="0"/>
    <x v="8"/>
    <x v="0"/>
    <n v="2"/>
    <x v="2"/>
  </r>
  <r>
    <s v="TX500229"/>
    <x v="8"/>
    <x v="0"/>
    <n v="65.2"/>
    <n v="65.2"/>
    <x v="9"/>
    <x v="11"/>
    <x v="2"/>
    <x v="3"/>
    <x v="1"/>
    <x v="0"/>
    <x v="8"/>
    <x v="0"/>
    <n v="2"/>
    <x v="2"/>
  </r>
  <r>
    <s v="TX500230"/>
    <x v="10"/>
    <x v="3"/>
    <n v="55.2"/>
    <n v="386.40000000000003"/>
    <x v="9"/>
    <x v="7"/>
    <x v="1"/>
    <x v="2"/>
    <x v="0"/>
    <x v="0"/>
    <x v="11"/>
    <x v="3"/>
    <n v="2"/>
    <x v="1"/>
  </r>
  <r>
    <s v="TX500231"/>
    <x v="6"/>
    <x v="0"/>
    <n v="62"/>
    <n v="62"/>
    <x v="9"/>
    <x v="16"/>
    <x v="2"/>
    <x v="0"/>
    <x v="0"/>
    <x v="0"/>
    <x v="11"/>
    <x v="5"/>
    <n v="2"/>
    <x v="2"/>
  </r>
  <r>
    <s v="TX500232"/>
    <x v="7"/>
    <x v="2"/>
    <n v="45.9"/>
    <n v="137.69999999999999"/>
    <x v="9"/>
    <x v="7"/>
    <x v="2"/>
    <x v="2"/>
    <x v="0"/>
    <x v="0"/>
    <x v="32"/>
    <x v="3"/>
    <n v="2"/>
    <x v="2"/>
  </r>
  <r>
    <s v="TX500233"/>
    <x v="18"/>
    <x v="2"/>
    <n v="58.3"/>
    <n v="174.89999999999998"/>
    <x v="9"/>
    <x v="9"/>
    <x v="1"/>
    <x v="1"/>
    <x v="1"/>
    <x v="0"/>
    <x v="18"/>
    <x v="7"/>
    <n v="2"/>
    <x v="1"/>
  </r>
  <r>
    <s v="TX500234"/>
    <x v="8"/>
    <x v="1"/>
    <n v="22.3"/>
    <n v="44.6"/>
    <x v="9"/>
    <x v="14"/>
    <x v="2"/>
    <x v="0"/>
    <x v="2"/>
    <x v="0"/>
    <x v="20"/>
    <x v="2"/>
    <n v="2"/>
    <x v="2"/>
  </r>
  <r>
    <s v="TX500235"/>
    <x v="19"/>
    <x v="9"/>
    <n v="24"/>
    <n v="120"/>
    <x v="9"/>
    <x v="7"/>
    <x v="1"/>
    <x v="4"/>
    <x v="0"/>
    <x v="0"/>
    <x v="1"/>
    <x v="3"/>
    <n v="2"/>
    <x v="1"/>
  </r>
  <r>
    <s v="TX500236"/>
    <x v="0"/>
    <x v="7"/>
    <n v="21.3"/>
    <n v="213"/>
    <x v="9"/>
    <x v="9"/>
    <x v="2"/>
    <x v="1"/>
    <x v="2"/>
    <x v="0"/>
    <x v="22"/>
    <x v="7"/>
    <n v="2"/>
    <x v="2"/>
  </r>
  <r>
    <s v="TX500237"/>
    <x v="6"/>
    <x v="24"/>
    <n v="57.8"/>
    <n v="2369.7999999999997"/>
    <x v="9"/>
    <x v="12"/>
    <x v="2"/>
    <x v="0"/>
    <x v="2"/>
    <x v="0"/>
    <x v="3"/>
    <x v="1"/>
    <n v="2"/>
    <x v="2"/>
  </r>
  <r>
    <s v="TX500238"/>
    <x v="10"/>
    <x v="2"/>
    <n v="67.599999999999994"/>
    <n v="202.79999999999998"/>
    <x v="9"/>
    <x v="7"/>
    <x v="2"/>
    <x v="0"/>
    <x v="0"/>
    <x v="0"/>
    <x v="3"/>
    <x v="3"/>
    <n v="2"/>
    <x v="2"/>
  </r>
  <r>
    <s v="TX500239"/>
    <x v="6"/>
    <x v="13"/>
    <n v="66.7"/>
    <n v="400.20000000000005"/>
    <x v="9"/>
    <x v="16"/>
    <x v="1"/>
    <x v="4"/>
    <x v="1"/>
    <x v="0"/>
    <x v="3"/>
    <x v="5"/>
    <n v="2"/>
    <x v="1"/>
  </r>
  <r>
    <s v="TX500240"/>
    <x v="1"/>
    <x v="12"/>
    <n v="53.1"/>
    <n v="212.4"/>
    <x v="9"/>
    <x v="12"/>
    <x v="2"/>
    <x v="1"/>
    <x v="0"/>
    <x v="0"/>
    <x v="3"/>
    <x v="1"/>
    <n v="2"/>
    <x v="2"/>
  </r>
  <r>
    <s v="TX500241"/>
    <x v="12"/>
    <x v="2"/>
    <n v="57.4"/>
    <n v="172.2"/>
    <x v="9"/>
    <x v="14"/>
    <x v="2"/>
    <x v="0"/>
    <x v="2"/>
    <x v="0"/>
    <x v="29"/>
    <x v="2"/>
    <n v="2"/>
    <x v="2"/>
  </r>
  <r>
    <s v="TX500242"/>
    <x v="2"/>
    <x v="9"/>
    <n v="58.1"/>
    <n v="290.5"/>
    <x v="9"/>
    <x v="9"/>
    <x v="1"/>
    <x v="2"/>
    <x v="2"/>
    <x v="0"/>
    <x v="6"/>
    <x v="7"/>
    <n v="2"/>
    <x v="1"/>
  </r>
  <r>
    <s v="TX500243"/>
    <x v="5"/>
    <x v="2"/>
    <n v="31.8"/>
    <n v="95.4"/>
    <x v="10"/>
    <x v="14"/>
    <x v="1"/>
    <x v="3"/>
    <x v="0"/>
    <x v="0"/>
    <x v="6"/>
    <x v="1"/>
    <n v="2"/>
    <x v="1"/>
  </r>
  <r>
    <s v="TX500244"/>
    <x v="4"/>
    <x v="2"/>
    <n v="31.5"/>
    <n v="94.5"/>
    <x v="10"/>
    <x v="16"/>
    <x v="1"/>
    <x v="0"/>
    <x v="1"/>
    <x v="0"/>
    <x v="8"/>
    <x v="2"/>
    <n v="2"/>
    <x v="1"/>
  </r>
  <r>
    <s v="TX500245"/>
    <x v="6"/>
    <x v="3"/>
    <n v="55.9"/>
    <n v="391.3"/>
    <x v="10"/>
    <x v="11"/>
    <x v="2"/>
    <x v="1"/>
    <x v="2"/>
    <x v="0"/>
    <x v="8"/>
    <x v="5"/>
    <n v="2"/>
    <x v="2"/>
  </r>
  <r>
    <s v="TX500246"/>
    <x v="8"/>
    <x v="1"/>
    <n v="36.4"/>
    <n v="72.8"/>
    <x v="10"/>
    <x v="12"/>
    <x v="1"/>
    <x v="1"/>
    <x v="1"/>
    <x v="0"/>
    <x v="9"/>
    <x v="3"/>
    <n v="2"/>
    <x v="1"/>
  </r>
  <r>
    <s v="TX500247"/>
    <x v="1"/>
    <x v="9"/>
    <n v="47.3"/>
    <n v="236.5"/>
    <x v="10"/>
    <x v="16"/>
    <x v="1"/>
    <x v="2"/>
    <x v="0"/>
    <x v="0"/>
    <x v="10"/>
    <x v="2"/>
    <n v="2"/>
    <x v="1"/>
  </r>
  <r>
    <s v="TX500248"/>
    <x v="6"/>
    <x v="2"/>
    <n v="82.5"/>
    <n v="247.5"/>
    <x v="10"/>
    <x v="12"/>
    <x v="1"/>
    <x v="0"/>
    <x v="0"/>
    <x v="0"/>
    <x v="11"/>
    <x v="3"/>
    <n v="2"/>
    <x v="1"/>
  </r>
  <r>
    <s v="TX500249"/>
    <x v="0"/>
    <x v="0"/>
    <n v="14.3"/>
    <n v="14.3"/>
    <x v="10"/>
    <x v="12"/>
    <x v="2"/>
    <x v="0"/>
    <x v="0"/>
    <x v="0"/>
    <x v="21"/>
    <x v="3"/>
    <n v="2"/>
    <x v="2"/>
  </r>
  <r>
    <s v="TX500250"/>
    <x v="2"/>
    <x v="13"/>
    <n v="57.6"/>
    <n v="345.6"/>
    <x v="10"/>
    <x v="17"/>
    <x v="2"/>
    <x v="0"/>
    <x v="0"/>
    <x v="0"/>
    <x v="21"/>
    <x v="12"/>
    <n v="2"/>
    <x v="2"/>
  </r>
  <r>
    <s v="TX500251"/>
    <x v="2"/>
    <x v="2"/>
    <n v="142.4"/>
    <n v="427.20000000000005"/>
    <x v="10"/>
    <x v="14"/>
    <x v="1"/>
    <x v="4"/>
    <x v="1"/>
    <x v="0"/>
    <x v="21"/>
    <x v="1"/>
    <n v="2"/>
    <x v="1"/>
  </r>
  <r>
    <s v="TX500252"/>
    <x v="12"/>
    <x v="0"/>
    <n v="30.2"/>
    <n v="30.2"/>
    <x v="10"/>
    <x v="11"/>
    <x v="1"/>
    <x v="1"/>
    <x v="2"/>
    <x v="0"/>
    <x v="2"/>
    <x v="5"/>
    <n v="2"/>
    <x v="1"/>
  </r>
  <r>
    <s v="TX500253"/>
    <x v="18"/>
    <x v="2"/>
    <n v="65.3"/>
    <n v="195.89999999999998"/>
    <x v="10"/>
    <x v="12"/>
    <x v="3"/>
    <x v="1"/>
    <x v="0"/>
    <x v="0"/>
    <x v="33"/>
    <x v="3"/>
    <n v="2"/>
    <x v="3"/>
  </r>
  <r>
    <s v="TX500254"/>
    <x v="0"/>
    <x v="1"/>
    <n v="33.4"/>
    <n v="66.8"/>
    <x v="10"/>
    <x v="12"/>
    <x v="1"/>
    <x v="1"/>
    <x v="1"/>
    <x v="0"/>
    <x v="22"/>
    <x v="3"/>
    <n v="2"/>
    <x v="1"/>
  </r>
  <r>
    <s v="TX500255"/>
    <x v="7"/>
    <x v="1"/>
    <n v="45.1"/>
    <n v="90.2"/>
    <x v="10"/>
    <x v="18"/>
    <x v="1"/>
    <x v="0"/>
    <x v="0"/>
    <x v="0"/>
    <x v="34"/>
    <x v="9"/>
    <n v="2"/>
    <x v="1"/>
  </r>
  <r>
    <s v="TX500256"/>
    <x v="2"/>
    <x v="3"/>
    <n v="61.7"/>
    <n v="431.90000000000003"/>
    <x v="10"/>
    <x v="14"/>
    <x v="2"/>
    <x v="4"/>
    <x v="0"/>
    <x v="0"/>
    <x v="3"/>
    <x v="1"/>
    <n v="2"/>
    <x v="2"/>
  </r>
  <r>
    <s v="TX500257"/>
    <x v="9"/>
    <x v="2"/>
    <n v="45.1"/>
    <n v="135.30000000000001"/>
    <x v="11"/>
    <x v="14"/>
    <x v="1"/>
    <x v="4"/>
    <x v="1"/>
    <x v="0"/>
    <x v="3"/>
    <x v="3"/>
    <n v="3"/>
    <x v="1"/>
  </r>
  <r>
    <s v="TX500258"/>
    <x v="15"/>
    <x v="9"/>
    <n v="22.7"/>
    <n v="113.5"/>
    <x v="11"/>
    <x v="10"/>
    <x v="1"/>
    <x v="0"/>
    <x v="2"/>
    <x v="0"/>
    <x v="35"/>
    <x v="0"/>
    <n v="3"/>
    <x v="1"/>
  </r>
  <r>
    <s v="TX500259"/>
    <x v="8"/>
    <x v="0"/>
    <n v="17.600000000000001"/>
    <n v="17.600000000000001"/>
    <x v="11"/>
    <x v="14"/>
    <x v="2"/>
    <x v="0"/>
    <x v="2"/>
    <x v="0"/>
    <x v="23"/>
    <x v="3"/>
    <n v="3"/>
    <x v="2"/>
  </r>
  <r>
    <s v="TX500260"/>
    <x v="14"/>
    <x v="1"/>
    <n v="11.3"/>
    <n v="22.6"/>
    <x v="11"/>
    <x v="11"/>
    <x v="2"/>
    <x v="3"/>
    <x v="2"/>
    <x v="0"/>
    <x v="23"/>
    <x v="2"/>
    <n v="3"/>
    <x v="2"/>
  </r>
  <r>
    <s v="TX500261"/>
    <x v="6"/>
    <x v="2"/>
    <n v="53.4"/>
    <n v="160.19999999999999"/>
    <x v="11"/>
    <x v="11"/>
    <x v="1"/>
    <x v="3"/>
    <x v="2"/>
    <x v="0"/>
    <x v="36"/>
    <x v="2"/>
    <n v="3"/>
    <x v="1"/>
  </r>
  <r>
    <s v="TX500262"/>
    <x v="6"/>
    <x v="5"/>
    <n v="51.1"/>
    <n v="562.1"/>
    <x v="11"/>
    <x v="16"/>
    <x v="2"/>
    <x v="2"/>
    <x v="2"/>
    <x v="0"/>
    <x v="8"/>
    <x v="1"/>
    <n v="3"/>
    <x v="2"/>
  </r>
  <r>
    <s v="TX500263"/>
    <x v="8"/>
    <x v="1"/>
    <n v="27.5"/>
    <n v="55"/>
    <x v="11"/>
    <x v="14"/>
    <x v="1"/>
    <x v="4"/>
    <x v="1"/>
    <x v="0"/>
    <x v="8"/>
    <x v="3"/>
    <n v="3"/>
    <x v="1"/>
  </r>
  <r>
    <s v="TX500264"/>
    <x v="9"/>
    <x v="0"/>
    <n v="33.5"/>
    <n v="33.5"/>
    <x v="11"/>
    <x v="16"/>
    <x v="2"/>
    <x v="0"/>
    <x v="4"/>
    <x v="0"/>
    <x v="8"/>
    <x v="1"/>
    <n v="3"/>
    <x v="2"/>
  </r>
  <r>
    <s v="TX500265"/>
    <x v="4"/>
    <x v="0"/>
    <n v="59.5"/>
    <n v="59.5"/>
    <x v="11"/>
    <x v="12"/>
    <x v="1"/>
    <x v="0"/>
    <x v="2"/>
    <x v="0"/>
    <x v="18"/>
    <x v="7"/>
    <n v="3"/>
    <x v="1"/>
  </r>
  <r>
    <s v="TX500266"/>
    <x v="17"/>
    <x v="12"/>
    <n v="23.5"/>
    <n v="94"/>
    <x v="11"/>
    <x v="14"/>
    <x v="2"/>
    <x v="3"/>
    <x v="3"/>
    <x v="0"/>
    <x v="19"/>
    <x v="3"/>
    <n v="3"/>
    <x v="2"/>
  </r>
  <r>
    <s v="TX500267"/>
    <x v="6"/>
    <x v="0"/>
    <n v="49.7"/>
    <n v="49.7"/>
    <x v="11"/>
    <x v="14"/>
    <x v="0"/>
    <x v="1"/>
    <x v="2"/>
    <x v="0"/>
    <x v="20"/>
    <x v="3"/>
    <n v="3"/>
    <x v="0"/>
  </r>
  <r>
    <s v="TX500268"/>
    <x v="6"/>
    <x v="12"/>
    <n v="44.2"/>
    <n v="176.8"/>
    <x v="11"/>
    <x v="11"/>
    <x v="2"/>
    <x v="0"/>
    <x v="2"/>
    <x v="0"/>
    <x v="21"/>
    <x v="2"/>
    <n v="3"/>
    <x v="2"/>
  </r>
  <r>
    <s v="TX500269"/>
    <x v="8"/>
    <x v="0"/>
    <n v="22.1"/>
    <n v="22.1"/>
    <x v="11"/>
    <x v="15"/>
    <x v="2"/>
    <x v="1"/>
    <x v="1"/>
    <x v="0"/>
    <x v="33"/>
    <x v="5"/>
    <n v="3"/>
    <x v="2"/>
  </r>
  <r>
    <s v="TX500270"/>
    <x v="6"/>
    <x v="2"/>
    <n v="90.9"/>
    <n v="272.70000000000005"/>
    <x v="11"/>
    <x v="14"/>
    <x v="2"/>
    <x v="2"/>
    <x v="4"/>
    <x v="0"/>
    <x v="3"/>
    <x v="3"/>
    <n v="3"/>
    <x v="2"/>
  </r>
  <r>
    <s v="TX500271"/>
    <x v="8"/>
    <x v="2"/>
    <n v="44.5"/>
    <n v="133.5"/>
    <x v="11"/>
    <x v="14"/>
    <x v="2"/>
    <x v="1"/>
    <x v="0"/>
    <x v="0"/>
    <x v="3"/>
    <x v="3"/>
    <n v="3"/>
    <x v="2"/>
  </r>
  <r>
    <s v="TX500272"/>
    <x v="9"/>
    <x v="13"/>
    <n v="32.299999999999997"/>
    <n v="193.79999999999998"/>
    <x v="11"/>
    <x v="15"/>
    <x v="2"/>
    <x v="0"/>
    <x v="0"/>
    <x v="0"/>
    <x v="3"/>
    <x v="5"/>
    <n v="3"/>
    <x v="2"/>
  </r>
  <r>
    <s v="TX500273"/>
    <x v="17"/>
    <x v="2"/>
    <n v="87.5"/>
    <n v="262.5"/>
    <x v="11"/>
    <x v="14"/>
    <x v="2"/>
    <x v="1"/>
    <x v="1"/>
    <x v="0"/>
    <x v="3"/>
    <x v="3"/>
    <n v="3"/>
    <x v="2"/>
  </r>
  <r>
    <s v="TX500274"/>
    <x v="16"/>
    <x v="9"/>
    <n v="48.7"/>
    <n v="243.5"/>
    <x v="11"/>
    <x v="14"/>
    <x v="1"/>
    <x v="2"/>
    <x v="0"/>
    <x v="0"/>
    <x v="3"/>
    <x v="3"/>
    <n v="3"/>
    <x v="1"/>
  </r>
  <r>
    <s v="TX500275"/>
    <x v="0"/>
    <x v="9"/>
    <n v="22.5"/>
    <n v="112.5"/>
    <x v="11"/>
    <x v="14"/>
    <x v="1"/>
    <x v="0"/>
    <x v="0"/>
    <x v="0"/>
    <x v="3"/>
    <x v="3"/>
    <n v="3"/>
    <x v="1"/>
  </r>
  <r>
    <s v="TX500276"/>
    <x v="1"/>
    <x v="8"/>
    <n v="65.900000000000006"/>
    <n v="527.20000000000005"/>
    <x v="11"/>
    <x v="11"/>
    <x v="2"/>
    <x v="1"/>
    <x v="2"/>
    <x v="0"/>
    <x v="3"/>
    <x v="2"/>
    <n v="3"/>
    <x v="2"/>
  </r>
  <r>
    <s v="TX500277"/>
    <x v="6"/>
    <x v="9"/>
    <n v="41.9"/>
    <n v="209.5"/>
    <x v="11"/>
    <x v="18"/>
    <x v="0"/>
    <x v="0"/>
    <x v="0"/>
    <x v="0"/>
    <x v="3"/>
    <x v="6"/>
    <n v="3"/>
    <x v="0"/>
  </r>
  <r>
    <s v="TX500278"/>
    <x v="1"/>
    <x v="9"/>
    <n v="67.5"/>
    <n v="337.5"/>
    <x v="11"/>
    <x v="14"/>
    <x v="2"/>
    <x v="0"/>
    <x v="2"/>
    <x v="0"/>
    <x v="3"/>
    <x v="3"/>
    <n v="3"/>
    <x v="2"/>
  </r>
  <r>
    <s v="TX500279"/>
    <x v="9"/>
    <x v="0"/>
    <n v="60.4"/>
    <n v="60.4"/>
    <x v="12"/>
    <x v="11"/>
    <x v="2"/>
    <x v="1"/>
    <x v="1"/>
    <x v="0"/>
    <x v="3"/>
    <x v="1"/>
    <n v="3"/>
    <x v="2"/>
  </r>
  <r>
    <s v="TX500280"/>
    <x v="1"/>
    <x v="3"/>
    <n v="30.4"/>
    <n v="212.79999999999998"/>
    <x v="12"/>
    <x v="15"/>
    <x v="2"/>
    <x v="4"/>
    <x v="0"/>
    <x v="0"/>
    <x v="3"/>
    <x v="2"/>
    <n v="3"/>
    <x v="2"/>
  </r>
  <r>
    <s v="TX500281"/>
    <x v="14"/>
    <x v="1"/>
    <n v="24.5"/>
    <n v="49"/>
    <x v="12"/>
    <x v="16"/>
    <x v="1"/>
    <x v="3"/>
    <x v="2"/>
    <x v="0"/>
    <x v="3"/>
    <x v="3"/>
    <n v="3"/>
    <x v="1"/>
  </r>
  <r>
    <s v="TX500282"/>
    <x v="2"/>
    <x v="2"/>
    <n v="105.9"/>
    <n v="317.70000000000005"/>
    <x v="12"/>
    <x v="13"/>
    <x v="1"/>
    <x v="0"/>
    <x v="0"/>
    <x v="0"/>
    <x v="37"/>
    <x v="0"/>
    <n v="3"/>
    <x v="1"/>
  </r>
  <r>
    <s v="TX500283"/>
    <x v="10"/>
    <x v="25"/>
    <n v="25.9"/>
    <n v="621.59999999999991"/>
    <x v="12"/>
    <x v="16"/>
    <x v="2"/>
    <x v="4"/>
    <x v="0"/>
    <x v="0"/>
    <x v="23"/>
    <x v="3"/>
    <n v="3"/>
    <x v="2"/>
  </r>
  <r>
    <s v="TX500284"/>
    <x v="6"/>
    <x v="2"/>
    <n v="66.8"/>
    <n v="200.39999999999998"/>
    <x v="12"/>
    <x v="14"/>
    <x v="1"/>
    <x v="0"/>
    <x v="0"/>
    <x v="0"/>
    <x v="23"/>
    <x v="7"/>
    <n v="3"/>
    <x v="1"/>
  </r>
  <r>
    <s v="TX500285"/>
    <x v="6"/>
    <x v="2"/>
    <n v="112.3"/>
    <n v="336.9"/>
    <x v="12"/>
    <x v="16"/>
    <x v="1"/>
    <x v="2"/>
    <x v="4"/>
    <x v="0"/>
    <x v="6"/>
    <x v="3"/>
    <n v="3"/>
    <x v="1"/>
  </r>
  <r>
    <s v="TX500286"/>
    <x v="1"/>
    <x v="13"/>
    <n v="94.1"/>
    <n v="564.59999999999991"/>
    <x v="12"/>
    <x v="16"/>
    <x v="2"/>
    <x v="0"/>
    <x v="4"/>
    <x v="0"/>
    <x v="6"/>
    <x v="3"/>
    <n v="3"/>
    <x v="2"/>
  </r>
  <r>
    <s v="TX500287"/>
    <x v="5"/>
    <x v="0"/>
    <n v="40.700000000000003"/>
    <n v="40.700000000000003"/>
    <x v="12"/>
    <x v="15"/>
    <x v="2"/>
    <x v="2"/>
    <x v="0"/>
    <x v="0"/>
    <x v="6"/>
    <x v="2"/>
    <n v="3"/>
    <x v="2"/>
  </r>
  <r>
    <s v="TX500288"/>
    <x v="3"/>
    <x v="1"/>
    <n v="71.400000000000006"/>
    <n v="142.80000000000001"/>
    <x v="12"/>
    <x v="16"/>
    <x v="1"/>
    <x v="0"/>
    <x v="0"/>
    <x v="0"/>
    <x v="7"/>
    <x v="3"/>
    <n v="3"/>
    <x v="1"/>
  </r>
  <r>
    <s v="TX500289"/>
    <x v="0"/>
    <x v="16"/>
    <n v="15.6"/>
    <n v="280.8"/>
    <x v="12"/>
    <x v="16"/>
    <x v="1"/>
    <x v="1"/>
    <x v="3"/>
    <x v="0"/>
    <x v="8"/>
    <x v="3"/>
    <n v="3"/>
    <x v="1"/>
  </r>
  <r>
    <s v="TX500290"/>
    <x v="10"/>
    <x v="12"/>
    <n v="37.799999999999997"/>
    <n v="151.19999999999999"/>
    <x v="12"/>
    <x v="16"/>
    <x v="1"/>
    <x v="2"/>
    <x v="2"/>
    <x v="0"/>
    <x v="8"/>
    <x v="3"/>
    <n v="3"/>
    <x v="1"/>
  </r>
  <r>
    <s v="TX500291"/>
    <x v="4"/>
    <x v="2"/>
    <n v="28.1"/>
    <n v="84.300000000000011"/>
    <x v="12"/>
    <x v="10"/>
    <x v="1"/>
    <x v="0"/>
    <x v="0"/>
    <x v="0"/>
    <x v="8"/>
    <x v="5"/>
    <n v="3"/>
    <x v="1"/>
  </r>
  <r>
    <s v="TX500292"/>
    <x v="7"/>
    <x v="13"/>
    <n v="51.4"/>
    <n v="308.39999999999998"/>
    <x v="12"/>
    <x v="10"/>
    <x v="1"/>
    <x v="0"/>
    <x v="0"/>
    <x v="0"/>
    <x v="8"/>
    <x v="5"/>
    <n v="3"/>
    <x v="1"/>
  </r>
  <r>
    <s v="TX500293"/>
    <x v="7"/>
    <x v="1"/>
    <n v="97.7"/>
    <n v="195.4"/>
    <x v="12"/>
    <x v="11"/>
    <x v="2"/>
    <x v="4"/>
    <x v="2"/>
    <x v="0"/>
    <x v="17"/>
    <x v="1"/>
    <n v="3"/>
    <x v="2"/>
  </r>
  <r>
    <s v="TX500294"/>
    <x v="1"/>
    <x v="12"/>
    <n v="63.8"/>
    <n v="255.2"/>
    <x v="12"/>
    <x v="16"/>
    <x v="1"/>
    <x v="2"/>
    <x v="0"/>
    <x v="0"/>
    <x v="38"/>
    <x v="3"/>
    <n v="3"/>
    <x v="1"/>
  </r>
  <r>
    <s v="TX500295"/>
    <x v="13"/>
    <x v="1"/>
    <n v="20.100000000000001"/>
    <n v="40.200000000000003"/>
    <x v="12"/>
    <x v="11"/>
    <x v="1"/>
    <x v="0"/>
    <x v="2"/>
    <x v="0"/>
    <x v="20"/>
    <x v="1"/>
    <n v="3"/>
    <x v="1"/>
  </r>
  <r>
    <s v="TX500296"/>
    <x v="11"/>
    <x v="2"/>
    <n v="50.4"/>
    <n v="151.19999999999999"/>
    <x v="12"/>
    <x v="15"/>
    <x v="2"/>
    <x v="3"/>
    <x v="0"/>
    <x v="0"/>
    <x v="13"/>
    <x v="2"/>
    <n v="3"/>
    <x v="2"/>
  </r>
  <r>
    <s v="TX500297"/>
    <x v="0"/>
    <x v="0"/>
    <n v="16.2"/>
    <n v="16.2"/>
    <x v="12"/>
    <x v="19"/>
    <x v="2"/>
    <x v="1"/>
    <x v="0"/>
    <x v="0"/>
    <x v="1"/>
    <x v="10"/>
    <n v="3"/>
    <x v="2"/>
  </r>
  <r>
    <s v="TX500298"/>
    <x v="6"/>
    <x v="3"/>
    <n v="80.900000000000006"/>
    <n v="566.30000000000007"/>
    <x v="12"/>
    <x v="11"/>
    <x v="1"/>
    <x v="4"/>
    <x v="4"/>
    <x v="0"/>
    <x v="2"/>
    <x v="1"/>
    <n v="3"/>
    <x v="1"/>
  </r>
  <r>
    <s v="TX500299"/>
    <x v="9"/>
    <x v="13"/>
    <n v="95.2"/>
    <n v="571.20000000000005"/>
    <x v="12"/>
    <x v="11"/>
    <x v="2"/>
    <x v="0"/>
    <x v="2"/>
    <x v="0"/>
    <x v="2"/>
    <x v="1"/>
    <n v="3"/>
    <x v="2"/>
  </r>
  <r>
    <s v="TX500300"/>
    <x v="5"/>
    <x v="8"/>
    <n v="70.400000000000006"/>
    <n v="563.20000000000005"/>
    <x v="12"/>
    <x v="16"/>
    <x v="1"/>
    <x v="1"/>
    <x v="1"/>
    <x v="0"/>
    <x v="3"/>
    <x v="3"/>
    <n v="3"/>
    <x v="1"/>
  </r>
  <r>
    <s v="TX500301"/>
    <x v="0"/>
    <x v="9"/>
    <n v="10.7"/>
    <n v="53.5"/>
    <x v="12"/>
    <x v="10"/>
    <x v="2"/>
    <x v="2"/>
    <x v="0"/>
    <x v="0"/>
    <x v="3"/>
    <x v="5"/>
    <n v="3"/>
    <x v="2"/>
  </r>
  <r>
    <s v="TX500302"/>
    <x v="8"/>
    <x v="9"/>
    <n v="19.600000000000001"/>
    <n v="98"/>
    <x v="12"/>
    <x v="11"/>
    <x v="2"/>
    <x v="0"/>
    <x v="3"/>
    <x v="0"/>
    <x v="3"/>
    <x v="1"/>
    <n v="3"/>
    <x v="2"/>
  </r>
  <r>
    <s v="TX500303"/>
    <x v="8"/>
    <x v="5"/>
    <n v="34.700000000000003"/>
    <n v="381.70000000000005"/>
    <x v="12"/>
    <x v="11"/>
    <x v="2"/>
    <x v="0"/>
    <x v="2"/>
    <x v="0"/>
    <x v="3"/>
    <x v="1"/>
    <n v="3"/>
    <x v="2"/>
  </r>
  <r>
    <s v="TX500304"/>
    <x v="10"/>
    <x v="11"/>
    <n v="34.1"/>
    <n v="306.90000000000003"/>
    <x v="12"/>
    <x v="16"/>
    <x v="2"/>
    <x v="4"/>
    <x v="1"/>
    <x v="0"/>
    <x v="3"/>
    <x v="3"/>
    <n v="3"/>
    <x v="2"/>
  </r>
  <r>
    <s v="TX500305"/>
    <x v="0"/>
    <x v="26"/>
    <n v="29.3"/>
    <n v="1435.7"/>
    <x v="12"/>
    <x v="14"/>
    <x v="1"/>
    <x v="0"/>
    <x v="1"/>
    <x v="0"/>
    <x v="3"/>
    <x v="7"/>
    <n v="3"/>
    <x v="1"/>
  </r>
  <r>
    <s v="TX500306"/>
    <x v="1"/>
    <x v="0"/>
    <n v="55.2"/>
    <n v="55.2"/>
    <x v="12"/>
    <x v="16"/>
    <x v="2"/>
    <x v="0"/>
    <x v="1"/>
    <x v="0"/>
    <x v="3"/>
    <x v="3"/>
    <n v="3"/>
    <x v="2"/>
  </r>
  <r>
    <s v="TX500307"/>
    <x v="18"/>
    <x v="2"/>
    <n v="26"/>
    <n v="78"/>
    <x v="12"/>
    <x v="15"/>
    <x v="2"/>
    <x v="0"/>
    <x v="2"/>
    <x v="0"/>
    <x v="3"/>
    <x v="2"/>
    <n v="3"/>
    <x v="2"/>
  </r>
  <r>
    <s v="TX500308"/>
    <x v="14"/>
    <x v="1"/>
    <n v="14.2"/>
    <n v="28.4"/>
    <x v="12"/>
    <x v="13"/>
    <x v="2"/>
    <x v="3"/>
    <x v="0"/>
    <x v="0"/>
    <x v="39"/>
    <x v="0"/>
    <n v="3"/>
    <x v="2"/>
  </r>
  <r>
    <s v="TX500309"/>
    <x v="8"/>
    <x v="11"/>
    <n v="22.7"/>
    <n v="204.29999999999998"/>
    <x v="13"/>
    <x v="11"/>
    <x v="1"/>
    <x v="1"/>
    <x v="0"/>
    <x v="0"/>
    <x v="6"/>
    <x v="3"/>
    <n v="3"/>
    <x v="1"/>
  </r>
  <r>
    <s v="TX500310"/>
    <x v="0"/>
    <x v="20"/>
    <n v="19.8"/>
    <n v="297"/>
    <x v="13"/>
    <x v="16"/>
    <x v="2"/>
    <x v="0"/>
    <x v="2"/>
    <x v="0"/>
    <x v="6"/>
    <x v="7"/>
    <n v="3"/>
    <x v="2"/>
  </r>
  <r>
    <s v="TX500311"/>
    <x v="0"/>
    <x v="2"/>
    <n v="31.7"/>
    <n v="95.1"/>
    <x v="13"/>
    <x v="11"/>
    <x v="1"/>
    <x v="2"/>
    <x v="0"/>
    <x v="0"/>
    <x v="6"/>
    <x v="3"/>
    <n v="3"/>
    <x v="1"/>
  </r>
  <r>
    <s v="TX500312"/>
    <x v="8"/>
    <x v="12"/>
    <n v="30.4"/>
    <n v="121.6"/>
    <x v="13"/>
    <x v="13"/>
    <x v="1"/>
    <x v="0"/>
    <x v="0"/>
    <x v="0"/>
    <x v="6"/>
    <x v="5"/>
    <n v="3"/>
    <x v="1"/>
  </r>
  <r>
    <s v="TX500313"/>
    <x v="0"/>
    <x v="12"/>
    <n v="25.6"/>
    <n v="102.4"/>
    <x v="13"/>
    <x v="11"/>
    <x v="1"/>
    <x v="3"/>
    <x v="0"/>
    <x v="0"/>
    <x v="8"/>
    <x v="3"/>
    <n v="3"/>
    <x v="1"/>
  </r>
  <r>
    <s v="TX500314"/>
    <x v="5"/>
    <x v="1"/>
    <n v="34.9"/>
    <n v="69.8"/>
    <x v="13"/>
    <x v="11"/>
    <x v="2"/>
    <x v="2"/>
    <x v="0"/>
    <x v="0"/>
    <x v="9"/>
    <x v="3"/>
    <n v="3"/>
    <x v="2"/>
  </r>
  <r>
    <s v="TX500315"/>
    <x v="7"/>
    <x v="13"/>
    <n v="42.7"/>
    <n v="256.20000000000005"/>
    <x v="13"/>
    <x v="10"/>
    <x v="1"/>
    <x v="2"/>
    <x v="1"/>
    <x v="0"/>
    <x v="11"/>
    <x v="2"/>
    <n v="3"/>
    <x v="1"/>
  </r>
  <r>
    <s v="TX500316"/>
    <x v="8"/>
    <x v="0"/>
    <n v="23.9"/>
    <n v="23.9"/>
    <x v="13"/>
    <x v="15"/>
    <x v="2"/>
    <x v="3"/>
    <x v="0"/>
    <x v="0"/>
    <x v="11"/>
    <x v="1"/>
    <n v="3"/>
    <x v="2"/>
  </r>
  <r>
    <s v="TX500317"/>
    <x v="6"/>
    <x v="0"/>
    <n v="124.3"/>
    <n v="124.3"/>
    <x v="13"/>
    <x v="11"/>
    <x v="0"/>
    <x v="2"/>
    <x v="1"/>
    <x v="0"/>
    <x v="21"/>
    <x v="3"/>
    <n v="3"/>
    <x v="0"/>
  </r>
  <r>
    <s v="TX500318"/>
    <x v="8"/>
    <x v="13"/>
    <n v="35.9"/>
    <n v="215.39999999999998"/>
    <x v="13"/>
    <x v="11"/>
    <x v="2"/>
    <x v="0"/>
    <x v="1"/>
    <x v="0"/>
    <x v="1"/>
    <x v="3"/>
    <n v="3"/>
    <x v="2"/>
  </r>
  <r>
    <s v="TX500319"/>
    <x v="2"/>
    <x v="1"/>
    <n v="69.099999999999994"/>
    <n v="138.19999999999999"/>
    <x v="13"/>
    <x v="10"/>
    <x v="2"/>
    <x v="0"/>
    <x v="2"/>
    <x v="0"/>
    <x v="22"/>
    <x v="2"/>
    <n v="3"/>
    <x v="2"/>
  </r>
  <r>
    <s v="TX500320"/>
    <x v="7"/>
    <x v="0"/>
    <n v="58.4"/>
    <n v="58.4"/>
    <x v="13"/>
    <x v="13"/>
    <x v="1"/>
    <x v="0"/>
    <x v="0"/>
    <x v="0"/>
    <x v="22"/>
    <x v="5"/>
    <n v="3"/>
    <x v="1"/>
  </r>
  <r>
    <s v="TX500321"/>
    <x v="5"/>
    <x v="0"/>
    <n v="65.2"/>
    <n v="65.2"/>
    <x v="13"/>
    <x v="15"/>
    <x v="3"/>
    <x v="4"/>
    <x v="4"/>
    <x v="0"/>
    <x v="3"/>
    <x v="1"/>
    <n v="3"/>
    <x v="3"/>
  </r>
  <r>
    <s v="TX500322"/>
    <x v="8"/>
    <x v="14"/>
    <n v="32.700000000000003"/>
    <n v="555.90000000000009"/>
    <x v="13"/>
    <x v="20"/>
    <x v="0"/>
    <x v="4"/>
    <x v="0"/>
    <x v="0"/>
    <x v="3"/>
    <x v="6"/>
    <n v="3"/>
    <x v="0"/>
  </r>
  <r>
    <s v="TX500323"/>
    <x v="10"/>
    <x v="3"/>
    <n v="24.4"/>
    <n v="170.79999999999998"/>
    <x v="13"/>
    <x v="11"/>
    <x v="2"/>
    <x v="0"/>
    <x v="0"/>
    <x v="0"/>
    <x v="3"/>
    <x v="3"/>
    <n v="3"/>
    <x v="2"/>
  </r>
  <r>
    <s v="TX500324"/>
    <x v="14"/>
    <x v="1"/>
    <n v="50.4"/>
    <n v="100.8"/>
    <x v="13"/>
    <x v="21"/>
    <x v="1"/>
    <x v="0"/>
    <x v="1"/>
    <x v="0"/>
    <x v="3"/>
    <x v="4"/>
    <n v="3"/>
    <x v="1"/>
  </r>
  <r>
    <s v="TX500325"/>
    <x v="1"/>
    <x v="1"/>
    <n v="100"/>
    <n v="200"/>
    <x v="13"/>
    <x v="11"/>
    <x v="2"/>
    <x v="0"/>
    <x v="0"/>
    <x v="0"/>
    <x v="3"/>
    <x v="3"/>
    <n v="3"/>
    <x v="2"/>
  </r>
  <r>
    <s v="TX500326"/>
    <x v="10"/>
    <x v="2"/>
    <n v="43"/>
    <n v="129"/>
    <x v="14"/>
    <x v="11"/>
    <x v="2"/>
    <x v="2"/>
    <x v="1"/>
    <x v="0"/>
    <x v="3"/>
    <x v="7"/>
    <n v="3"/>
    <x v="2"/>
  </r>
  <r>
    <s v="TX500327"/>
    <x v="1"/>
    <x v="9"/>
    <n v="64.400000000000006"/>
    <n v="322"/>
    <x v="14"/>
    <x v="10"/>
    <x v="1"/>
    <x v="2"/>
    <x v="1"/>
    <x v="0"/>
    <x v="3"/>
    <x v="1"/>
    <n v="3"/>
    <x v="1"/>
  </r>
  <r>
    <s v="TX500328"/>
    <x v="18"/>
    <x v="1"/>
    <n v="57.4"/>
    <n v="114.8"/>
    <x v="14"/>
    <x v="15"/>
    <x v="1"/>
    <x v="2"/>
    <x v="1"/>
    <x v="0"/>
    <x v="3"/>
    <x v="3"/>
    <n v="3"/>
    <x v="1"/>
  </r>
  <r>
    <s v="TX500329"/>
    <x v="2"/>
    <x v="2"/>
    <n v="55.1"/>
    <n v="165.3"/>
    <x v="14"/>
    <x v="13"/>
    <x v="2"/>
    <x v="1"/>
    <x v="0"/>
    <x v="0"/>
    <x v="3"/>
    <x v="2"/>
    <n v="3"/>
    <x v="2"/>
  </r>
  <r>
    <s v="TX500330"/>
    <x v="7"/>
    <x v="12"/>
    <n v="45.4"/>
    <n v="181.6"/>
    <x v="14"/>
    <x v="15"/>
    <x v="2"/>
    <x v="1"/>
    <x v="0"/>
    <x v="0"/>
    <x v="3"/>
    <x v="3"/>
    <n v="3"/>
    <x v="2"/>
  </r>
  <r>
    <s v="TX500331"/>
    <x v="3"/>
    <x v="2"/>
    <n v="93.3"/>
    <n v="279.89999999999998"/>
    <x v="14"/>
    <x v="15"/>
    <x v="2"/>
    <x v="0"/>
    <x v="0"/>
    <x v="0"/>
    <x v="40"/>
    <x v="3"/>
    <n v="3"/>
    <x v="2"/>
  </r>
  <r>
    <s v="TX500332"/>
    <x v="2"/>
    <x v="10"/>
    <n v="158.19999999999999"/>
    <n v="3005.7999999999997"/>
    <x v="14"/>
    <x v="15"/>
    <x v="2"/>
    <x v="1"/>
    <x v="2"/>
    <x v="0"/>
    <x v="16"/>
    <x v="3"/>
    <n v="3"/>
    <x v="2"/>
  </r>
  <r>
    <s v="TX500333"/>
    <x v="2"/>
    <x v="1"/>
    <n v="74.900000000000006"/>
    <n v="149.80000000000001"/>
    <x v="14"/>
    <x v="10"/>
    <x v="1"/>
    <x v="3"/>
    <x v="0"/>
    <x v="0"/>
    <x v="6"/>
    <x v="1"/>
    <n v="3"/>
    <x v="1"/>
  </r>
  <r>
    <s v="TX500334"/>
    <x v="8"/>
    <x v="3"/>
    <n v="26"/>
    <n v="182"/>
    <x v="14"/>
    <x v="13"/>
    <x v="2"/>
    <x v="1"/>
    <x v="0"/>
    <x v="0"/>
    <x v="8"/>
    <x v="2"/>
    <n v="3"/>
    <x v="2"/>
  </r>
  <r>
    <s v="TX500335"/>
    <x v="9"/>
    <x v="13"/>
    <n v="37.5"/>
    <n v="225"/>
    <x v="14"/>
    <x v="15"/>
    <x v="2"/>
    <x v="0"/>
    <x v="1"/>
    <x v="0"/>
    <x v="8"/>
    <x v="3"/>
    <n v="3"/>
    <x v="2"/>
  </r>
  <r>
    <s v="TX500336"/>
    <x v="6"/>
    <x v="1"/>
    <n v="75.8"/>
    <n v="151.6"/>
    <x v="14"/>
    <x v="20"/>
    <x v="1"/>
    <x v="0"/>
    <x v="0"/>
    <x v="0"/>
    <x v="8"/>
    <x v="4"/>
    <n v="3"/>
    <x v="1"/>
  </r>
  <r>
    <s v="TX500337"/>
    <x v="7"/>
    <x v="0"/>
    <n v="48.5"/>
    <n v="48.5"/>
    <x v="14"/>
    <x v="22"/>
    <x v="0"/>
    <x v="4"/>
    <x v="2"/>
    <x v="0"/>
    <x v="8"/>
    <x v="13"/>
    <n v="3"/>
    <x v="0"/>
  </r>
  <r>
    <s v="TX500338"/>
    <x v="6"/>
    <x v="2"/>
    <n v="98.9"/>
    <n v="296.70000000000005"/>
    <x v="14"/>
    <x v="10"/>
    <x v="2"/>
    <x v="4"/>
    <x v="1"/>
    <x v="0"/>
    <x v="8"/>
    <x v="1"/>
    <n v="3"/>
    <x v="2"/>
  </r>
  <r>
    <s v="TX500339"/>
    <x v="1"/>
    <x v="4"/>
    <n v="50.9"/>
    <n v="610.79999999999995"/>
    <x v="14"/>
    <x v="11"/>
    <x v="1"/>
    <x v="4"/>
    <x v="0"/>
    <x v="0"/>
    <x v="8"/>
    <x v="7"/>
    <n v="3"/>
    <x v="1"/>
  </r>
  <r>
    <s v="TX500340"/>
    <x v="12"/>
    <x v="13"/>
    <n v="84.7"/>
    <n v="508.20000000000005"/>
    <x v="14"/>
    <x v="11"/>
    <x v="2"/>
    <x v="2"/>
    <x v="0"/>
    <x v="0"/>
    <x v="8"/>
    <x v="7"/>
    <n v="3"/>
    <x v="2"/>
  </r>
  <r>
    <s v="TX500341"/>
    <x v="8"/>
    <x v="0"/>
    <n v="20.7"/>
    <n v="20.7"/>
    <x v="14"/>
    <x v="10"/>
    <x v="2"/>
    <x v="3"/>
    <x v="2"/>
    <x v="0"/>
    <x v="8"/>
    <x v="1"/>
    <n v="3"/>
    <x v="2"/>
  </r>
  <r>
    <s v="TX500342"/>
    <x v="12"/>
    <x v="11"/>
    <n v="57.8"/>
    <n v="520.19999999999993"/>
    <x v="14"/>
    <x v="19"/>
    <x v="1"/>
    <x v="0"/>
    <x v="4"/>
    <x v="0"/>
    <x v="17"/>
    <x v="11"/>
    <n v="3"/>
    <x v="1"/>
  </r>
  <r>
    <s v="TX500343"/>
    <x v="2"/>
    <x v="1"/>
    <n v="106.9"/>
    <n v="213.8"/>
    <x v="14"/>
    <x v="10"/>
    <x v="2"/>
    <x v="0"/>
    <x v="2"/>
    <x v="0"/>
    <x v="41"/>
    <x v="1"/>
    <n v="3"/>
    <x v="2"/>
  </r>
  <r>
    <s v="TX500344"/>
    <x v="3"/>
    <x v="9"/>
    <n v="45.2"/>
    <n v="226"/>
    <x v="14"/>
    <x v="18"/>
    <x v="2"/>
    <x v="1"/>
    <x v="0"/>
    <x v="0"/>
    <x v="21"/>
    <x v="5"/>
    <n v="3"/>
    <x v="2"/>
  </r>
  <r>
    <s v="TX500345"/>
    <x v="8"/>
    <x v="15"/>
    <n v="34.6"/>
    <n v="449.8"/>
    <x v="14"/>
    <x v="11"/>
    <x v="2"/>
    <x v="1"/>
    <x v="1"/>
    <x v="0"/>
    <x v="21"/>
    <x v="7"/>
    <n v="3"/>
    <x v="2"/>
  </r>
  <r>
    <s v="TX500346"/>
    <x v="15"/>
    <x v="0"/>
    <n v="43.8"/>
    <n v="43.8"/>
    <x v="14"/>
    <x v="10"/>
    <x v="0"/>
    <x v="0"/>
    <x v="2"/>
    <x v="0"/>
    <x v="21"/>
    <x v="1"/>
    <n v="3"/>
    <x v="0"/>
  </r>
  <r>
    <s v="TX500347"/>
    <x v="15"/>
    <x v="0"/>
    <n v="20.399999999999999"/>
    <n v="20.399999999999999"/>
    <x v="14"/>
    <x v="10"/>
    <x v="1"/>
    <x v="4"/>
    <x v="1"/>
    <x v="0"/>
    <x v="21"/>
    <x v="1"/>
    <n v="3"/>
    <x v="1"/>
  </r>
  <r>
    <s v="TX500348"/>
    <x v="1"/>
    <x v="0"/>
    <n v="36.700000000000003"/>
    <n v="36.700000000000003"/>
    <x v="14"/>
    <x v="15"/>
    <x v="1"/>
    <x v="0"/>
    <x v="1"/>
    <x v="0"/>
    <x v="1"/>
    <x v="3"/>
    <n v="3"/>
    <x v="1"/>
  </r>
  <r>
    <s v="TX500349"/>
    <x v="8"/>
    <x v="2"/>
    <n v="27.2"/>
    <n v="81.599999999999994"/>
    <x v="14"/>
    <x v="18"/>
    <x v="1"/>
    <x v="0"/>
    <x v="2"/>
    <x v="0"/>
    <x v="1"/>
    <x v="5"/>
    <n v="3"/>
    <x v="1"/>
  </r>
  <r>
    <s v="TX500350"/>
    <x v="6"/>
    <x v="0"/>
    <n v="58.2"/>
    <n v="58.2"/>
    <x v="14"/>
    <x v="15"/>
    <x v="2"/>
    <x v="0"/>
    <x v="2"/>
    <x v="0"/>
    <x v="42"/>
    <x v="3"/>
    <n v="3"/>
    <x v="2"/>
  </r>
  <r>
    <s v="TX500351"/>
    <x v="8"/>
    <x v="2"/>
    <n v="25.6"/>
    <n v="76.800000000000011"/>
    <x v="14"/>
    <x v="15"/>
    <x v="1"/>
    <x v="4"/>
    <x v="4"/>
    <x v="0"/>
    <x v="2"/>
    <x v="3"/>
    <n v="3"/>
    <x v="1"/>
  </r>
  <r>
    <s v="TX500352"/>
    <x v="10"/>
    <x v="0"/>
    <n v="21.2"/>
    <n v="21.2"/>
    <x v="14"/>
    <x v="11"/>
    <x v="2"/>
    <x v="1"/>
    <x v="2"/>
    <x v="0"/>
    <x v="3"/>
    <x v="7"/>
    <n v="3"/>
    <x v="2"/>
  </r>
  <r>
    <s v="TX500353"/>
    <x v="6"/>
    <x v="1"/>
    <n v="48.2"/>
    <n v="96.4"/>
    <x v="14"/>
    <x v="23"/>
    <x v="2"/>
    <x v="0"/>
    <x v="2"/>
    <x v="0"/>
    <x v="3"/>
    <x v="9"/>
    <n v="3"/>
    <x v="2"/>
  </r>
  <r>
    <s v="TX500354"/>
    <x v="1"/>
    <x v="12"/>
    <n v="83.4"/>
    <n v="333.6"/>
    <x v="15"/>
    <x v="10"/>
    <x v="1"/>
    <x v="0"/>
    <x v="0"/>
    <x v="0"/>
    <x v="3"/>
    <x v="3"/>
    <n v="3"/>
    <x v="1"/>
  </r>
  <r>
    <s v="TX500355"/>
    <x v="9"/>
    <x v="2"/>
    <n v="45.3"/>
    <n v="135.89999999999998"/>
    <x v="15"/>
    <x v="24"/>
    <x v="1"/>
    <x v="2"/>
    <x v="1"/>
    <x v="0"/>
    <x v="3"/>
    <x v="4"/>
    <n v="3"/>
    <x v="1"/>
  </r>
  <r>
    <s v="TX500356"/>
    <x v="17"/>
    <x v="0"/>
    <n v="42"/>
    <n v="42"/>
    <x v="15"/>
    <x v="10"/>
    <x v="0"/>
    <x v="0"/>
    <x v="0"/>
    <x v="0"/>
    <x v="3"/>
    <x v="3"/>
    <n v="3"/>
    <x v="0"/>
  </r>
  <r>
    <s v="TX500357"/>
    <x v="0"/>
    <x v="11"/>
    <n v="21.8"/>
    <n v="196.20000000000002"/>
    <x v="15"/>
    <x v="13"/>
    <x v="2"/>
    <x v="1"/>
    <x v="0"/>
    <x v="0"/>
    <x v="3"/>
    <x v="1"/>
    <n v="3"/>
    <x v="2"/>
  </r>
  <r>
    <s v="TX500358"/>
    <x v="8"/>
    <x v="16"/>
    <n v="21.4"/>
    <n v="385.2"/>
    <x v="15"/>
    <x v="18"/>
    <x v="2"/>
    <x v="1"/>
    <x v="2"/>
    <x v="0"/>
    <x v="3"/>
    <x v="2"/>
    <n v="3"/>
    <x v="2"/>
  </r>
  <r>
    <s v="TX500359"/>
    <x v="10"/>
    <x v="2"/>
    <n v="45"/>
    <n v="135"/>
    <x v="15"/>
    <x v="15"/>
    <x v="2"/>
    <x v="1"/>
    <x v="2"/>
    <x v="0"/>
    <x v="3"/>
    <x v="7"/>
    <n v="3"/>
    <x v="2"/>
  </r>
  <r>
    <s v="TX500360"/>
    <x v="14"/>
    <x v="0"/>
    <n v="39.6"/>
    <n v="39.6"/>
    <x v="15"/>
    <x v="10"/>
    <x v="1"/>
    <x v="0"/>
    <x v="2"/>
    <x v="0"/>
    <x v="3"/>
    <x v="3"/>
    <n v="3"/>
    <x v="1"/>
  </r>
  <r>
    <s v="TX500361"/>
    <x v="12"/>
    <x v="2"/>
    <n v="79.8"/>
    <n v="239.39999999999998"/>
    <x v="15"/>
    <x v="24"/>
    <x v="2"/>
    <x v="1"/>
    <x v="4"/>
    <x v="0"/>
    <x v="3"/>
    <x v="4"/>
    <n v="3"/>
    <x v="2"/>
  </r>
  <r>
    <s v="TX500362"/>
    <x v="1"/>
    <x v="12"/>
    <n v="63.6"/>
    <n v="254.4"/>
    <x v="15"/>
    <x v="10"/>
    <x v="3"/>
    <x v="0"/>
    <x v="2"/>
    <x v="0"/>
    <x v="24"/>
    <x v="3"/>
    <n v="3"/>
    <x v="3"/>
  </r>
  <r>
    <s v="TX500363"/>
    <x v="7"/>
    <x v="7"/>
    <n v="92.7"/>
    <n v="927"/>
    <x v="15"/>
    <x v="21"/>
    <x v="1"/>
    <x v="1"/>
    <x v="2"/>
    <x v="0"/>
    <x v="6"/>
    <x v="5"/>
    <n v="3"/>
    <x v="1"/>
  </r>
  <r>
    <s v="TX500364"/>
    <x v="1"/>
    <x v="12"/>
    <n v="48.4"/>
    <n v="193.6"/>
    <x v="15"/>
    <x v="13"/>
    <x v="2"/>
    <x v="1"/>
    <x v="2"/>
    <x v="0"/>
    <x v="6"/>
    <x v="1"/>
    <n v="3"/>
    <x v="2"/>
  </r>
  <r>
    <s v="TX500365"/>
    <x v="9"/>
    <x v="8"/>
    <n v="36"/>
    <n v="288"/>
    <x v="15"/>
    <x v="18"/>
    <x v="1"/>
    <x v="2"/>
    <x v="2"/>
    <x v="0"/>
    <x v="8"/>
    <x v="2"/>
    <n v="3"/>
    <x v="1"/>
  </r>
  <r>
    <s v="TX500366"/>
    <x v="8"/>
    <x v="4"/>
    <n v="27"/>
    <n v="324"/>
    <x v="15"/>
    <x v="13"/>
    <x v="2"/>
    <x v="2"/>
    <x v="1"/>
    <x v="0"/>
    <x v="8"/>
    <x v="1"/>
    <n v="3"/>
    <x v="2"/>
  </r>
  <r>
    <s v="TX500367"/>
    <x v="2"/>
    <x v="8"/>
    <n v="53.9"/>
    <n v="431.2"/>
    <x v="15"/>
    <x v="10"/>
    <x v="0"/>
    <x v="0"/>
    <x v="0"/>
    <x v="0"/>
    <x v="8"/>
    <x v="3"/>
    <n v="3"/>
    <x v="0"/>
  </r>
  <r>
    <s v="TX500368"/>
    <x v="3"/>
    <x v="11"/>
    <n v="48.4"/>
    <n v="435.59999999999997"/>
    <x v="15"/>
    <x v="10"/>
    <x v="2"/>
    <x v="1"/>
    <x v="0"/>
    <x v="0"/>
    <x v="9"/>
    <x v="3"/>
    <n v="3"/>
    <x v="2"/>
  </r>
  <r>
    <s v="TX500369"/>
    <x v="17"/>
    <x v="1"/>
    <n v="49.9"/>
    <n v="99.8"/>
    <x v="15"/>
    <x v="20"/>
    <x v="1"/>
    <x v="4"/>
    <x v="4"/>
    <x v="0"/>
    <x v="10"/>
    <x v="0"/>
    <n v="3"/>
    <x v="1"/>
  </r>
  <r>
    <s v="TX500370"/>
    <x v="1"/>
    <x v="2"/>
    <n v="51.7"/>
    <n v="155.10000000000002"/>
    <x v="15"/>
    <x v="10"/>
    <x v="2"/>
    <x v="0"/>
    <x v="2"/>
    <x v="0"/>
    <x v="11"/>
    <x v="3"/>
    <n v="3"/>
    <x v="2"/>
  </r>
  <r>
    <s v="TX500371"/>
    <x v="8"/>
    <x v="2"/>
    <n v="41.8"/>
    <n v="125.39999999999999"/>
    <x v="15"/>
    <x v="13"/>
    <x v="2"/>
    <x v="2"/>
    <x v="0"/>
    <x v="0"/>
    <x v="18"/>
    <x v="1"/>
    <n v="3"/>
    <x v="2"/>
  </r>
  <r>
    <s v="TX500372"/>
    <x v="4"/>
    <x v="12"/>
    <n v="36.200000000000003"/>
    <n v="144.80000000000001"/>
    <x v="16"/>
    <x v="13"/>
    <x v="1"/>
    <x v="2"/>
    <x v="2"/>
    <x v="0"/>
    <x v="21"/>
    <x v="3"/>
    <n v="3"/>
    <x v="1"/>
  </r>
  <r>
    <s v="TX500373"/>
    <x v="2"/>
    <x v="0"/>
    <n v="150.9"/>
    <n v="150.9"/>
    <x v="16"/>
    <x v="22"/>
    <x v="1"/>
    <x v="0"/>
    <x v="0"/>
    <x v="0"/>
    <x v="1"/>
    <x v="14"/>
    <n v="3"/>
    <x v="1"/>
  </r>
  <r>
    <s v="TX500374"/>
    <x v="18"/>
    <x v="12"/>
    <n v="77.599999999999994"/>
    <n v="310.39999999999998"/>
    <x v="16"/>
    <x v="13"/>
    <x v="0"/>
    <x v="2"/>
    <x v="0"/>
    <x v="0"/>
    <x v="3"/>
    <x v="3"/>
    <n v="3"/>
    <x v="0"/>
  </r>
  <r>
    <s v="TX500375"/>
    <x v="13"/>
    <x v="9"/>
    <n v="65.5"/>
    <n v="327.5"/>
    <x v="16"/>
    <x v="10"/>
    <x v="1"/>
    <x v="1"/>
    <x v="0"/>
    <x v="0"/>
    <x v="3"/>
    <x v="7"/>
    <n v="3"/>
    <x v="1"/>
  </r>
  <r>
    <s v="TX500376"/>
    <x v="6"/>
    <x v="2"/>
    <n v="90.1"/>
    <n v="270.29999999999995"/>
    <x v="16"/>
    <x v="18"/>
    <x v="2"/>
    <x v="0"/>
    <x v="0"/>
    <x v="0"/>
    <x v="3"/>
    <x v="1"/>
    <n v="3"/>
    <x v="2"/>
  </r>
  <r>
    <s v="TX500377"/>
    <x v="1"/>
    <x v="1"/>
    <n v="108.3"/>
    <n v="216.6"/>
    <x v="16"/>
    <x v="21"/>
    <x v="3"/>
    <x v="4"/>
    <x v="0"/>
    <x v="0"/>
    <x v="3"/>
    <x v="2"/>
    <n v="3"/>
    <x v="3"/>
  </r>
  <r>
    <s v="TX500378"/>
    <x v="5"/>
    <x v="2"/>
    <n v="59.9"/>
    <n v="179.7"/>
    <x v="16"/>
    <x v="20"/>
    <x v="2"/>
    <x v="0"/>
    <x v="0"/>
    <x v="0"/>
    <x v="3"/>
    <x v="5"/>
    <n v="3"/>
    <x v="2"/>
  </r>
  <r>
    <s v="TX500379"/>
    <x v="2"/>
    <x v="14"/>
    <n v="139"/>
    <n v="2363"/>
    <x v="16"/>
    <x v="18"/>
    <x v="2"/>
    <x v="1"/>
    <x v="4"/>
    <x v="0"/>
    <x v="3"/>
    <x v="1"/>
    <n v="3"/>
    <x v="2"/>
  </r>
  <r>
    <s v="TX500380"/>
    <x v="6"/>
    <x v="2"/>
    <n v="87.3"/>
    <n v="261.89999999999998"/>
    <x v="16"/>
    <x v="13"/>
    <x v="2"/>
    <x v="0"/>
    <x v="0"/>
    <x v="0"/>
    <x v="3"/>
    <x v="3"/>
    <n v="3"/>
    <x v="2"/>
  </r>
  <r>
    <s v="TX500381"/>
    <x v="11"/>
    <x v="12"/>
    <n v="42.3"/>
    <n v="169.2"/>
    <x v="16"/>
    <x v="10"/>
    <x v="1"/>
    <x v="0"/>
    <x v="0"/>
    <x v="0"/>
    <x v="3"/>
    <x v="7"/>
    <n v="3"/>
    <x v="1"/>
  </r>
  <r>
    <s v="TX500382"/>
    <x v="14"/>
    <x v="8"/>
    <n v="103.6"/>
    <n v="828.8"/>
    <x v="16"/>
    <x v="13"/>
    <x v="3"/>
    <x v="0"/>
    <x v="1"/>
    <x v="0"/>
    <x v="3"/>
    <x v="3"/>
    <n v="3"/>
    <x v="3"/>
  </r>
  <r>
    <s v="TX500383"/>
    <x v="6"/>
    <x v="1"/>
    <n v="90.9"/>
    <n v="181.8"/>
    <x v="16"/>
    <x v="13"/>
    <x v="1"/>
    <x v="1"/>
    <x v="0"/>
    <x v="0"/>
    <x v="6"/>
    <x v="3"/>
    <n v="3"/>
    <x v="1"/>
  </r>
  <r>
    <s v="TX500384"/>
    <x v="9"/>
    <x v="27"/>
    <n v="100.9"/>
    <n v="1614.4"/>
    <x v="16"/>
    <x v="13"/>
    <x v="2"/>
    <x v="1"/>
    <x v="0"/>
    <x v="0"/>
    <x v="6"/>
    <x v="3"/>
    <n v="3"/>
    <x v="2"/>
  </r>
  <r>
    <s v="TX500385"/>
    <x v="4"/>
    <x v="9"/>
    <n v="36"/>
    <n v="180"/>
    <x v="16"/>
    <x v="18"/>
    <x v="2"/>
    <x v="1"/>
    <x v="0"/>
    <x v="0"/>
    <x v="7"/>
    <x v="1"/>
    <n v="3"/>
    <x v="2"/>
  </r>
  <r>
    <s v="TX500386"/>
    <x v="6"/>
    <x v="13"/>
    <n v="83.3"/>
    <n v="499.79999999999995"/>
    <x v="16"/>
    <x v="21"/>
    <x v="0"/>
    <x v="2"/>
    <x v="0"/>
    <x v="0"/>
    <x v="7"/>
    <x v="2"/>
    <n v="3"/>
    <x v="0"/>
  </r>
  <r>
    <s v="TX500387"/>
    <x v="2"/>
    <x v="14"/>
    <n v="60.3"/>
    <n v="1025.0999999999999"/>
    <x v="16"/>
    <x v="13"/>
    <x v="1"/>
    <x v="2"/>
    <x v="1"/>
    <x v="0"/>
    <x v="7"/>
    <x v="3"/>
    <n v="3"/>
    <x v="1"/>
  </r>
  <r>
    <s v="TX500388"/>
    <x v="2"/>
    <x v="13"/>
    <n v="120.3"/>
    <n v="721.8"/>
    <x v="16"/>
    <x v="13"/>
    <x v="1"/>
    <x v="2"/>
    <x v="0"/>
    <x v="0"/>
    <x v="8"/>
    <x v="3"/>
    <n v="3"/>
    <x v="1"/>
  </r>
  <r>
    <s v="TX500389"/>
    <x v="4"/>
    <x v="7"/>
    <n v="34"/>
    <n v="340"/>
    <x v="16"/>
    <x v="20"/>
    <x v="2"/>
    <x v="2"/>
    <x v="0"/>
    <x v="0"/>
    <x v="8"/>
    <x v="5"/>
    <n v="3"/>
    <x v="2"/>
  </r>
  <r>
    <s v="TX500390"/>
    <x v="10"/>
    <x v="9"/>
    <n v="42.6"/>
    <n v="213"/>
    <x v="16"/>
    <x v="21"/>
    <x v="1"/>
    <x v="1"/>
    <x v="0"/>
    <x v="0"/>
    <x v="8"/>
    <x v="2"/>
    <n v="3"/>
    <x v="1"/>
  </r>
  <r>
    <s v="TX500391"/>
    <x v="5"/>
    <x v="28"/>
    <n v="47.4"/>
    <n v="948"/>
    <x v="16"/>
    <x v="10"/>
    <x v="2"/>
    <x v="2"/>
    <x v="1"/>
    <x v="0"/>
    <x v="17"/>
    <x v="7"/>
    <n v="3"/>
    <x v="2"/>
  </r>
  <r>
    <s v="TX500392"/>
    <x v="2"/>
    <x v="0"/>
    <n v="74"/>
    <n v="74"/>
    <x v="17"/>
    <x v="18"/>
    <x v="1"/>
    <x v="1"/>
    <x v="0"/>
    <x v="0"/>
    <x v="11"/>
    <x v="3"/>
    <n v="3"/>
    <x v="1"/>
  </r>
  <r>
    <s v="TX500393"/>
    <x v="2"/>
    <x v="9"/>
    <n v="60.4"/>
    <n v="302"/>
    <x v="17"/>
    <x v="20"/>
    <x v="2"/>
    <x v="1"/>
    <x v="4"/>
    <x v="0"/>
    <x v="18"/>
    <x v="2"/>
    <n v="3"/>
    <x v="2"/>
  </r>
  <r>
    <s v="TX500394"/>
    <x v="12"/>
    <x v="1"/>
    <n v="69.3"/>
    <n v="138.6"/>
    <x v="17"/>
    <x v="20"/>
    <x v="1"/>
    <x v="1"/>
    <x v="1"/>
    <x v="0"/>
    <x v="13"/>
    <x v="2"/>
    <n v="3"/>
    <x v="1"/>
  </r>
  <r>
    <s v="TX500395"/>
    <x v="5"/>
    <x v="9"/>
    <n v="81"/>
    <n v="405"/>
    <x v="17"/>
    <x v="25"/>
    <x v="1"/>
    <x v="3"/>
    <x v="0"/>
    <x v="0"/>
    <x v="21"/>
    <x v="4"/>
    <n v="3"/>
    <x v="1"/>
  </r>
  <r>
    <s v="TX500396"/>
    <x v="15"/>
    <x v="2"/>
    <n v="41.5"/>
    <n v="124.5"/>
    <x v="17"/>
    <x v="21"/>
    <x v="3"/>
    <x v="1"/>
    <x v="0"/>
    <x v="0"/>
    <x v="21"/>
    <x v="1"/>
    <n v="3"/>
    <x v="3"/>
  </r>
  <r>
    <s v="TX500397"/>
    <x v="18"/>
    <x v="1"/>
    <n v="69.7"/>
    <n v="139.4"/>
    <x v="17"/>
    <x v="23"/>
    <x v="1"/>
    <x v="1"/>
    <x v="0"/>
    <x v="0"/>
    <x v="21"/>
    <x v="0"/>
    <n v="3"/>
    <x v="1"/>
  </r>
  <r>
    <s v="TX500398"/>
    <x v="2"/>
    <x v="9"/>
    <n v="83.6"/>
    <n v="418"/>
    <x v="17"/>
    <x v="13"/>
    <x v="2"/>
    <x v="4"/>
    <x v="0"/>
    <x v="0"/>
    <x v="1"/>
    <x v="7"/>
    <n v="3"/>
    <x v="2"/>
  </r>
  <r>
    <s v="TX500399"/>
    <x v="8"/>
    <x v="3"/>
    <n v="21.5"/>
    <n v="150.5"/>
    <x v="17"/>
    <x v="21"/>
    <x v="1"/>
    <x v="1"/>
    <x v="4"/>
    <x v="0"/>
    <x v="34"/>
    <x v="1"/>
    <n v="3"/>
    <x v="1"/>
  </r>
  <r>
    <s v="TX500400"/>
    <x v="8"/>
    <x v="8"/>
    <n v="28.6"/>
    <n v="228.8"/>
    <x v="17"/>
    <x v="18"/>
    <x v="1"/>
    <x v="0"/>
    <x v="0"/>
    <x v="0"/>
    <x v="3"/>
    <x v="3"/>
    <n v="3"/>
    <x v="1"/>
  </r>
  <r>
    <s v="TX500401"/>
    <x v="8"/>
    <x v="13"/>
    <n v="18.8"/>
    <n v="112.80000000000001"/>
    <x v="17"/>
    <x v="20"/>
    <x v="1"/>
    <x v="3"/>
    <x v="2"/>
    <x v="0"/>
    <x v="3"/>
    <x v="2"/>
    <n v="3"/>
    <x v="1"/>
  </r>
  <r>
    <s v="TX500402"/>
    <x v="10"/>
    <x v="12"/>
    <n v="35.1"/>
    <n v="140.4"/>
    <x v="17"/>
    <x v="13"/>
    <x v="2"/>
    <x v="1"/>
    <x v="1"/>
    <x v="0"/>
    <x v="3"/>
    <x v="7"/>
    <n v="3"/>
    <x v="2"/>
  </r>
  <r>
    <s v="TX500403"/>
    <x v="0"/>
    <x v="1"/>
    <n v="12.7"/>
    <n v="25.4"/>
    <x v="17"/>
    <x v="21"/>
    <x v="2"/>
    <x v="1"/>
    <x v="2"/>
    <x v="0"/>
    <x v="3"/>
    <x v="1"/>
    <n v="3"/>
    <x v="2"/>
  </r>
  <r>
    <s v="TX500404"/>
    <x v="8"/>
    <x v="9"/>
    <n v="27.4"/>
    <n v="137"/>
    <x v="17"/>
    <x v="21"/>
    <x v="3"/>
    <x v="0"/>
    <x v="0"/>
    <x v="0"/>
    <x v="3"/>
    <x v="1"/>
    <n v="3"/>
    <x v="3"/>
  </r>
  <r>
    <s v="TX500405"/>
    <x v="10"/>
    <x v="1"/>
    <n v="61.3"/>
    <n v="122.6"/>
    <x v="17"/>
    <x v="18"/>
    <x v="2"/>
    <x v="1"/>
    <x v="0"/>
    <x v="0"/>
    <x v="6"/>
    <x v="3"/>
    <n v="3"/>
    <x v="2"/>
  </r>
  <r>
    <s v="TX500406"/>
    <x v="8"/>
    <x v="1"/>
    <n v="64.7"/>
    <n v="129.4"/>
    <x v="17"/>
    <x v="21"/>
    <x v="2"/>
    <x v="3"/>
    <x v="2"/>
    <x v="0"/>
    <x v="6"/>
    <x v="1"/>
    <n v="3"/>
    <x v="2"/>
  </r>
  <r>
    <s v="TX500407"/>
    <x v="7"/>
    <x v="12"/>
    <n v="91.4"/>
    <n v="365.6"/>
    <x v="17"/>
    <x v="21"/>
    <x v="2"/>
    <x v="0"/>
    <x v="0"/>
    <x v="0"/>
    <x v="8"/>
    <x v="1"/>
    <n v="3"/>
    <x v="2"/>
  </r>
  <r>
    <s v="TX500408"/>
    <x v="0"/>
    <x v="1"/>
    <n v="33.1"/>
    <n v="66.2"/>
    <x v="18"/>
    <x v="21"/>
    <x v="1"/>
    <x v="0"/>
    <x v="2"/>
    <x v="0"/>
    <x v="8"/>
    <x v="3"/>
    <n v="4"/>
    <x v="1"/>
  </r>
  <r>
    <s v="TX500409"/>
    <x v="3"/>
    <x v="1"/>
    <n v="105.6"/>
    <n v="211.2"/>
    <x v="18"/>
    <x v="21"/>
    <x v="1"/>
    <x v="2"/>
    <x v="1"/>
    <x v="0"/>
    <x v="8"/>
    <x v="3"/>
    <n v="4"/>
    <x v="1"/>
  </r>
  <r>
    <s v="TX500410"/>
    <x v="10"/>
    <x v="2"/>
    <n v="46.4"/>
    <n v="139.19999999999999"/>
    <x v="18"/>
    <x v="21"/>
    <x v="1"/>
    <x v="2"/>
    <x v="0"/>
    <x v="0"/>
    <x v="9"/>
    <x v="3"/>
    <n v="4"/>
    <x v="1"/>
  </r>
  <r>
    <s v="TX500411"/>
    <x v="9"/>
    <x v="21"/>
    <n v="35.299999999999997"/>
    <n v="494.19999999999993"/>
    <x v="18"/>
    <x v="24"/>
    <x v="2"/>
    <x v="4"/>
    <x v="1"/>
    <x v="0"/>
    <x v="11"/>
    <x v="2"/>
    <n v="4"/>
    <x v="2"/>
  </r>
  <r>
    <s v="TX500412"/>
    <x v="0"/>
    <x v="1"/>
    <n v="16.100000000000001"/>
    <n v="32.200000000000003"/>
    <x v="18"/>
    <x v="20"/>
    <x v="1"/>
    <x v="3"/>
    <x v="2"/>
    <x v="0"/>
    <x v="32"/>
    <x v="1"/>
    <n v="4"/>
    <x v="1"/>
  </r>
  <r>
    <s v="TX500413"/>
    <x v="4"/>
    <x v="1"/>
    <n v="27.9"/>
    <n v="55.8"/>
    <x v="18"/>
    <x v="24"/>
    <x v="1"/>
    <x v="0"/>
    <x v="0"/>
    <x v="0"/>
    <x v="13"/>
    <x v="2"/>
    <n v="4"/>
    <x v="1"/>
  </r>
  <r>
    <s v="TX500414"/>
    <x v="8"/>
    <x v="0"/>
    <n v="47.1"/>
    <n v="47.1"/>
    <x v="18"/>
    <x v="22"/>
    <x v="2"/>
    <x v="1"/>
    <x v="0"/>
    <x v="0"/>
    <x v="2"/>
    <x v="9"/>
    <n v="4"/>
    <x v="2"/>
  </r>
  <r>
    <s v="TX500415"/>
    <x v="6"/>
    <x v="1"/>
    <n v="85"/>
    <n v="170"/>
    <x v="18"/>
    <x v="24"/>
    <x v="0"/>
    <x v="2"/>
    <x v="2"/>
    <x v="0"/>
    <x v="22"/>
    <x v="2"/>
    <n v="4"/>
    <x v="0"/>
  </r>
  <r>
    <s v="TX500416"/>
    <x v="18"/>
    <x v="1"/>
    <n v="89"/>
    <n v="178"/>
    <x v="18"/>
    <x v="20"/>
    <x v="2"/>
    <x v="0"/>
    <x v="0"/>
    <x v="0"/>
    <x v="3"/>
    <x v="1"/>
    <n v="4"/>
    <x v="2"/>
  </r>
  <r>
    <s v="TX500417"/>
    <x v="16"/>
    <x v="2"/>
    <n v="36.6"/>
    <n v="109.80000000000001"/>
    <x v="18"/>
    <x v="21"/>
    <x v="3"/>
    <x v="3"/>
    <x v="2"/>
    <x v="0"/>
    <x v="3"/>
    <x v="3"/>
    <n v="4"/>
    <x v="3"/>
  </r>
  <r>
    <s v="TX500418"/>
    <x v="6"/>
    <x v="3"/>
    <n v="43.5"/>
    <n v="304.5"/>
    <x v="18"/>
    <x v="21"/>
    <x v="1"/>
    <x v="1"/>
    <x v="2"/>
    <x v="0"/>
    <x v="3"/>
    <x v="3"/>
    <n v="4"/>
    <x v="1"/>
  </r>
  <r>
    <s v="TX500419"/>
    <x v="9"/>
    <x v="10"/>
    <n v="30.5"/>
    <n v="579.5"/>
    <x v="18"/>
    <x v="18"/>
    <x v="2"/>
    <x v="3"/>
    <x v="0"/>
    <x v="0"/>
    <x v="3"/>
    <x v="7"/>
    <n v="4"/>
    <x v="2"/>
  </r>
  <r>
    <s v="TX500420"/>
    <x v="1"/>
    <x v="1"/>
    <n v="107.7"/>
    <n v="215.4"/>
    <x v="18"/>
    <x v="23"/>
    <x v="1"/>
    <x v="3"/>
    <x v="4"/>
    <x v="0"/>
    <x v="3"/>
    <x v="5"/>
    <n v="4"/>
    <x v="1"/>
  </r>
  <r>
    <s v="TX500421"/>
    <x v="17"/>
    <x v="18"/>
    <n v="57.1"/>
    <n v="1484.6000000000001"/>
    <x v="18"/>
    <x v="21"/>
    <x v="1"/>
    <x v="1"/>
    <x v="0"/>
    <x v="0"/>
    <x v="3"/>
    <x v="3"/>
    <n v="4"/>
    <x v="1"/>
  </r>
  <r>
    <s v="TX500422"/>
    <x v="2"/>
    <x v="7"/>
    <n v="111.7"/>
    <n v="1117"/>
    <x v="18"/>
    <x v="21"/>
    <x v="2"/>
    <x v="4"/>
    <x v="2"/>
    <x v="0"/>
    <x v="3"/>
    <x v="3"/>
    <n v="4"/>
    <x v="2"/>
  </r>
  <r>
    <s v="TX500423"/>
    <x v="18"/>
    <x v="3"/>
    <n v="44.3"/>
    <n v="310.09999999999997"/>
    <x v="18"/>
    <x v="24"/>
    <x v="1"/>
    <x v="3"/>
    <x v="2"/>
    <x v="0"/>
    <x v="3"/>
    <x v="2"/>
    <n v="4"/>
    <x v="1"/>
  </r>
  <r>
    <s v="TX500424"/>
    <x v="2"/>
    <x v="8"/>
    <n v="95.8"/>
    <n v="766.4"/>
    <x v="18"/>
    <x v="17"/>
    <x v="3"/>
    <x v="0"/>
    <x v="0"/>
    <x v="0"/>
    <x v="3"/>
    <x v="4"/>
    <n v="4"/>
    <x v="3"/>
  </r>
  <r>
    <s v="TX500425"/>
    <x v="10"/>
    <x v="3"/>
    <n v="22.6"/>
    <n v="158.20000000000002"/>
    <x v="18"/>
    <x v="24"/>
    <x v="2"/>
    <x v="3"/>
    <x v="1"/>
    <x v="0"/>
    <x v="3"/>
    <x v="2"/>
    <n v="4"/>
    <x v="2"/>
  </r>
  <r>
    <s v="TX500426"/>
    <x v="8"/>
    <x v="8"/>
    <n v="25.6"/>
    <n v="204.8"/>
    <x v="18"/>
    <x v="20"/>
    <x v="2"/>
    <x v="4"/>
    <x v="0"/>
    <x v="0"/>
    <x v="3"/>
    <x v="1"/>
    <n v="4"/>
    <x v="2"/>
  </r>
  <r>
    <s v="TX500427"/>
    <x v="6"/>
    <x v="27"/>
    <n v="54.3"/>
    <n v="868.8"/>
    <x v="18"/>
    <x v="24"/>
    <x v="2"/>
    <x v="4"/>
    <x v="0"/>
    <x v="0"/>
    <x v="3"/>
    <x v="2"/>
    <n v="4"/>
    <x v="2"/>
  </r>
  <r>
    <s v="TX500428"/>
    <x v="18"/>
    <x v="15"/>
    <n v="51.3"/>
    <n v="666.9"/>
    <x v="18"/>
    <x v="20"/>
    <x v="1"/>
    <x v="0"/>
    <x v="2"/>
    <x v="0"/>
    <x v="3"/>
    <x v="1"/>
    <n v="4"/>
    <x v="1"/>
  </r>
  <r>
    <s v="TX500429"/>
    <x v="0"/>
    <x v="8"/>
    <n v="25.6"/>
    <n v="204.8"/>
    <x v="18"/>
    <x v="21"/>
    <x v="2"/>
    <x v="1"/>
    <x v="1"/>
    <x v="0"/>
    <x v="3"/>
    <x v="3"/>
    <n v="4"/>
    <x v="2"/>
  </r>
  <r>
    <s v="TX500430"/>
    <x v="0"/>
    <x v="1"/>
    <n v="15.6"/>
    <n v="31.2"/>
    <x v="18"/>
    <x v="21"/>
    <x v="2"/>
    <x v="2"/>
    <x v="2"/>
    <x v="0"/>
    <x v="3"/>
    <x v="3"/>
    <n v="4"/>
    <x v="2"/>
  </r>
  <r>
    <s v="TX500431"/>
    <x v="8"/>
    <x v="2"/>
    <n v="30.3"/>
    <n v="90.9"/>
    <x v="18"/>
    <x v="23"/>
    <x v="2"/>
    <x v="0"/>
    <x v="1"/>
    <x v="0"/>
    <x v="3"/>
    <x v="5"/>
    <n v="4"/>
    <x v="2"/>
  </r>
  <r>
    <s v="TX500432"/>
    <x v="12"/>
    <x v="1"/>
    <n v="30.3"/>
    <n v="60.6"/>
    <x v="18"/>
    <x v="25"/>
    <x v="2"/>
    <x v="0"/>
    <x v="2"/>
    <x v="0"/>
    <x v="37"/>
    <x v="0"/>
    <n v="4"/>
    <x v="2"/>
  </r>
  <r>
    <s v="TX500433"/>
    <x v="10"/>
    <x v="2"/>
    <n v="53"/>
    <n v="159"/>
    <x v="18"/>
    <x v="19"/>
    <x v="2"/>
    <x v="2"/>
    <x v="0"/>
    <x v="0"/>
    <x v="24"/>
    <x v="6"/>
    <n v="4"/>
    <x v="2"/>
  </r>
  <r>
    <s v="TX500434"/>
    <x v="5"/>
    <x v="16"/>
    <n v="59.9"/>
    <n v="1078.2"/>
    <x v="18"/>
    <x v="24"/>
    <x v="1"/>
    <x v="2"/>
    <x v="4"/>
    <x v="0"/>
    <x v="25"/>
    <x v="2"/>
    <n v="4"/>
    <x v="1"/>
  </r>
  <r>
    <s v="TX500435"/>
    <x v="9"/>
    <x v="1"/>
    <n v="45.7"/>
    <n v="91.4"/>
    <x v="18"/>
    <x v="21"/>
    <x v="2"/>
    <x v="1"/>
    <x v="2"/>
    <x v="0"/>
    <x v="6"/>
    <x v="3"/>
    <n v="4"/>
    <x v="2"/>
  </r>
  <r>
    <s v="TX500436"/>
    <x v="8"/>
    <x v="12"/>
    <n v="46.1"/>
    <n v="184.4"/>
    <x v="18"/>
    <x v="21"/>
    <x v="1"/>
    <x v="0"/>
    <x v="0"/>
    <x v="0"/>
    <x v="6"/>
    <x v="3"/>
    <n v="4"/>
    <x v="1"/>
  </r>
  <r>
    <s v="TX500437"/>
    <x v="8"/>
    <x v="2"/>
    <n v="17.5"/>
    <n v="52.5"/>
    <x v="18"/>
    <x v="21"/>
    <x v="2"/>
    <x v="0"/>
    <x v="2"/>
    <x v="0"/>
    <x v="8"/>
    <x v="3"/>
    <n v="4"/>
    <x v="2"/>
  </r>
  <r>
    <s v="TX500438"/>
    <x v="10"/>
    <x v="2"/>
    <n v="36.5"/>
    <n v="109.5"/>
    <x v="18"/>
    <x v="26"/>
    <x v="1"/>
    <x v="2"/>
    <x v="0"/>
    <x v="0"/>
    <x v="8"/>
    <x v="11"/>
    <n v="4"/>
    <x v="1"/>
  </r>
  <r>
    <s v="TX500439"/>
    <x v="8"/>
    <x v="1"/>
    <n v="47.5"/>
    <n v="95"/>
    <x v="19"/>
    <x v="24"/>
    <x v="2"/>
    <x v="1"/>
    <x v="0"/>
    <x v="0"/>
    <x v="8"/>
    <x v="1"/>
    <n v="4"/>
    <x v="2"/>
  </r>
  <r>
    <s v="TX500440"/>
    <x v="6"/>
    <x v="9"/>
    <n v="45.6"/>
    <n v="228"/>
    <x v="19"/>
    <x v="24"/>
    <x v="2"/>
    <x v="0"/>
    <x v="2"/>
    <x v="0"/>
    <x v="8"/>
    <x v="1"/>
    <n v="4"/>
    <x v="2"/>
  </r>
  <r>
    <s v="TX500441"/>
    <x v="9"/>
    <x v="1"/>
    <n v="50.5"/>
    <n v="101"/>
    <x v="19"/>
    <x v="24"/>
    <x v="1"/>
    <x v="0"/>
    <x v="1"/>
    <x v="0"/>
    <x v="17"/>
    <x v="1"/>
    <n v="4"/>
    <x v="1"/>
  </r>
  <r>
    <s v="TX500442"/>
    <x v="2"/>
    <x v="7"/>
    <n v="99.8"/>
    <n v="998"/>
    <x v="19"/>
    <x v="23"/>
    <x v="2"/>
    <x v="2"/>
    <x v="1"/>
    <x v="0"/>
    <x v="17"/>
    <x v="2"/>
    <n v="4"/>
    <x v="2"/>
  </r>
  <r>
    <s v="TX500443"/>
    <x v="8"/>
    <x v="20"/>
    <n v="19.2"/>
    <n v="288"/>
    <x v="19"/>
    <x v="24"/>
    <x v="3"/>
    <x v="4"/>
    <x v="1"/>
    <x v="0"/>
    <x v="26"/>
    <x v="1"/>
    <n v="4"/>
    <x v="3"/>
  </r>
  <r>
    <s v="TX500444"/>
    <x v="17"/>
    <x v="2"/>
    <n v="22.6"/>
    <n v="67.800000000000011"/>
    <x v="19"/>
    <x v="20"/>
    <x v="1"/>
    <x v="1"/>
    <x v="0"/>
    <x v="0"/>
    <x v="11"/>
    <x v="3"/>
    <n v="4"/>
    <x v="1"/>
  </r>
  <r>
    <s v="TX500445"/>
    <x v="1"/>
    <x v="20"/>
    <n v="126.9"/>
    <n v="1903.5"/>
    <x v="19"/>
    <x v="24"/>
    <x v="2"/>
    <x v="0"/>
    <x v="2"/>
    <x v="0"/>
    <x v="11"/>
    <x v="1"/>
    <n v="4"/>
    <x v="2"/>
  </r>
  <r>
    <s v="TX500446"/>
    <x v="2"/>
    <x v="1"/>
    <n v="100.3"/>
    <n v="200.6"/>
    <x v="19"/>
    <x v="20"/>
    <x v="2"/>
    <x v="0"/>
    <x v="1"/>
    <x v="0"/>
    <x v="11"/>
    <x v="3"/>
    <n v="4"/>
    <x v="2"/>
  </r>
  <r>
    <s v="TX500447"/>
    <x v="4"/>
    <x v="16"/>
    <n v="24.6"/>
    <n v="442.8"/>
    <x v="19"/>
    <x v="20"/>
    <x v="2"/>
    <x v="4"/>
    <x v="0"/>
    <x v="0"/>
    <x v="13"/>
    <x v="3"/>
    <n v="4"/>
    <x v="2"/>
  </r>
  <r>
    <s v="TX500448"/>
    <x v="6"/>
    <x v="1"/>
    <n v="47.3"/>
    <n v="94.6"/>
    <x v="19"/>
    <x v="20"/>
    <x v="1"/>
    <x v="1"/>
    <x v="2"/>
    <x v="0"/>
    <x v="13"/>
    <x v="3"/>
    <n v="4"/>
    <x v="1"/>
  </r>
  <r>
    <s v="TX500449"/>
    <x v="6"/>
    <x v="3"/>
    <n v="40.799999999999997"/>
    <n v="285.59999999999997"/>
    <x v="19"/>
    <x v="23"/>
    <x v="2"/>
    <x v="2"/>
    <x v="2"/>
    <x v="0"/>
    <x v="21"/>
    <x v="2"/>
    <n v="4"/>
    <x v="2"/>
  </r>
  <r>
    <s v="TX500450"/>
    <x v="8"/>
    <x v="8"/>
    <n v="49.2"/>
    <n v="393.6"/>
    <x v="19"/>
    <x v="24"/>
    <x v="2"/>
    <x v="0"/>
    <x v="0"/>
    <x v="0"/>
    <x v="1"/>
    <x v="1"/>
    <n v="4"/>
    <x v="2"/>
  </r>
  <r>
    <s v="TX500451"/>
    <x v="8"/>
    <x v="0"/>
    <n v="28.5"/>
    <n v="28.5"/>
    <x v="19"/>
    <x v="24"/>
    <x v="0"/>
    <x v="2"/>
    <x v="1"/>
    <x v="0"/>
    <x v="3"/>
    <x v="1"/>
    <n v="4"/>
    <x v="0"/>
  </r>
  <r>
    <s v="TX500452"/>
    <x v="18"/>
    <x v="1"/>
    <n v="36.799999999999997"/>
    <n v="73.599999999999994"/>
    <x v="19"/>
    <x v="19"/>
    <x v="2"/>
    <x v="0"/>
    <x v="2"/>
    <x v="0"/>
    <x v="3"/>
    <x v="4"/>
    <n v="4"/>
    <x v="2"/>
  </r>
  <r>
    <s v="TX500453"/>
    <x v="7"/>
    <x v="2"/>
    <n v="33.5"/>
    <n v="100.5"/>
    <x v="19"/>
    <x v="20"/>
    <x v="2"/>
    <x v="0"/>
    <x v="1"/>
    <x v="0"/>
    <x v="3"/>
    <x v="3"/>
    <n v="4"/>
    <x v="2"/>
  </r>
  <r>
    <s v="TX500454"/>
    <x v="6"/>
    <x v="13"/>
    <n v="62.5"/>
    <n v="375"/>
    <x v="19"/>
    <x v="24"/>
    <x v="2"/>
    <x v="0"/>
    <x v="0"/>
    <x v="0"/>
    <x v="3"/>
    <x v="1"/>
    <n v="4"/>
    <x v="2"/>
  </r>
  <r>
    <s v="TX500455"/>
    <x v="8"/>
    <x v="29"/>
    <n v="47.9"/>
    <n v="1916"/>
    <x v="19"/>
    <x v="20"/>
    <x v="2"/>
    <x v="3"/>
    <x v="0"/>
    <x v="0"/>
    <x v="3"/>
    <x v="3"/>
    <n v="4"/>
    <x v="2"/>
  </r>
  <r>
    <s v="TX500456"/>
    <x v="6"/>
    <x v="13"/>
    <n v="92.9"/>
    <n v="557.40000000000009"/>
    <x v="19"/>
    <x v="27"/>
    <x v="2"/>
    <x v="0"/>
    <x v="4"/>
    <x v="0"/>
    <x v="3"/>
    <x v="11"/>
    <n v="4"/>
    <x v="2"/>
  </r>
  <r>
    <s v="TX500457"/>
    <x v="12"/>
    <x v="2"/>
    <n v="44.1"/>
    <n v="132.30000000000001"/>
    <x v="19"/>
    <x v="21"/>
    <x v="2"/>
    <x v="1"/>
    <x v="1"/>
    <x v="0"/>
    <x v="43"/>
    <x v="7"/>
    <n v="4"/>
    <x v="2"/>
  </r>
  <r>
    <s v="TX500458"/>
    <x v="0"/>
    <x v="0"/>
    <n v="11.4"/>
    <n v="11.4"/>
    <x v="20"/>
    <x v="23"/>
    <x v="2"/>
    <x v="2"/>
    <x v="0"/>
    <x v="0"/>
    <x v="5"/>
    <x v="1"/>
    <n v="4"/>
    <x v="2"/>
  </r>
  <r>
    <s v="TX500459"/>
    <x v="6"/>
    <x v="0"/>
    <n v="83.7"/>
    <n v="83.7"/>
    <x v="20"/>
    <x v="23"/>
    <x v="2"/>
    <x v="0"/>
    <x v="2"/>
    <x v="0"/>
    <x v="6"/>
    <x v="1"/>
    <n v="4"/>
    <x v="2"/>
  </r>
  <r>
    <s v="TX500460"/>
    <x v="10"/>
    <x v="1"/>
    <n v="23.2"/>
    <n v="46.4"/>
    <x v="20"/>
    <x v="24"/>
    <x v="1"/>
    <x v="2"/>
    <x v="0"/>
    <x v="0"/>
    <x v="8"/>
    <x v="3"/>
    <n v="4"/>
    <x v="1"/>
  </r>
  <r>
    <s v="TX500461"/>
    <x v="2"/>
    <x v="0"/>
    <n v="162.1"/>
    <n v="162.1"/>
    <x v="20"/>
    <x v="25"/>
    <x v="2"/>
    <x v="0"/>
    <x v="2"/>
    <x v="0"/>
    <x v="9"/>
    <x v="2"/>
    <n v="4"/>
    <x v="2"/>
  </r>
  <r>
    <s v="TX500462"/>
    <x v="6"/>
    <x v="12"/>
    <n v="49.2"/>
    <n v="196.8"/>
    <x v="20"/>
    <x v="17"/>
    <x v="1"/>
    <x v="1"/>
    <x v="0"/>
    <x v="0"/>
    <x v="9"/>
    <x v="5"/>
    <n v="4"/>
    <x v="1"/>
  </r>
  <r>
    <s v="TX500463"/>
    <x v="1"/>
    <x v="1"/>
    <n v="61"/>
    <n v="122"/>
    <x v="20"/>
    <x v="24"/>
    <x v="1"/>
    <x v="3"/>
    <x v="0"/>
    <x v="0"/>
    <x v="10"/>
    <x v="3"/>
    <n v="4"/>
    <x v="1"/>
  </r>
  <r>
    <s v="TX500464"/>
    <x v="2"/>
    <x v="7"/>
    <n v="53.1"/>
    <n v="531"/>
    <x v="20"/>
    <x v="23"/>
    <x v="1"/>
    <x v="0"/>
    <x v="0"/>
    <x v="0"/>
    <x v="11"/>
    <x v="1"/>
    <n v="4"/>
    <x v="1"/>
  </r>
  <r>
    <s v="TX500465"/>
    <x v="4"/>
    <x v="1"/>
    <n v="22.4"/>
    <n v="44.8"/>
    <x v="20"/>
    <x v="23"/>
    <x v="0"/>
    <x v="1"/>
    <x v="2"/>
    <x v="0"/>
    <x v="13"/>
    <x v="1"/>
    <n v="4"/>
    <x v="0"/>
  </r>
  <r>
    <s v="TX500466"/>
    <x v="1"/>
    <x v="9"/>
    <n v="75.3"/>
    <n v="376.5"/>
    <x v="20"/>
    <x v="24"/>
    <x v="1"/>
    <x v="0"/>
    <x v="0"/>
    <x v="0"/>
    <x v="21"/>
    <x v="3"/>
    <n v="4"/>
    <x v="1"/>
  </r>
  <r>
    <s v="TX500467"/>
    <x v="6"/>
    <x v="0"/>
    <n v="48.5"/>
    <n v="48.5"/>
    <x v="20"/>
    <x v="24"/>
    <x v="2"/>
    <x v="0"/>
    <x v="1"/>
    <x v="0"/>
    <x v="21"/>
    <x v="3"/>
    <n v="4"/>
    <x v="2"/>
  </r>
  <r>
    <s v="TX500468"/>
    <x v="6"/>
    <x v="0"/>
    <n v="42.6"/>
    <n v="42.6"/>
    <x v="20"/>
    <x v="17"/>
    <x v="2"/>
    <x v="3"/>
    <x v="0"/>
    <x v="0"/>
    <x v="1"/>
    <x v="5"/>
    <n v="4"/>
    <x v="2"/>
  </r>
  <r>
    <s v="TX500469"/>
    <x v="5"/>
    <x v="9"/>
    <n v="49"/>
    <n v="245"/>
    <x v="20"/>
    <x v="24"/>
    <x v="1"/>
    <x v="0"/>
    <x v="0"/>
    <x v="0"/>
    <x v="22"/>
    <x v="3"/>
    <n v="4"/>
    <x v="1"/>
  </r>
  <r>
    <s v="TX500470"/>
    <x v="8"/>
    <x v="2"/>
    <n v="31.3"/>
    <n v="93.9"/>
    <x v="20"/>
    <x v="24"/>
    <x v="1"/>
    <x v="2"/>
    <x v="1"/>
    <x v="0"/>
    <x v="3"/>
    <x v="3"/>
    <n v="4"/>
    <x v="1"/>
  </r>
  <r>
    <s v="TX500471"/>
    <x v="2"/>
    <x v="1"/>
    <n v="85.4"/>
    <n v="170.8"/>
    <x v="20"/>
    <x v="24"/>
    <x v="2"/>
    <x v="2"/>
    <x v="0"/>
    <x v="0"/>
    <x v="3"/>
    <x v="3"/>
    <n v="4"/>
    <x v="2"/>
  </r>
  <r>
    <s v="TX500472"/>
    <x v="8"/>
    <x v="12"/>
    <n v="40"/>
    <n v="160"/>
    <x v="20"/>
    <x v="24"/>
    <x v="3"/>
    <x v="0"/>
    <x v="2"/>
    <x v="0"/>
    <x v="3"/>
    <x v="3"/>
    <n v="4"/>
    <x v="3"/>
  </r>
  <r>
    <s v="TX500473"/>
    <x v="5"/>
    <x v="1"/>
    <n v="38.5"/>
    <n v="77"/>
    <x v="20"/>
    <x v="25"/>
    <x v="1"/>
    <x v="1"/>
    <x v="2"/>
    <x v="0"/>
    <x v="3"/>
    <x v="2"/>
    <n v="4"/>
    <x v="1"/>
  </r>
  <r>
    <s v="TX500474"/>
    <x v="2"/>
    <x v="1"/>
    <n v="57.8"/>
    <n v="115.6"/>
    <x v="20"/>
    <x v="24"/>
    <x v="0"/>
    <x v="0"/>
    <x v="0"/>
    <x v="0"/>
    <x v="3"/>
    <x v="3"/>
    <n v="4"/>
    <x v="0"/>
  </r>
  <r>
    <s v="TX500475"/>
    <x v="8"/>
    <x v="0"/>
    <n v="19.2"/>
    <n v="19.2"/>
    <x v="20"/>
    <x v="24"/>
    <x v="2"/>
    <x v="0"/>
    <x v="4"/>
    <x v="0"/>
    <x v="3"/>
    <x v="3"/>
    <n v="4"/>
    <x v="2"/>
  </r>
  <r>
    <s v="TX500476"/>
    <x v="6"/>
    <x v="13"/>
    <n v="114.8"/>
    <n v="688.8"/>
    <x v="20"/>
    <x v="25"/>
    <x v="1"/>
    <x v="1"/>
    <x v="1"/>
    <x v="0"/>
    <x v="3"/>
    <x v="2"/>
    <n v="4"/>
    <x v="1"/>
  </r>
  <r>
    <s v="TX500477"/>
    <x v="10"/>
    <x v="3"/>
    <n v="48.4"/>
    <n v="338.8"/>
    <x v="20"/>
    <x v="25"/>
    <x v="2"/>
    <x v="3"/>
    <x v="1"/>
    <x v="0"/>
    <x v="3"/>
    <x v="2"/>
    <n v="4"/>
    <x v="2"/>
  </r>
  <r>
    <s v="TX500478"/>
    <x v="9"/>
    <x v="9"/>
    <n v="73.2"/>
    <n v="366"/>
    <x v="20"/>
    <x v="24"/>
    <x v="2"/>
    <x v="1"/>
    <x v="4"/>
    <x v="0"/>
    <x v="3"/>
    <x v="3"/>
    <n v="4"/>
    <x v="2"/>
  </r>
  <r>
    <s v="TX500479"/>
    <x v="15"/>
    <x v="1"/>
    <n v="48.6"/>
    <n v="97.2"/>
    <x v="20"/>
    <x v="17"/>
    <x v="2"/>
    <x v="3"/>
    <x v="0"/>
    <x v="0"/>
    <x v="3"/>
    <x v="5"/>
    <n v="4"/>
    <x v="2"/>
  </r>
  <r>
    <s v="TX500480"/>
    <x v="0"/>
    <x v="13"/>
    <n v="48.7"/>
    <n v="292.20000000000005"/>
    <x v="20"/>
    <x v="24"/>
    <x v="1"/>
    <x v="0"/>
    <x v="0"/>
    <x v="0"/>
    <x v="3"/>
    <x v="3"/>
    <n v="4"/>
    <x v="1"/>
  </r>
  <r>
    <s v="TX500481"/>
    <x v="4"/>
    <x v="1"/>
    <n v="32.200000000000003"/>
    <n v="64.400000000000006"/>
    <x v="20"/>
    <x v="25"/>
    <x v="1"/>
    <x v="2"/>
    <x v="2"/>
    <x v="0"/>
    <x v="3"/>
    <x v="2"/>
    <n v="4"/>
    <x v="1"/>
  </r>
  <r>
    <s v="TX500482"/>
    <x v="15"/>
    <x v="8"/>
    <n v="25.8"/>
    <n v="206.4"/>
    <x v="20"/>
    <x v="24"/>
    <x v="1"/>
    <x v="0"/>
    <x v="0"/>
    <x v="0"/>
    <x v="37"/>
    <x v="3"/>
    <n v="4"/>
    <x v="1"/>
  </r>
  <r>
    <s v="TX500483"/>
    <x v="6"/>
    <x v="1"/>
    <n v="94.8"/>
    <n v="189.6"/>
    <x v="21"/>
    <x v="17"/>
    <x v="2"/>
    <x v="1"/>
    <x v="1"/>
    <x v="0"/>
    <x v="25"/>
    <x v="2"/>
    <n v="4"/>
    <x v="2"/>
  </r>
  <r>
    <s v="TX500484"/>
    <x v="15"/>
    <x v="30"/>
    <n v="56.8"/>
    <n v="1420"/>
    <x v="21"/>
    <x v="17"/>
    <x v="1"/>
    <x v="0"/>
    <x v="0"/>
    <x v="0"/>
    <x v="25"/>
    <x v="2"/>
    <n v="4"/>
    <x v="1"/>
  </r>
  <r>
    <s v="TX500485"/>
    <x v="8"/>
    <x v="27"/>
    <n v="18.3"/>
    <n v="292.8"/>
    <x v="21"/>
    <x v="28"/>
    <x v="2"/>
    <x v="2"/>
    <x v="2"/>
    <x v="0"/>
    <x v="23"/>
    <x v="6"/>
    <n v="4"/>
    <x v="2"/>
  </r>
  <r>
    <s v="TX500486"/>
    <x v="0"/>
    <x v="2"/>
    <n v="16.8"/>
    <n v="50.400000000000006"/>
    <x v="21"/>
    <x v="22"/>
    <x v="2"/>
    <x v="2"/>
    <x v="2"/>
    <x v="0"/>
    <x v="8"/>
    <x v="0"/>
    <n v="4"/>
    <x v="2"/>
  </r>
  <r>
    <s v="TX500487"/>
    <x v="5"/>
    <x v="5"/>
    <n v="35.799999999999997"/>
    <n v="393.79999999999995"/>
    <x v="21"/>
    <x v="23"/>
    <x v="1"/>
    <x v="1"/>
    <x v="0"/>
    <x v="0"/>
    <x v="17"/>
    <x v="3"/>
    <n v="4"/>
    <x v="1"/>
  </r>
  <r>
    <s v="TX500488"/>
    <x v="18"/>
    <x v="0"/>
    <n v="64.900000000000006"/>
    <n v="64.900000000000006"/>
    <x v="21"/>
    <x v="23"/>
    <x v="1"/>
    <x v="0"/>
    <x v="1"/>
    <x v="0"/>
    <x v="17"/>
    <x v="3"/>
    <n v="4"/>
    <x v="1"/>
  </r>
  <r>
    <s v="TX500489"/>
    <x v="18"/>
    <x v="0"/>
    <n v="28.5"/>
    <n v="28.5"/>
    <x v="21"/>
    <x v="25"/>
    <x v="0"/>
    <x v="1"/>
    <x v="0"/>
    <x v="0"/>
    <x v="9"/>
    <x v="1"/>
    <n v="4"/>
    <x v="0"/>
  </r>
  <r>
    <s v="TX500490"/>
    <x v="18"/>
    <x v="1"/>
    <n v="103.5"/>
    <n v="207"/>
    <x v="21"/>
    <x v="25"/>
    <x v="2"/>
    <x v="1"/>
    <x v="0"/>
    <x v="0"/>
    <x v="10"/>
    <x v="1"/>
    <n v="4"/>
    <x v="2"/>
  </r>
  <r>
    <s v="TX500491"/>
    <x v="4"/>
    <x v="1"/>
    <n v="41.2"/>
    <n v="82.4"/>
    <x v="21"/>
    <x v="23"/>
    <x v="2"/>
    <x v="1"/>
    <x v="0"/>
    <x v="0"/>
    <x v="10"/>
    <x v="3"/>
    <n v="4"/>
    <x v="2"/>
  </r>
  <r>
    <s v="TX500492"/>
    <x v="9"/>
    <x v="0"/>
    <n v="37.799999999999997"/>
    <n v="37.799999999999997"/>
    <x v="21"/>
    <x v="25"/>
    <x v="2"/>
    <x v="3"/>
    <x v="3"/>
    <x v="0"/>
    <x v="11"/>
    <x v="1"/>
    <n v="4"/>
    <x v="2"/>
  </r>
  <r>
    <s v="TX500493"/>
    <x v="8"/>
    <x v="1"/>
    <n v="42.6"/>
    <n v="85.2"/>
    <x v="21"/>
    <x v="25"/>
    <x v="2"/>
    <x v="4"/>
    <x v="0"/>
    <x v="0"/>
    <x v="11"/>
    <x v="1"/>
    <n v="4"/>
    <x v="2"/>
  </r>
  <r>
    <s v="TX500494"/>
    <x v="8"/>
    <x v="7"/>
    <n v="15.2"/>
    <n v="152"/>
    <x v="21"/>
    <x v="25"/>
    <x v="2"/>
    <x v="2"/>
    <x v="0"/>
    <x v="0"/>
    <x v="11"/>
    <x v="1"/>
    <n v="4"/>
    <x v="2"/>
  </r>
  <r>
    <s v="TX500495"/>
    <x v="7"/>
    <x v="12"/>
    <n v="83.4"/>
    <n v="333.6"/>
    <x v="21"/>
    <x v="23"/>
    <x v="2"/>
    <x v="2"/>
    <x v="1"/>
    <x v="0"/>
    <x v="18"/>
    <x v="3"/>
    <n v="4"/>
    <x v="2"/>
  </r>
  <r>
    <s v="TX500496"/>
    <x v="19"/>
    <x v="1"/>
    <n v="27.7"/>
    <n v="55.4"/>
    <x v="21"/>
    <x v="23"/>
    <x v="2"/>
    <x v="0"/>
    <x v="1"/>
    <x v="0"/>
    <x v="13"/>
    <x v="3"/>
    <n v="4"/>
    <x v="2"/>
  </r>
  <r>
    <s v="TX500497"/>
    <x v="10"/>
    <x v="4"/>
    <n v="20.8"/>
    <n v="249.60000000000002"/>
    <x v="21"/>
    <x v="23"/>
    <x v="1"/>
    <x v="3"/>
    <x v="0"/>
    <x v="0"/>
    <x v="13"/>
    <x v="3"/>
    <n v="4"/>
    <x v="1"/>
  </r>
  <r>
    <s v="TX500498"/>
    <x v="11"/>
    <x v="1"/>
    <n v="72.7"/>
    <n v="145.4"/>
    <x v="21"/>
    <x v="19"/>
    <x v="2"/>
    <x v="4"/>
    <x v="2"/>
    <x v="0"/>
    <x v="44"/>
    <x v="5"/>
    <n v="4"/>
    <x v="2"/>
  </r>
  <r>
    <s v="TX500499"/>
    <x v="10"/>
    <x v="12"/>
    <n v="38.6"/>
    <n v="154.4"/>
    <x v="21"/>
    <x v="23"/>
    <x v="1"/>
    <x v="0"/>
    <x v="2"/>
    <x v="0"/>
    <x v="22"/>
    <x v="3"/>
    <n v="4"/>
    <x v="1"/>
  </r>
  <r>
    <s v="TX500500"/>
    <x v="8"/>
    <x v="3"/>
    <n v="33.1"/>
    <n v="231.70000000000002"/>
    <x v="21"/>
    <x v="23"/>
    <x v="3"/>
    <x v="4"/>
    <x v="3"/>
    <x v="0"/>
    <x v="3"/>
    <x v="3"/>
    <n v="4"/>
    <x v="3"/>
  </r>
  <r>
    <s v="TX500501"/>
    <x v="10"/>
    <x v="1"/>
    <n v="30.5"/>
    <n v="61"/>
    <x v="21"/>
    <x v="24"/>
    <x v="0"/>
    <x v="1"/>
    <x v="1"/>
    <x v="0"/>
    <x v="3"/>
    <x v="7"/>
    <n v="4"/>
    <x v="0"/>
  </r>
  <r>
    <s v="TX500502"/>
    <x v="9"/>
    <x v="1"/>
    <n v="69.599999999999994"/>
    <n v="139.19999999999999"/>
    <x v="21"/>
    <x v="23"/>
    <x v="1"/>
    <x v="0"/>
    <x v="1"/>
    <x v="0"/>
    <x v="3"/>
    <x v="3"/>
    <n v="4"/>
    <x v="1"/>
  </r>
  <r>
    <s v="TX500503"/>
    <x v="11"/>
    <x v="0"/>
    <n v="42.4"/>
    <n v="42.4"/>
    <x v="21"/>
    <x v="19"/>
    <x v="2"/>
    <x v="1"/>
    <x v="0"/>
    <x v="0"/>
    <x v="3"/>
    <x v="5"/>
    <n v="4"/>
    <x v="2"/>
  </r>
  <r>
    <s v="TX500504"/>
    <x v="17"/>
    <x v="0"/>
    <n v="32.200000000000003"/>
    <n v="32.200000000000003"/>
    <x v="21"/>
    <x v="17"/>
    <x v="2"/>
    <x v="2"/>
    <x v="1"/>
    <x v="0"/>
    <x v="3"/>
    <x v="2"/>
    <n v="4"/>
    <x v="2"/>
  </r>
  <r>
    <s v="TX500505"/>
    <x v="6"/>
    <x v="1"/>
    <n v="41.5"/>
    <n v="83"/>
    <x v="21"/>
    <x v="17"/>
    <x v="2"/>
    <x v="0"/>
    <x v="2"/>
    <x v="0"/>
    <x v="3"/>
    <x v="2"/>
    <n v="4"/>
    <x v="2"/>
  </r>
  <r>
    <s v="TX500506"/>
    <x v="16"/>
    <x v="11"/>
    <n v="58.9"/>
    <n v="530.1"/>
    <x v="21"/>
    <x v="19"/>
    <x v="2"/>
    <x v="3"/>
    <x v="0"/>
    <x v="0"/>
    <x v="3"/>
    <x v="5"/>
    <n v="4"/>
    <x v="2"/>
  </r>
  <r>
    <s v="TX500507"/>
    <x v="2"/>
    <x v="0"/>
    <n v="57.1"/>
    <n v="57.1"/>
    <x v="21"/>
    <x v="17"/>
    <x v="2"/>
    <x v="1"/>
    <x v="0"/>
    <x v="0"/>
    <x v="3"/>
    <x v="2"/>
    <n v="4"/>
    <x v="2"/>
  </r>
  <r>
    <s v="TX500508"/>
    <x v="6"/>
    <x v="0"/>
    <n v="57.2"/>
    <n v="57.2"/>
    <x v="21"/>
    <x v="25"/>
    <x v="1"/>
    <x v="1"/>
    <x v="0"/>
    <x v="0"/>
    <x v="3"/>
    <x v="1"/>
    <n v="4"/>
    <x v="1"/>
  </r>
  <r>
    <s v="TX500509"/>
    <x v="8"/>
    <x v="1"/>
    <n v="35.1"/>
    <n v="70.2"/>
    <x v="21"/>
    <x v="23"/>
    <x v="1"/>
    <x v="1"/>
    <x v="0"/>
    <x v="0"/>
    <x v="6"/>
    <x v="3"/>
    <n v="4"/>
    <x v="1"/>
  </r>
  <r>
    <s v="TX500510"/>
    <x v="1"/>
    <x v="0"/>
    <n v="52.1"/>
    <n v="52.1"/>
    <x v="21"/>
    <x v="25"/>
    <x v="2"/>
    <x v="4"/>
    <x v="1"/>
    <x v="0"/>
    <x v="8"/>
    <x v="1"/>
    <n v="4"/>
    <x v="2"/>
  </r>
  <r>
    <s v="TX500511"/>
    <x v="13"/>
    <x v="2"/>
    <n v="59.8"/>
    <n v="179.39999999999998"/>
    <x v="21"/>
    <x v="25"/>
    <x v="2"/>
    <x v="4"/>
    <x v="1"/>
    <x v="0"/>
    <x v="8"/>
    <x v="1"/>
    <n v="4"/>
    <x v="2"/>
  </r>
  <r>
    <s v="TX500512"/>
    <x v="3"/>
    <x v="12"/>
    <n v="83.3"/>
    <n v="333.2"/>
    <x v="21"/>
    <x v="24"/>
    <x v="0"/>
    <x v="2"/>
    <x v="0"/>
    <x v="0"/>
    <x v="8"/>
    <x v="7"/>
    <n v="4"/>
    <x v="0"/>
  </r>
  <r>
    <s v="TX500513"/>
    <x v="15"/>
    <x v="4"/>
    <n v="41.3"/>
    <n v="495.59999999999997"/>
    <x v="21"/>
    <x v="23"/>
    <x v="2"/>
    <x v="1"/>
    <x v="0"/>
    <x v="0"/>
    <x v="8"/>
    <x v="3"/>
    <n v="4"/>
    <x v="2"/>
  </r>
  <r>
    <s v="TX500514"/>
    <x v="8"/>
    <x v="9"/>
    <n v="16"/>
    <n v="80"/>
    <x v="21"/>
    <x v="25"/>
    <x v="1"/>
    <x v="4"/>
    <x v="1"/>
    <x v="0"/>
    <x v="9"/>
    <x v="1"/>
    <n v="4"/>
    <x v="1"/>
  </r>
  <r>
    <s v="TX500515"/>
    <x v="10"/>
    <x v="1"/>
    <n v="20.8"/>
    <n v="41.6"/>
    <x v="22"/>
    <x v="17"/>
    <x v="1"/>
    <x v="0"/>
    <x v="2"/>
    <x v="0"/>
    <x v="11"/>
    <x v="1"/>
    <n v="4"/>
    <x v="1"/>
  </r>
  <r>
    <s v="TX500516"/>
    <x v="8"/>
    <x v="31"/>
    <n v="27.1"/>
    <n v="758.80000000000007"/>
    <x v="22"/>
    <x v="25"/>
    <x v="0"/>
    <x v="3"/>
    <x v="2"/>
    <x v="0"/>
    <x v="11"/>
    <x v="3"/>
    <n v="4"/>
    <x v="0"/>
  </r>
  <r>
    <s v="TX500517"/>
    <x v="10"/>
    <x v="1"/>
    <n v="38.9"/>
    <n v="77.8"/>
    <x v="22"/>
    <x v="17"/>
    <x v="2"/>
    <x v="0"/>
    <x v="0"/>
    <x v="0"/>
    <x v="18"/>
    <x v="1"/>
    <n v="4"/>
    <x v="2"/>
  </r>
  <r>
    <s v="TX500518"/>
    <x v="0"/>
    <x v="1"/>
    <n v="10.8"/>
    <n v="21.6"/>
    <x v="22"/>
    <x v="19"/>
    <x v="2"/>
    <x v="1"/>
    <x v="2"/>
    <x v="0"/>
    <x v="45"/>
    <x v="2"/>
    <n v="4"/>
    <x v="2"/>
  </r>
  <r>
    <s v="TX500519"/>
    <x v="4"/>
    <x v="15"/>
    <n v="48.4"/>
    <n v="629.19999999999993"/>
    <x v="22"/>
    <x v="22"/>
    <x v="2"/>
    <x v="0"/>
    <x v="0"/>
    <x v="0"/>
    <x v="21"/>
    <x v="5"/>
    <n v="4"/>
    <x v="2"/>
  </r>
  <r>
    <s v="TX500520"/>
    <x v="4"/>
    <x v="2"/>
    <n v="29.2"/>
    <n v="87.6"/>
    <x v="22"/>
    <x v="19"/>
    <x v="2"/>
    <x v="1"/>
    <x v="1"/>
    <x v="0"/>
    <x v="2"/>
    <x v="2"/>
    <n v="4"/>
    <x v="2"/>
  </r>
  <r>
    <s v="TX500521"/>
    <x v="4"/>
    <x v="1"/>
    <n v="25.1"/>
    <n v="50.2"/>
    <x v="22"/>
    <x v="25"/>
    <x v="1"/>
    <x v="0"/>
    <x v="1"/>
    <x v="0"/>
    <x v="2"/>
    <x v="3"/>
    <n v="4"/>
    <x v="1"/>
  </r>
  <r>
    <s v="TX500522"/>
    <x v="7"/>
    <x v="2"/>
    <n v="65.599999999999994"/>
    <n v="196.79999999999998"/>
    <x v="22"/>
    <x v="23"/>
    <x v="2"/>
    <x v="2"/>
    <x v="1"/>
    <x v="0"/>
    <x v="3"/>
    <x v="7"/>
    <n v="4"/>
    <x v="2"/>
  </r>
  <r>
    <s v="TX500523"/>
    <x v="2"/>
    <x v="1"/>
    <n v="57.3"/>
    <n v="114.6"/>
    <x v="22"/>
    <x v="23"/>
    <x v="0"/>
    <x v="0"/>
    <x v="0"/>
    <x v="0"/>
    <x v="3"/>
    <x v="7"/>
    <n v="4"/>
    <x v="0"/>
  </r>
  <r>
    <s v="TX500524"/>
    <x v="9"/>
    <x v="12"/>
    <n v="22.4"/>
    <n v="89.6"/>
    <x v="22"/>
    <x v="25"/>
    <x v="2"/>
    <x v="2"/>
    <x v="2"/>
    <x v="0"/>
    <x v="3"/>
    <x v="3"/>
    <n v="4"/>
    <x v="2"/>
  </r>
  <r>
    <s v="TX500525"/>
    <x v="12"/>
    <x v="11"/>
    <n v="45.7"/>
    <n v="411.3"/>
    <x v="22"/>
    <x v="25"/>
    <x v="2"/>
    <x v="0"/>
    <x v="0"/>
    <x v="0"/>
    <x v="3"/>
    <x v="3"/>
    <n v="4"/>
    <x v="2"/>
  </r>
  <r>
    <s v="TX500526"/>
    <x v="8"/>
    <x v="1"/>
    <n v="29.3"/>
    <n v="58.6"/>
    <x v="22"/>
    <x v="25"/>
    <x v="1"/>
    <x v="1"/>
    <x v="0"/>
    <x v="0"/>
    <x v="3"/>
    <x v="3"/>
    <n v="4"/>
    <x v="1"/>
  </r>
  <r>
    <s v="TX500527"/>
    <x v="18"/>
    <x v="32"/>
    <n v="74"/>
    <n v="1628"/>
    <x v="22"/>
    <x v="25"/>
    <x v="1"/>
    <x v="0"/>
    <x v="2"/>
    <x v="0"/>
    <x v="3"/>
    <x v="3"/>
    <n v="4"/>
    <x v="1"/>
  </r>
  <r>
    <s v="TX500528"/>
    <x v="14"/>
    <x v="1"/>
    <n v="39.200000000000003"/>
    <n v="78.400000000000006"/>
    <x v="22"/>
    <x v="17"/>
    <x v="2"/>
    <x v="1"/>
    <x v="0"/>
    <x v="0"/>
    <x v="3"/>
    <x v="1"/>
    <n v="4"/>
    <x v="2"/>
  </r>
  <r>
    <s v="TX500529"/>
    <x v="4"/>
    <x v="14"/>
    <n v="62.7"/>
    <n v="1065.9000000000001"/>
    <x v="22"/>
    <x v="25"/>
    <x v="2"/>
    <x v="2"/>
    <x v="1"/>
    <x v="0"/>
    <x v="3"/>
    <x v="3"/>
    <n v="4"/>
    <x v="2"/>
  </r>
  <r>
    <s v="TX500530"/>
    <x v="10"/>
    <x v="1"/>
    <n v="60.1"/>
    <n v="120.2"/>
    <x v="22"/>
    <x v="25"/>
    <x v="2"/>
    <x v="3"/>
    <x v="0"/>
    <x v="0"/>
    <x v="3"/>
    <x v="3"/>
    <n v="4"/>
    <x v="2"/>
  </r>
  <r>
    <s v="TX500531"/>
    <x v="0"/>
    <x v="12"/>
    <n v="11.2"/>
    <n v="44.8"/>
    <x v="22"/>
    <x v="25"/>
    <x v="2"/>
    <x v="3"/>
    <x v="1"/>
    <x v="0"/>
    <x v="3"/>
    <x v="3"/>
    <n v="4"/>
    <x v="2"/>
  </r>
  <r>
    <s v="TX500532"/>
    <x v="8"/>
    <x v="1"/>
    <n v="22.9"/>
    <n v="45.8"/>
    <x v="22"/>
    <x v="25"/>
    <x v="2"/>
    <x v="0"/>
    <x v="0"/>
    <x v="0"/>
    <x v="6"/>
    <x v="3"/>
    <n v="4"/>
    <x v="2"/>
  </r>
  <r>
    <s v="TX500533"/>
    <x v="1"/>
    <x v="1"/>
    <n v="37.6"/>
    <n v="75.2"/>
    <x v="22"/>
    <x v="19"/>
    <x v="2"/>
    <x v="0"/>
    <x v="0"/>
    <x v="0"/>
    <x v="6"/>
    <x v="2"/>
    <n v="4"/>
    <x v="2"/>
  </r>
  <r>
    <s v="TX500534"/>
    <x v="6"/>
    <x v="0"/>
    <n v="42.4"/>
    <n v="42.4"/>
    <x v="22"/>
    <x v="25"/>
    <x v="2"/>
    <x v="3"/>
    <x v="2"/>
    <x v="0"/>
    <x v="6"/>
    <x v="3"/>
    <n v="4"/>
    <x v="2"/>
  </r>
  <r>
    <s v="TX500535"/>
    <x v="8"/>
    <x v="1"/>
    <n v="19.600000000000001"/>
    <n v="39.200000000000003"/>
    <x v="22"/>
    <x v="22"/>
    <x v="2"/>
    <x v="2"/>
    <x v="0"/>
    <x v="0"/>
    <x v="7"/>
    <x v="5"/>
    <n v="4"/>
    <x v="2"/>
  </r>
  <r>
    <s v="TX500536"/>
    <x v="9"/>
    <x v="0"/>
    <n v="90.5"/>
    <n v="90.5"/>
    <x v="22"/>
    <x v="19"/>
    <x v="2"/>
    <x v="2"/>
    <x v="0"/>
    <x v="0"/>
    <x v="7"/>
    <x v="2"/>
    <n v="4"/>
    <x v="2"/>
  </r>
  <r>
    <s v="TX500537"/>
    <x v="16"/>
    <x v="5"/>
    <n v="33.9"/>
    <n v="372.9"/>
    <x v="22"/>
    <x v="25"/>
    <x v="1"/>
    <x v="2"/>
    <x v="1"/>
    <x v="0"/>
    <x v="7"/>
    <x v="3"/>
    <n v="4"/>
    <x v="1"/>
  </r>
  <r>
    <s v="TX500538"/>
    <x v="0"/>
    <x v="1"/>
    <n v="32.799999999999997"/>
    <n v="65.599999999999994"/>
    <x v="22"/>
    <x v="17"/>
    <x v="2"/>
    <x v="4"/>
    <x v="4"/>
    <x v="0"/>
    <x v="8"/>
    <x v="1"/>
    <n v="4"/>
    <x v="2"/>
  </r>
  <r>
    <s v="TX500539"/>
    <x v="15"/>
    <x v="0"/>
    <n v="49.9"/>
    <n v="49.9"/>
    <x v="22"/>
    <x v="25"/>
    <x v="1"/>
    <x v="3"/>
    <x v="1"/>
    <x v="0"/>
    <x v="8"/>
    <x v="3"/>
    <n v="4"/>
    <x v="1"/>
  </r>
  <r>
    <s v="TX500540"/>
    <x v="7"/>
    <x v="9"/>
    <n v="79.2"/>
    <n v="396"/>
    <x v="22"/>
    <x v="25"/>
    <x v="2"/>
    <x v="4"/>
    <x v="0"/>
    <x v="0"/>
    <x v="8"/>
    <x v="3"/>
    <n v="4"/>
    <x v="2"/>
  </r>
  <r>
    <s v="TX500541"/>
    <x v="8"/>
    <x v="27"/>
    <n v="19.5"/>
    <n v="312"/>
    <x v="22"/>
    <x v="17"/>
    <x v="1"/>
    <x v="3"/>
    <x v="2"/>
    <x v="0"/>
    <x v="8"/>
    <x v="1"/>
    <n v="4"/>
    <x v="1"/>
  </r>
  <r>
    <s v="TX500542"/>
    <x v="8"/>
    <x v="12"/>
    <n v="18"/>
    <n v="72"/>
    <x v="22"/>
    <x v="25"/>
    <x v="1"/>
    <x v="1"/>
    <x v="0"/>
    <x v="0"/>
    <x v="10"/>
    <x v="3"/>
    <n v="4"/>
    <x v="1"/>
  </r>
  <r>
    <s v="TX500543"/>
    <x v="9"/>
    <x v="2"/>
    <n v="45.9"/>
    <n v="137.69999999999999"/>
    <x v="22"/>
    <x v="17"/>
    <x v="2"/>
    <x v="1"/>
    <x v="1"/>
    <x v="0"/>
    <x v="10"/>
    <x v="1"/>
    <n v="4"/>
    <x v="2"/>
  </r>
  <r>
    <s v="TX500544"/>
    <x v="11"/>
    <x v="0"/>
    <n v="41.2"/>
    <n v="41.2"/>
    <x v="22"/>
    <x v="17"/>
    <x v="2"/>
    <x v="1"/>
    <x v="2"/>
    <x v="0"/>
    <x v="11"/>
    <x v="1"/>
    <n v="4"/>
    <x v="2"/>
  </r>
  <r>
    <s v="TX500545"/>
    <x v="2"/>
    <x v="7"/>
    <n v="167.2"/>
    <n v="1672"/>
    <x v="22"/>
    <x v="17"/>
    <x v="2"/>
    <x v="2"/>
    <x v="2"/>
    <x v="0"/>
    <x v="32"/>
    <x v="1"/>
    <n v="4"/>
    <x v="2"/>
  </r>
  <r>
    <s v="TX500546"/>
    <x v="6"/>
    <x v="17"/>
    <n v="74.5"/>
    <n v="2235"/>
    <x v="23"/>
    <x v="22"/>
    <x v="2"/>
    <x v="1"/>
    <x v="2"/>
    <x v="0"/>
    <x v="38"/>
    <x v="2"/>
    <n v="4"/>
    <x v="2"/>
  </r>
  <r>
    <s v="TX500547"/>
    <x v="7"/>
    <x v="12"/>
    <n v="39.299999999999997"/>
    <n v="157.19999999999999"/>
    <x v="23"/>
    <x v="17"/>
    <x v="0"/>
    <x v="2"/>
    <x v="0"/>
    <x v="0"/>
    <x v="19"/>
    <x v="3"/>
    <n v="4"/>
    <x v="0"/>
  </r>
  <r>
    <s v="TX500548"/>
    <x v="9"/>
    <x v="0"/>
    <n v="68.5"/>
    <n v="68.5"/>
    <x v="23"/>
    <x v="22"/>
    <x v="1"/>
    <x v="1"/>
    <x v="2"/>
    <x v="0"/>
    <x v="12"/>
    <x v="2"/>
    <n v="4"/>
    <x v="1"/>
  </r>
  <r>
    <s v="TX500549"/>
    <x v="0"/>
    <x v="2"/>
    <n v="22.5"/>
    <n v="67.5"/>
    <x v="23"/>
    <x v="25"/>
    <x v="2"/>
    <x v="4"/>
    <x v="0"/>
    <x v="0"/>
    <x v="13"/>
    <x v="7"/>
    <n v="4"/>
    <x v="2"/>
  </r>
  <r>
    <s v="TX500550"/>
    <x v="1"/>
    <x v="0"/>
    <n v="48"/>
    <n v="48"/>
    <x v="23"/>
    <x v="17"/>
    <x v="3"/>
    <x v="4"/>
    <x v="1"/>
    <x v="0"/>
    <x v="46"/>
    <x v="3"/>
    <n v="4"/>
    <x v="3"/>
  </r>
  <r>
    <s v="TX500551"/>
    <x v="6"/>
    <x v="0"/>
    <n v="94"/>
    <n v="94"/>
    <x v="23"/>
    <x v="17"/>
    <x v="1"/>
    <x v="3"/>
    <x v="1"/>
    <x v="0"/>
    <x v="1"/>
    <x v="3"/>
    <n v="4"/>
    <x v="1"/>
  </r>
  <r>
    <s v="TX500552"/>
    <x v="8"/>
    <x v="2"/>
    <n v="21.9"/>
    <n v="65.699999999999989"/>
    <x v="23"/>
    <x v="17"/>
    <x v="2"/>
    <x v="0"/>
    <x v="0"/>
    <x v="0"/>
    <x v="44"/>
    <x v="3"/>
    <n v="4"/>
    <x v="2"/>
  </r>
  <r>
    <s v="TX500553"/>
    <x v="6"/>
    <x v="3"/>
    <n v="64.900000000000006"/>
    <n v="454.30000000000007"/>
    <x v="23"/>
    <x v="17"/>
    <x v="2"/>
    <x v="0"/>
    <x v="0"/>
    <x v="0"/>
    <x v="3"/>
    <x v="3"/>
    <n v="4"/>
    <x v="2"/>
  </r>
  <r>
    <s v="TX500554"/>
    <x v="12"/>
    <x v="0"/>
    <n v="52.9"/>
    <n v="52.9"/>
    <x v="23"/>
    <x v="25"/>
    <x v="2"/>
    <x v="1"/>
    <x v="1"/>
    <x v="0"/>
    <x v="3"/>
    <x v="7"/>
    <n v="4"/>
    <x v="2"/>
  </r>
  <r>
    <s v="TX500555"/>
    <x v="8"/>
    <x v="2"/>
    <n v="25.5"/>
    <n v="76.5"/>
    <x v="23"/>
    <x v="17"/>
    <x v="2"/>
    <x v="1"/>
    <x v="2"/>
    <x v="0"/>
    <x v="3"/>
    <x v="3"/>
    <n v="4"/>
    <x v="2"/>
  </r>
  <r>
    <s v="TX500556"/>
    <x v="6"/>
    <x v="2"/>
    <n v="51.9"/>
    <n v="155.69999999999999"/>
    <x v="23"/>
    <x v="17"/>
    <x v="2"/>
    <x v="3"/>
    <x v="0"/>
    <x v="0"/>
    <x v="3"/>
    <x v="3"/>
    <n v="4"/>
    <x v="2"/>
  </r>
  <r>
    <s v="TX500557"/>
    <x v="5"/>
    <x v="0"/>
    <n v="46.3"/>
    <n v="46.3"/>
    <x v="23"/>
    <x v="22"/>
    <x v="2"/>
    <x v="4"/>
    <x v="0"/>
    <x v="0"/>
    <x v="3"/>
    <x v="2"/>
    <n v="4"/>
    <x v="2"/>
  </r>
  <r>
    <s v="TX500558"/>
    <x v="6"/>
    <x v="1"/>
    <n v="68.2"/>
    <n v="136.4"/>
    <x v="23"/>
    <x v="19"/>
    <x v="2"/>
    <x v="3"/>
    <x v="0"/>
    <x v="0"/>
    <x v="3"/>
    <x v="1"/>
    <n v="4"/>
    <x v="2"/>
  </r>
  <r>
    <s v="TX500559"/>
    <x v="1"/>
    <x v="0"/>
    <n v="40.299999999999997"/>
    <n v="40.299999999999997"/>
    <x v="23"/>
    <x v="17"/>
    <x v="1"/>
    <x v="0"/>
    <x v="1"/>
    <x v="0"/>
    <x v="3"/>
    <x v="3"/>
    <n v="4"/>
    <x v="1"/>
  </r>
  <r>
    <s v="TX500560"/>
    <x v="2"/>
    <x v="2"/>
    <n v="91.3"/>
    <n v="273.89999999999998"/>
    <x v="23"/>
    <x v="28"/>
    <x v="1"/>
    <x v="0"/>
    <x v="2"/>
    <x v="0"/>
    <x v="6"/>
    <x v="0"/>
    <n v="4"/>
    <x v="1"/>
  </r>
  <r>
    <s v="TX500561"/>
    <x v="0"/>
    <x v="2"/>
    <n v="11.9"/>
    <n v="35.700000000000003"/>
    <x v="23"/>
    <x v="17"/>
    <x v="2"/>
    <x v="0"/>
    <x v="1"/>
    <x v="0"/>
    <x v="6"/>
    <x v="3"/>
    <n v="4"/>
    <x v="2"/>
  </r>
  <r>
    <s v="TX500562"/>
    <x v="2"/>
    <x v="1"/>
    <n v="63.5"/>
    <n v="127"/>
    <x v="23"/>
    <x v="19"/>
    <x v="1"/>
    <x v="1"/>
    <x v="0"/>
    <x v="0"/>
    <x v="6"/>
    <x v="1"/>
    <n v="4"/>
    <x v="1"/>
  </r>
  <r>
    <s v="TX500563"/>
    <x v="4"/>
    <x v="1"/>
    <n v="27.1"/>
    <n v="54.2"/>
    <x v="23"/>
    <x v="22"/>
    <x v="1"/>
    <x v="2"/>
    <x v="2"/>
    <x v="0"/>
    <x v="6"/>
    <x v="2"/>
    <n v="4"/>
    <x v="1"/>
  </r>
  <r>
    <s v="TX500564"/>
    <x v="1"/>
    <x v="1"/>
    <n v="82.1"/>
    <n v="164.2"/>
    <x v="24"/>
    <x v="29"/>
    <x v="1"/>
    <x v="1"/>
    <x v="1"/>
    <x v="0"/>
    <x v="7"/>
    <x v="2"/>
    <n v="4"/>
    <x v="1"/>
  </r>
  <r>
    <s v="TX500565"/>
    <x v="3"/>
    <x v="9"/>
    <n v="42.9"/>
    <n v="214.5"/>
    <x v="24"/>
    <x v="22"/>
    <x v="2"/>
    <x v="1"/>
    <x v="0"/>
    <x v="0"/>
    <x v="8"/>
    <x v="1"/>
    <n v="4"/>
    <x v="2"/>
  </r>
  <r>
    <s v="TX500566"/>
    <x v="8"/>
    <x v="5"/>
    <n v="37.9"/>
    <n v="416.9"/>
    <x v="24"/>
    <x v="30"/>
    <x v="1"/>
    <x v="0"/>
    <x v="0"/>
    <x v="0"/>
    <x v="8"/>
    <x v="6"/>
    <n v="4"/>
    <x v="1"/>
  </r>
  <r>
    <s v="TX500567"/>
    <x v="0"/>
    <x v="0"/>
    <n v="22.4"/>
    <n v="22.4"/>
    <x v="24"/>
    <x v="19"/>
    <x v="2"/>
    <x v="0"/>
    <x v="1"/>
    <x v="0"/>
    <x v="17"/>
    <x v="3"/>
    <n v="4"/>
    <x v="2"/>
  </r>
  <r>
    <s v="TX500568"/>
    <x v="2"/>
    <x v="15"/>
    <n v="79.900000000000006"/>
    <n v="1038.7"/>
    <x v="24"/>
    <x v="31"/>
    <x v="2"/>
    <x v="3"/>
    <x v="1"/>
    <x v="0"/>
    <x v="11"/>
    <x v="10"/>
    <n v="4"/>
    <x v="2"/>
  </r>
  <r>
    <s v="TX500569"/>
    <x v="1"/>
    <x v="0"/>
    <n v="70.599999999999994"/>
    <n v="70.599999999999994"/>
    <x v="24"/>
    <x v="29"/>
    <x v="2"/>
    <x v="0"/>
    <x v="1"/>
    <x v="0"/>
    <x v="11"/>
    <x v="2"/>
    <n v="4"/>
    <x v="2"/>
  </r>
  <r>
    <s v="TX500570"/>
    <x v="6"/>
    <x v="0"/>
    <n v="49.5"/>
    <n v="49.5"/>
    <x v="24"/>
    <x v="22"/>
    <x v="1"/>
    <x v="0"/>
    <x v="0"/>
    <x v="0"/>
    <x v="13"/>
    <x v="1"/>
    <n v="4"/>
    <x v="1"/>
  </r>
  <r>
    <s v="TX500571"/>
    <x v="2"/>
    <x v="1"/>
    <n v="96.6"/>
    <n v="193.2"/>
    <x v="24"/>
    <x v="22"/>
    <x v="1"/>
    <x v="0"/>
    <x v="0"/>
    <x v="0"/>
    <x v="21"/>
    <x v="1"/>
    <n v="4"/>
    <x v="1"/>
  </r>
  <r>
    <s v="TX500572"/>
    <x v="6"/>
    <x v="1"/>
    <n v="52.8"/>
    <n v="105.6"/>
    <x v="24"/>
    <x v="19"/>
    <x v="2"/>
    <x v="1"/>
    <x v="1"/>
    <x v="0"/>
    <x v="21"/>
    <x v="3"/>
    <n v="4"/>
    <x v="2"/>
  </r>
  <r>
    <s v="TX500573"/>
    <x v="2"/>
    <x v="0"/>
    <n v="101.7"/>
    <n v="101.7"/>
    <x v="24"/>
    <x v="19"/>
    <x v="1"/>
    <x v="0"/>
    <x v="0"/>
    <x v="0"/>
    <x v="1"/>
    <x v="3"/>
    <n v="4"/>
    <x v="1"/>
  </r>
  <r>
    <s v="TX500574"/>
    <x v="4"/>
    <x v="9"/>
    <n v="26.9"/>
    <n v="134.5"/>
    <x v="24"/>
    <x v="26"/>
    <x v="2"/>
    <x v="1"/>
    <x v="1"/>
    <x v="0"/>
    <x v="22"/>
    <x v="0"/>
    <n v="4"/>
    <x v="2"/>
  </r>
  <r>
    <s v="TX500575"/>
    <x v="2"/>
    <x v="12"/>
    <n v="211"/>
    <n v="844"/>
    <x v="24"/>
    <x v="17"/>
    <x v="2"/>
    <x v="1"/>
    <x v="1"/>
    <x v="0"/>
    <x v="3"/>
    <x v="7"/>
    <n v="4"/>
    <x v="2"/>
  </r>
  <r>
    <s v="TX500576"/>
    <x v="0"/>
    <x v="12"/>
    <n v="21.1"/>
    <n v="84.4"/>
    <x v="24"/>
    <x v="29"/>
    <x v="1"/>
    <x v="4"/>
    <x v="0"/>
    <x v="0"/>
    <x v="3"/>
    <x v="2"/>
    <n v="4"/>
    <x v="1"/>
  </r>
  <r>
    <s v="TX500577"/>
    <x v="10"/>
    <x v="0"/>
    <n v="26.6"/>
    <n v="26.6"/>
    <x v="24"/>
    <x v="22"/>
    <x v="1"/>
    <x v="0"/>
    <x v="4"/>
    <x v="0"/>
    <x v="3"/>
    <x v="1"/>
    <n v="4"/>
    <x v="1"/>
  </r>
  <r>
    <s v="TX500578"/>
    <x v="12"/>
    <x v="12"/>
    <n v="51.2"/>
    <n v="204.8"/>
    <x v="24"/>
    <x v="19"/>
    <x v="2"/>
    <x v="3"/>
    <x v="0"/>
    <x v="0"/>
    <x v="47"/>
    <x v="3"/>
    <n v="4"/>
    <x v="2"/>
  </r>
  <r>
    <s v="TX500579"/>
    <x v="0"/>
    <x v="9"/>
    <n v="10.6"/>
    <n v="53"/>
    <x v="24"/>
    <x v="28"/>
    <x v="2"/>
    <x v="0"/>
    <x v="0"/>
    <x v="0"/>
    <x v="8"/>
    <x v="5"/>
    <n v="4"/>
    <x v="2"/>
  </r>
  <r>
    <s v="TX500580"/>
    <x v="6"/>
    <x v="2"/>
    <n v="43.4"/>
    <n v="130.19999999999999"/>
    <x v="24"/>
    <x v="29"/>
    <x v="2"/>
    <x v="4"/>
    <x v="0"/>
    <x v="0"/>
    <x v="8"/>
    <x v="2"/>
    <n v="4"/>
    <x v="2"/>
  </r>
  <r>
    <s v="TX500581"/>
    <x v="12"/>
    <x v="0"/>
    <n v="80"/>
    <n v="80"/>
    <x v="24"/>
    <x v="17"/>
    <x v="2"/>
    <x v="0"/>
    <x v="2"/>
    <x v="0"/>
    <x v="8"/>
    <x v="7"/>
    <n v="4"/>
    <x v="2"/>
  </r>
  <r>
    <s v="TX500582"/>
    <x v="10"/>
    <x v="12"/>
    <n v="64.7"/>
    <n v="258.8"/>
    <x v="24"/>
    <x v="22"/>
    <x v="2"/>
    <x v="1"/>
    <x v="4"/>
    <x v="0"/>
    <x v="8"/>
    <x v="1"/>
    <n v="4"/>
    <x v="2"/>
  </r>
  <r>
    <s v="TX500583"/>
    <x v="8"/>
    <x v="5"/>
    <n v="26.3"/>
    <n v="289.3"/>
    <x v="25"/>
    <x v="19"/>
    <x v="2"/>
    <x v="4"/>
    <x v="1"/>
    <x v="0"/>
    <x v="26"/>
    <x v="7"/>
    <n v="5"/>
    <x v="2"/>
  </r>
  <r>
    <s v="TX500584"/>
    <x v="10"/>
    <x v="0"/>
    <n v="28.5"/>
    <n v="28.5"/>
    <x v="25"/>
    <x v="19"/>
    <x v="1"/>
    <x v="0"/>
    <x v="1"/>
    <x v="0"/>
    <x v="9"/>
    <x v="7"/>
    <n v="5"/>
    <x v="1"/>
  </r>
  <r>
    <s v="TX500585"/>
    <x v="17"/>
    <x v="0"/>
    <n v="47.8"/>
    <n v="47.8"/>
    <x v="25"/>
    <x v="29"/>
    <x v="2"/>
    <x v="0"/>
    <x v="1"/>
    <x v="0"/>
    <x v="9"/>
    <x v="1"/>
    <n v="5"/>
    <x v="2"/>
  </r>
  <r>
    <s v="TX500586"/>
    <x v="10"/>
    <x v="2"/>
    <n v="42.8"/>
    <n v="128.39999999999998"/>
    <x v="25"/>
    <x v="28"/>
    <x v="2"/>
    <x v="4"/>
    <x v="1"/>
    <x v="0"/>
    <x v="11"/>
    <x v="2"/>
    <n v="5"/>
    <x v="2"/>
  </r>
  <r>
    <s v="TX500587"/>
    <x v="6"/>
    <x v="9"/>
    <n v="46.8"/>
    <n v="234"/>
    <x v="25"/>
    <x v="27"/>
    <x v="2"/>
    <x v="1"/>
    <x v="2"/>
    <x v="0"/>
    <x v="11"/>
    <x v="0"/>
    <n v="5"/>
    <x v="2"/>
  </r>
  <r>
    <s v="TX500588"/>
    <x v="1"/>
    <x v="7"/>
    <n v="64.099999999999994"/>
    <n v="641"/>
    <x v="25"/>
    <x v="22"/>
    <x v="1"/>
    <x v="1"/>
    <x v="0"/>
    <x v="0"/>
    <x v="11"/>
    <x v="3"/>
    <n v="5"/>
    <x v="1"/>
  </r>
  <r>
    <s v="TX500589"/>
    <x v="2"/>
    <x v="0"/>
    <n v="89.1"/>
    <n v="89.1"/>
    <x v="25"/>
    <x v="22"/>
    <x v="2"/>
    <x v="0"/>
    <x v="1"/>
    <x v="0"/>
    <x v="20"/>
    <x v="3"/>
    <n v="5"/>
    <x v="2"/>
  </r>
  <r>
    <s v="TX500590"/>
    <x v="2"/>
    <x v="2"/>
    <n v="83.1"/>
    <n v="249.29999999999998"/>
    <x v="25"/>
    <x v="22"/>
    <x v="2"/>
    <x v="2"/>
    <x v="1"/>
    <x v="0"/>
    <x v="13"/>
    <x v="3"/>
    <n v="5"/>
    <x v="2"/>
  </r>
  <r>
    <s v="TX500591"/>
    <x v="8"/>
    <x v="2"/>
    <n v="40.9"/>
    <n v="122.69999999999999"/>
    <x v="25"/>
    <x v="22"/>
    <x v="1"/>
    <x v="0"/>
    <x v="0"/>
    <x v="0"/>
    <x v="1"/>
    <x v="3"/>
    <n v="5"/>
    <x v="1"/>
  </r>
  <r>
    <s v="TX500592"/>
    <x v="2"/>
    <x v="1"/>
    <n v="125.7"/>
    <n v="251.4"/>
    <x v="25"/>
    <x v="22"/>
    <x v="2"/>
    <x v="3"/>
    <x v="0"/>
    <x v="0"/>
    <x v="2"/>
    <x v="3"/>
    <n v="5"/>
    <x v="2"/>
  </r>
  <r>
    <s v="TX500593"/>
    <x v="3"/>
    <x v="1"/>
    <n v="30.9"/>
    <n v="61.8"/>
    <x v="25"/>
    <x v="19"/>
    <x v="2"/>
    <x v="2"/>
    <x v="2"/>
    <x v="0"/>
    <x v="22"/>
    <x v="7"/>
    <n v="5"/>
    <x v="2"/>
  </r>
  <r>
    <s v="TX500594"/>
    <x v="8"/>
    <x v="1"/>
    <n v="18.3"/>
    <n v="36.6"/>
    <x v="25"/>
    <x v="22"/>
    <x v="2"/>
    <x v="1"/>
    <x v="0"/>
    <x v="0"/>
    <x v="3"/>
    <x v="3"/>
    <n v="5"/>
    <x v="2"/>
  </r>
  <r>
    <s v="TX500595"/>
    <x v="4"/>
    <x v="1"/>
    <n v="56.5"/>
    <n v="113"/>
    <x v="25"/>
    <x v="26"/>
    <x v="1"/>
    <x v="2"/>
    <x v="2"/>
    <x v="0"/>
    <x v="3"/>
    <x v="5"/>
    <n v="5"/>
    <x v="1"/>
  </r>
  <r>
    <s v="TX500596"/>
    <x v="10"/>
    <x v="3"/>
    <n v="29.9"/>
    <n v="209.29999999999998"/>
    <x v="25"/>
    <x v="29"/>
    <x v="1"/>
    <x v="4"/>
    <x v="2"/>
    <x v="0"/>
    <x v="3"/>
    <x v="1"/>
    <n v="5"/>
    <x v="1"/>
  </r>
  <r>
    <s v="TX500597"/>
    <x v="5"/>
    <x v="1"/>
    <n v="50.4"/>
    <n v="100.8"/>
    <x v="25"/>
    <x v="22"/>
    <x v="2"/>
    <x v="2"/>
    <x v="0"/>
    <x v="0"/>
    <x v="3"/>
    <x v="3"/>
    <n v="5"/>
    <x v="2"/>
  </r>
  <r>
    <s v="TX500598"/>
    <x v="2"/>
    <x v="0"/>
    <n v="85.8"/>
    <n v="85.8"/>
    <x v="25"/>
    <x v="19"/>
    <x v="2"/>
    <x v="2"/>
    <x v="2"/>
    <x v="0"/>
    <x v="3"/>
    <x v="7"/>
    <n v="5"/>
    <x v="2"/>
  </r>
  <r>
    <s v="TX500599"/>
    <x v="4"/>
    <x v="27"/>
    <n v="66.599999999999994"/>
    <n v="1065.5999999999999"/>
    <x v="25"/>
    <x v="29"/>
    <x v="1"/>
    <x v="1"/>
    <x v="0"/>
    <x v="0"/>
    <x v="3"/>
    <x v="1"/>
    <n v="5"/>
    <x v="1"/>
  </r>
  <r>
    <s v="TX500600"/>
    <x v="6"/>
    <x v="12"/>
    <n v="70.3"/>
    <n v="281.2"/>
    <x v="25"/>
    <x v="22"/>
    <x v="2"/>
    <x v="0"/>
    <x v="1"/>
    <x v="0"/>
    <x v="3"/>
    <x v="3"/>
    <n v="5"/>
    <x v="2"/>
  </r>
  <r>
    <s v="TX500601"/>
    <x v="8"/>
    <x v="12"/>
    <n v="31"/>
    <n v="124"/>
    <x v="25"/>
    <x v="28"/>
    <x v="1"/>
    <x v="0"/>
    <x v="2"/>
    <x v="0"/>
    <x v="3"/>
    <x v="2"/>
    <n v="5"/>
    <x v="1"/>
  </r>
  <r>
    <s v="TX500602"/>
    <x v="7"/>
    <x v="13"/>
    <n v="81.599999999999994"/>
    <n v="489.59999999999997"/>
    <x v="25"/>
    <x v="22"/>
    <x v="2"/>
    <x v="1"/>
    <x v="1"/>
    <x v="0"/>
    <x v="37"/>
    <x v="3"/>
    <n v="5"/>
    <x v="2"/>
  </r>
  <r>
    <s v="TX500603"/>
    <x v="1"/>
    <x v="30"/>
    <n v="58.3"/>
    <n v="1457.5"/>
    <x v="25"/>
    <x v="22"/>
    <x v="2"/>
    <x v="0"/>
    <x v="0"/>
    <x v="0"/>
    <x v="16"/>
    <x v="3"/>
    <n v="5"/>
    <x v="2"/>
  </r>
  <r>
    <s v="TX500604"/>
    <x v="1"/>
    <x v="12"/>
    <n v="35.1"/>
    <n v="140.4"/>
    <x v="25"/>
    <x v="29"/>
    <x v="1"/>
    <x v="0"/>
    <x v="2"/>
    <x v="0"/>
    <x v="8"/>
    <x v="1"/>
    <n v="5"/>
    <x v="1"/>
  </r>
  <r>
    <s v="TX500605"/>
    <x v="2"/>
    <x v="0"/>
    <n v="80.2"/>
    <n v="80.2"/>
    <x v="25"/>
    <x v="22"/>
    <x v="1"/>
    <x v="3"/>
    <x v="2"/>
    <x v="0"/>
    <x v="8"/>
    <x v="3"/>
    <n v="5"/>
    <x v="1"/>
  </r>
  <r>
    <s v="TX500606"/>
    <x v="14"/>
    <x v="2"/>
    <n v="39.200000000000003"/>
    <n v="117.60000000000001"/>
    <x v="25"/>
    <x v="29"/>
    <x v="2"/>
    <x v="1"/>
    <x v="0"/>
    <x v="0"/>
    <x v="9"/>
    <x v="1"/>
    <n v="5"/>
    <x v="2"/>
  </r>
  <r>
    <s v="TX500607"/>
    <x v="0"/>
    <x v="1"/>
    <n v="15.4"/>
    <n v="30.8"/>
    <x v="25"/>
    <x v="19"/>
    <x v="2"/>
    <x v="3"/>
    <x v="0"/>
    <x v="0"/>
    <x v="48"/>
    <x v="7"/>
    <n v="5"/>
    <x v="2"/>
  </r>
  <r>
    <s v="TX500608"/>
    <x v="3"/>
    <x v="2"/>
    <n v="65.400000000000006"/>
    <n v="196.20000000000002"/>
    <x v="25"/>
    <x v="28"/>
    <x v="1"/>
    <x v="3"/>
    <x v="0"/>
    <x v="0"/>
    <x v="18"/>
    <x v="2"/>
    <n v="5"/>
    <x v="1"/>
  </r>
  <r>
    <s v="TX500609"/>
    <x v="1"/>
    <x v="8"/>
    <n v="63.2"/>
    <n v="505.6"/>
    <x v="25"/>
    <x v="29"/>
    <x v="2"/>
    <x v="1"/>
    <x v="0"/>
    <x v="0"/>
    <x v="19"/>
    <x v="1"/>
    <n v="5"/>
    <x v="2"/>
  </r>
  <r>
    <s v="TX500610"/>
    <x v="1"/>
    <x v="13"/>
    <n v="35.700000000000003"/>
    <n v="214.20000000000002"/>
    <x v="25"/>
    <x v="26"/>
    <x v="2"/>
    <x v="4"/>
    <x v="1"/>
    <x v="0"/>
    <x v="19"/>
    <x v="5"/>
    <n v="5"/>
    <x v="2"/>
  </r>
  <r>
    <s v="TX500611"/>
    <x v="0"/>
    <x v="28"/>
    <n v="26.2"/>
    <n v="524"/>
    <x v="25"/>
    <x v="22"/>
    <x v="2"/>
    <x v="3"/>
    <x v="0"/>
    <x v="0"/>
    <x v="21"/>
    <x v="3"/>
    <n v="5"/>
    <x v="2"/>
  </r>
  <r>
    <s v="TX500612"/>
    <x v="7"/>
    <x v="1"/>
    <n v="31"/>
    <n v="62"/>
    <x v="25"/>
    <x v="22"/>
    <x v="2"/>
    <x v="0"/>
    <x v="2"/>
    <x v="0"/>
    <x v="1"/>
    <x v="3"/>
    <n v="5"/>
    <x v="2"/>
  </r>
  <r>
    <s v="TX500613"/>
    <x v="8"/>
    <x v="12"/>
    <n v="37.700000000000003"/>
    <n v="150.80000000000001"/>
    <x v="25"/>
    <x v="22"/>
    <x v="2"/>
    <x v="1"/>
    <x v="0"/>
    <x v="0"/>
    <x v="22"/>
    <x v="3"/>
    <n v="5"/>
    <x v="2"/>
  </r>
  <r>
    <s v="TX500614"/>
    <x v="10"/>
    <x v="33"/>
    <n v="43.6"/>
    <n v="1482.4"/>
    <x v="25"/>
    <x v="29"/>
    <x v="2"/>
    <x v="4"/>
    <x v="1"/>
    <x v="0"/>
    <x v="3"/>
    <x v="1"/>
    <n v="5"/>
    <x v="2"/>
  </r>
  <r>
    <s v="TX500615"/>
    <x v="9"/>
    <x v="12"/>
    <n v="26.5"/>
    <n v="106"/>
    <x v="25"/>
    <x v="29"/>
    <x v="1"/>
    <x v="0"/>
    <x v="4"/>
    <x v="0"/>
    <x v="3"/>
    <x v="1"/>
    <n v="5"/>
    <x v="1"/>
  </r>
  <r>
    <s v="TX500616"/>
    <x v="0"/>
    <x v="1"/>
    <n v="34.6"/>
    <n v="69.2"/>
    <x v="25"/>
    <x v="22"/>
    <x v="1"/>
    <x v="4"/>
    <x v="1"/>
    <x v="0"/>
    <x v="3"/>
    <x v="3"/>
    <n v="5"/>
    <x v="1"/>
  </r>
  <r>
    <s v="TX500617"/>
    <x v="8"/>
    <x v="1"/>
    <n v="58.2"/>
    <n v="116.4"/>
    <x v="25"/>
    <x v="22"/>
    <x v="1"/>
    <x v="2"/>
    <x v="2"/>
    <x v="0"/>
    <x v="3"/>
    <x v="3"/>
    <n v="5"/>
    <x v="1"/>
  </r>
  <r>
    <s v="TX500618"/>
    <x v="7"/>
    <x v="0"/>
    <n v="30.2"/>
    <n v="30.2"/>
    <x v="26"/>
    <x v="29"/>
    <x v="2"/>
    <x v="2"/>
    <x v="1"/>
    <x v="0"/>
    <x v="3"/>
    <x v="3"/>
    <n v="5"/>
    <x v="2"/>
  </r>
  <r>
    <s v="TX500619"/>
    <x v="1"/>
    <x v="7"/>
    <n v="53.2"/>
    <n v="532"/>
    <x v="26"/>
    <x v="29"/>
    <x v="1"/>
    <x v="0"/>
    <x v="2"/>
    <x v="0"/>
    <x v="5"/>
    <x v="3"/>
    <n v="5"/>
    <x v="1"/>
  </r>
  <r>
    <s v="TX500620"/>
    <x v="12"/>
    <x v="13"/>
    <n v="51.1"/>
    <n v="306.60000000000002"/>
    <x v="26"/>
    <x v="22"/>
    <x v="1"/>
    <x v="1"/>
    <x v="2"/>
    <x v="0"/>
    <x v="5"/>
    <x v="7"/>
    <n v="5"/>
    <x v="1"/>
  </r>
  <r>
    <s v="TX500621"/>
    <x v="1"/>
    <x v="0"/>
    <n v="105.4"/>
    <n v="105.4"/>
    <x v="26"/>
    <x v="27"/>
    <x v="2"/>
    <x v="1"/>
    <x v="2"/>
    <x v="0"/>
    <x v="23"/>
    <x v="5"/>
    <n v="5"/>
    <x v="2"/>
  </r>
  <r>
    <s v="TX500622"/>
    <x v="7"/>
    <x v="0"/>
    <n v="57.7"/>
    <n v="57.7"/>
    <x v="26"/>
    <x v="22"/>
    <x v="1"/>
    <x v="0"/>
    <x v="4"/>
    <x v="0"/>
    <x v="8"/>
    <x v="7"/>
    <n v="5"/>
    <x v="1"/>
  </r>
  <r>
    <s v="TX500623"/>
    <x v="15"/>
    <x v="1"/>
    <n v="72.400000000000006"/>
    <n v="144.80000000000001"/>
    <x v="26"/>
    <x v="30"/>
    <x v="2"/>
    <x v="0"/>
    <x v="0"/>
    <x v="0"/>
    <x v="17"/>
    <x v="0"/>
    <n v="5"/>
    <x v="2"/>
  </r>
  <r>
    <s v="TX500624"/>
    <x v="6"/>
    <x v="1"/>
    <n v="62.5"/>
    <n v="125"/>
    <x v="26"/>
    <x v="29"/>
    <x v="0"/>
    <x v="0"/>
    <x v="2"/>
    <x v="0"/>
    <x v="11"/>
    <x v="3"/>
    <n v="5"/>
    <x v="0"/>
  </r>
  <r>
    <s v="TX500625"/>
    <x v="0"/>
    <x v="32"/>
    <n v="11.6"/>
    <n v="255.2"/>
    <x v="26"/>
    <x v="28"/>
    <x v="2"/>
    <x v="3"/>
    <x v="2"/>
    <x v="0"/>
    <x v="18"/>
    <x v="1"/>
    <n v="5"/>
    <x v="2"/>
  </r>
  <r>
    <s v="TX500626"/>
    <x v="10"/>
    <x v="7"/>
    <n v="39.6"/>
    <n v="396"/>
    <x v="26"/>
    <x v="28"/>
    <x v="2"/>
    <x v="2"/>
    <x v="2"/>
    <x v="0"/>
    <x v="18"/>
    <x v="1"/>
    <n v="5"/>
    <x v="2"/>
  </r>
  <r>
    <s v="TX500627"/>
    <x v="8"/>
    <x v="1"/>
    <n v="40.1"/>
    <n v="80.2"/>
    <x v="26"/>
    <x v="29"/>
    <x v="2"/>
    <x v="2"/>
    <x v="0"/>
    <x v="0"/>
    <x v="18"/>
    <x v="3"/>
    <n v="5"/>
    <x v="2"/>
  </r>
  <r>
    <s v="TX500628"/>
    <x v="8"/>
    <x v="2"/>
    <n v="18.600000000000001"/>
    <n v="55.800000000000004"/>
    <x v="26"/>
    <x v="29"/>
    <x v="2"/>
    <x v="2"/>
    <x v="0"/>
    <x v="0"/>
    <x v="21"/>
    <x v="3"/>
    <n v="5"/>
    <x v="2"/>
  </r>
  <r>
    <s v="TX500629"/>
    <x v="4"/>
    <x v="0"/>
    <n v="58.8"/>
    <n v="58.8"/>
    <x v="26"/>
    <x v="28"/>
    <x v="2"/>
    <x v="0"/>
    <x v="1"/>
    <x v="0"/>
    <x v="21"/>
    <x v="1"/>
    <n v="5"/>
    <x v="2"/>
  </r>
  <r>
    <s v="TX500630"/>
    <x v="8"/>
    <x v="1"/>
    <n v="22.1"/>
    <n v="44.2"/>
    <x v="26"/>
    <x v="26"/>
    <x v="1"/>
    <x v="1"/>
    <x v="2"/>
    <x v="0"/>
    <x v="21"/>
    <x v="2"/>
    <n v="5"/>
    <x v="1"/>
  </r>
  <r>
    <s v="TX500631"/>
    <x v="2"/>
    <x v="0"/>
    <n v="114.9"/>
    <n v="114.9"/>
    <x v="27"/>
    <x v="28"/>
    <x v="2"/>
    <x v="1"/>
    <x v="1"/>
    <x v="0"/>
    <x v="22"/>
    <x v="3"/>
    <n v="5"/>
    <x v="2"/>
  </r>
  <r>
    <s v="TX500632"/>
    <x v="9"/>
    <x v="9"/>
    <n v="75.8"/>
    <n v="379"/>
    <x v="27"/>
    <x v="28"/>
    <x v="1"/>
    <x v="0"/>
    <x v="2"/>
    <x v="0"/>
    <x v="3"/>
    <x v="3"/>
    <n v="5"/>
    <x v="1"/>
  </r>
  <r>
    <s v="TX500633"/>
    <x v="14"/>
    <x v="9"/>
    <n v="20.6"/>
    <n v="103"/>
    <x v="27"/>
    <x v="28"/>
    <x v="1"/>
    <x v="2"/>
    <x v="2"/>
    <x v="0"/>
    <x v="3"/>
    <x v="3"/>
    <n v="5"/>
    <x v="1"/>
  </r>
  <r>
    <s v="TX500634"/>
    <x v="17"/>
    <x v="2"/>
    <n v="67.900000000000006"/>
    <n v="203.70000000000002"/>
    <x v="27"/>
    <x v="28"/>
    <x v="2"/>
    <x v="1"/>
    <x v="1"/>
    <x v="0"/>
    <x v="3"/>
    <x v="3"/>
    <n v="5"/>
    <x v="2"/>
  </r>
  <r>
    <s v="TX500635"/>
    <x v="0"/>
    <x v="9"/>
    <n v="27"/>
    <n v="135"/>
    <x v="27"/>
    <x v="32"/>
    <x v="2"/>
    <x v="0"/>
    <x v="2"/>
    <x v="0"/>
    <x v="3"/>
    <x v="6"/>
    <n v="5"/>
    <x v="2"/>
  </r>
  <r>
    <s v="TX500636"/>
    <x v="13"/>
    <x v="0"/>
    <n v="50.6"/>
    <n v="50.6"/>
    <x v="27"/>
    <x v="29"/>
    <x v="1"/>
    <x v="0"/>
    <x v="1"/>
    <x v="0"/>
    <x v="3"/>
    <x v="7"/>
    <n v="5"/>
    <x v="1"/>
  </r>
  <r>
    <s v="TX500637"/>
    <x v="4"/>
    <x v="9"/>
    <n v="22.1"/>
    <n v="110.5"/>
    <x v="27"/>
    <x v="33"/>
    <x v="1"/>
    <x v="0"/>
    <x v="0"/>
    <x v="0"/>
    <x v="3"/>
    <x v="0"/>
    <n v="5"/>
    <x v="1"/>
  </r>
  <r>
    <s v="TX500638"/>
    <x v="8"/>
    <x v="2"/>
    <n v="42.9"/>
    <n v="128.69999999999999"/>
    <x v="27"/>
    <x v="26"/>
    <x v="2"/>
    <x v="0"/>
    <x v="0"/>
    <x v="0"/>
    <x v="3"/>
    <x v="1"/>
    <n v="5"/>
    <x v="2"/>
  </r>
  <r>
    <s v="TX500639"/>
    <x v="1"/>
    <x v="5"/>
    <n v="62.4"/>
    <n v="686.4"/>
    <x v="27"/>
    <x v="26"/>
    <x v="2"/>
    <x v="2"/>
    <x v="0"/>
    <x v="0"/>
    <x v="3"/>
    <x v="1"/>
    <n v="5"/>
    <x v="2"/>
  </r>
  <r>
    <s v="TX500640"/>
    <x v="13"/>
    <x v="11"/>
    <n v="36.4"/>
    <n v="327.59999999999997"/>
    <x v="27"/>
    <x v="26"/>
    <x v="2"/>
    <x v="0"/>
    <x v="2"/>
    <x v="0"/>
    <x v="3"/>
    <x v="1"/>
    <n v="5"/>
    <x v="2"/>
  </r>
  <r>
    <s v="TX500641"/>
    <x v="0"/>
    <x v="1"/>
    <n v="22.5"/>
    <n v="45"/>
    <x v="27"/>
    <x v="27"/>
    <x v="1"/>
    <x v="0"/>
    <x v="0"/>
    <x v="0"/>
    <x v="3"/>
    <x v="2"/>
    <n v="5"/>
    <x v="1"/>
  </r>
  <r>
    <s v="TX500642"/>
    <x v="6"/>
    <x v="12"/>
    <n v="70.8"/>
    <n v="283.2"/>
    <x v="27"/>
    <x v="26"/>
    <x v="2"/>
    <x v="4"/>
    <x v="0"/>
    <x v="0"/>
    <x v="3"/>
    <x v="1"/>
    <n v="5"/>
    <x v="2"/>
  </r>
  <r>
    <s v="TX500643"/>
    <x v="6"/>
    <x v="9"/>
    <n v="56.6"/>
    <n v="283"/>
    <x v="27"/>
    <x v="26"/>
    <x v="1"/>
    <x v="0"/>
    <x v="1"/>
    <x v="0"/>
    <x v="4"/>
    <x v="1"/>
    <n v="5"/>
    <x v="1"/>
  </r>
  <r>
    <s v="TX500644"/>
    <x v="6"/>
    <x v="1"/>
    <n v="47.9"/>
    <n v="95.8"/>
    <x v="27"/>
    <x v="28"/>
    <x v="2"/>
    <x v="0"/>
    <x v="0"/>
    <x v="0"/>
    <x v="6"/>
    <x v="3"/>
    <n v="5"/>
    <x v="2"/>
  </r>
  <r>
    <s v="TX500645"/>
    <x v="6"/>
    <x v="8"/>
    <n v="78.400000000000006"/>
    <n v="627.20000000000005"/>
    <x v="27"/>
    <x v="26"/>
    <x v="2"/>
    <x v="1"/>
    <x v="0"/>
    <x v="0"/>
    <x v="6"/>
    <x v="1"/>
    <n v="5"/>
    <x v="2"/>
  </r>
  <r>
    <s v="TX500646"/>
    <x v="2"/>
    <x v="21"/>
    <n v="122.1"/>
    <n v="1709.3999999999999"/>
    <x v="27"/>
    <x v="33"/>
    <x v="2"/>
    <x v="0"/>
    <x v="2"/>
    <x v="0"/>
    <x v="6"/>
    <x v="0"/>
    <n v="5"/>
    <x v="2"/>
  </r>
  <r>
    <s v="TX500647"/>
    <x v="2"/>
    <x v="1"/>
    <n v="83.7"/>
    <n v="167.4"/>
    <x v="28"/>
    <x v="28"/>
    <x v="0"/>
    <x v="1"/>
    <x v="2"/>
    <x v="0"/>
    <x v="7"/>
    <x v="7"/>
    <n v="5"/>
    <x v="0"/>
  </r>
  <r>
    <s v="TX500648"/>
    <x v="3"/>
    <x v="12"/>
    <n v="97.9"/>
    <n v="391.6"/>
    <x v="28"/>
    <x v="33"/>
    <x v="2"/>
    <x v="3"/>
    <x v="2"/>
    <x v="0"/>
    <x v="7"/>
    <x v="5"/>
    <n v="5"/>
    <x v="2"/>
  </r>
  <r>
    <s v="TX500649"/>
    <x v="14"/>
    <x v="0"/>
    <n v="15"/>
    <n v="15"/>
    <x v="28"/>
    <x v="34"/>
    <x v="2"/>
    <x v="3"/>
    <x v="0"/>
    <x v="0"/>
    <x v="8"/>
    <x v="0"/>
    <n v="5"/>
    <x v="2"/>
  </r>
  <r>
    <s v="TX500650"/>
    <x v="12"/>
    <x v="2"/>
    <n v="94.6"/>
    <n v="283.79999999999995"/>
    <x v="28"/>
    <x v="26"/>
    <x v="1"/>
    <x v="2"/>
    <x v="1"/>
    <x v="0"/>
    <x v="8"/>
    <x v="3"/>
    <n v="5"/>
    <x v="1"/>
  </r>
  <r>
    <s v="TX500651"/>
    <x v="0"/>
    <x v="13"/>
    <n v="19.7"/>
    <n v="118.19999999999999"/>
    <x v="28"/>
    <x v="35"/>
    <x v="2"/>
    <x v="0"/>
    <x v="2"/>
    <x v="0"/>
    <x v="8"/>
    <x v="11"/>
    <n v="5"/>
    <x v="2"/>
  </r>
  <r>
    <s v="TX500652"/>
    <x v="7"/>
    <x v="0"/>
    <n v="46.7"/>
    <n v="46.7"/>
    <x v="28"/>
    <x v="30"/>
    <x v="2"/>
    <x v="2"/>
    <x v="0"/>
    <x v="0"/>
    <x v="17"/>
    <x v="2"/>
    <n v="5"/>
    <x v="2"/>
  </r>
  <r>
    <s v="TX500653"/>
    <x v="1"/>
    <x v="12"/>
    <n v="43"/>
    <n v="172"/>
    <x v="28"/>
    <x v="26"/>
    <x v="1"/>
    <x v="2"/>
    <x v="2"/>
    <x v="0"/>
    <x v="17"/>
    <x v="3"/>
    <n v="5"/>
    <x v="1"/>
  </r>
  <r>
    <s v="TX500654"/>
    <x v="6"/>
    <x v="2"/>
    <n v="68.2"/>
    <n v="204.60000000000002"/>
    <x v="28"/>
    <x v="32"/>
    <x v="2"/>
    <x v="0"/>
    <x v="0"/>
    <x v="0"/>
    <x v="9"/>
    <x v="4"/>
    <n v="5"/>
    <x v="2"/>
  </r>
  <r>
    <s v="TX500655"/>
    <x v="10"/>
    <x v="7"/>
    <n v="24.3"/>
    <n v="243"/>
    <x v="28"/>
    <x v="26"/>
    <x v="1"/>
    <x v="0"/>
    <x v="2"/>
    <x v="0"/>
    <x v="10"/>
    <x v="3"/>
    <n v="5"/>
    <x v="1"/>
  </r>
  <r>
    <s v="TX500656"/>
    <x v="7"/>
    <x v="1"/>
    <n v="86.8"/>
    <n v="173.6"/>
    <x v="28"/>
    <x v="33"/>
    <x v="2"/>
    <x v="4"/>
    <x v="2"/>
    <x v="0"/>
    <x v="11"/>
    <x v="5"/>
    <n v="5"/>
    <x v="2"/>
  </r>
  <r>
    <s v="TX500657"/>
    <x v="0"/>
    <x v="1"/>
    <n v="15.8"/>
    <n v="31.6"/>
    <x v="28"/>
    <x v="27"/>
    <x v="1"/>
    <x v="1"/>
    <x v="0"/>
    <x v="0"/>
    <x v="11"/>
    <x v="1"/>
    <n v="5"/>
    <x v="1"/>
  </r>
  <r>
    <s v="TX500658"/>
    <x v="2"/>
    <x v="12"/>
    <n v="61.6"/>
    <n v="246.4"/>
    <x v="28"/>
    <x v="26"/>
    <x v="1"/>
    <x v="2"/>
    <x v="0"/>
    <x v="0"/>
    <x v="11"/>
    <x v="3"/>
    <n v="5"/>
    <x v="1"/>
  </r>
  <r>
    <s v="TX500659"/>
    <x v="6"/>
    <x v="2"/>
    <n v="48.7"/>
    <n v="146.10000000000002"/>
    <x v="28"/>
    <x v="32"/>
    <x v="2"/>
    <x v="1"/>
    <x v="2"/>
    <x v="0"/>
    <x v="45"/>
    <x v="4"/>
    <n v="5"/>
    <x v="2"/>
  </r>
  <r>
    <s v="TX500660"/>
    <x v="8"/>
    <x v="12"/>
    <n v="24.3"/>
    <n v="97.2"/>
    <x v="28"/>
    <x v="27"/>
    <x v="2"/>
    <x v="1"/>
    <x v="2"/>
    <x v="0"/>
    <x v="21"/>
    <x v="1"/>
    <n v="5"/>
    <x v="2"/>
  </r>
  <r>
    <s v="TX500661"/>
    <x v="2"/>
    <x v="1"/>
    <n v="130.69999999999999"/>
    <n v="261.39999999999998"/>
    <x v="28"/>
    <x v="26"/>
    <x v="2"/>
    <x v="2"/>
    <x v="0"/>
    <x v="0"/>
    <x v="44"/>
    <x v="3"/>
    <n v="5"/>
    <x v="2"/>
  </r>
  <r>
    <s v="TX500662"/>
    <x v="10"/>
    <x v="0"/>
    <n v="26"/>
    <n v="26"/>
    <x v="28"/>
    <x v="27"/>
    <x v="1"/>
    <x v="0"/>
    <x v="0"/>
    <x v="0"/>
    <x v="3"/>
    <x v="1"/>
    <n v="5"/>
    <x v="1"/>
  </r>
  <r>
    <s v="TX500663"/>
    <x v="2"/>
    <x v="9"/>
    <n v="94.4"/>
    <n v="472"/>
    <x v="28"/>
    <x v="26"/>
    <x v="2"/>
    <x v="0"/>
    <x v="0"/>
    <x v="0"/>
    <x v="3"/>
    <x v="3"/>
    <n v="5"/>
    <x v="2"/>
  </r>
  <r>
    <s v="TX500664"/>
    <x v="0"/>
    <x v="13"/>
    <n v="23.7"/>
    <n v="142.19999999999999"/>
    <x v="28"/>
    <x v="27"/>
    <x v="1"/>
    <x v="2"/>
    <x v="2"/>
    <x v="0"/>
    <x v="3"/>
    <x v="1"/>
    <n v="5"/>
    <x v="1"/>
  </r>
  <r>
    <s v="TX500665"/>
    <x v="9"/>
    <x v="4"/>
    <n v="37.4"/>
    <n v="448.79999999999995"/>
    <x v="28"/>
    <x v="27"/>
    <x v="1"/>
    <x v="2"/>
    <x v="0"/>
    <x v="0"/>
    <x v="3"/>
    <x v="1"/>
    <n v="5"/>
    <x v="1"/>
  </r>
  <r>
    <s v="TX500666"/>
    <x v="1"/>
    <x v="34"/>
    <n v="55.2"/>
    <n v="1987.2"/>
    <x v="28"/>
    <x v="28"/>
    <x v="2"/>
    <x v="3"/>
    <x v="1"/>
    <x v="0"/>
    <x v="3"/>
    <x v="7"/>
    <n v="5"/>
    <x v="2"/>
  </r>
  <r>
    <s v="TX500667"/>
    <x v="2"/>
    <x v="11"/>
    <n v="57.1"/>
    <n v="513.9"/>
    <x v="28"/>
    <x v="27"/>
    <x v="1"/>
    <x v="0"/>
    <x v="2"/>
    <x v="0"/>
    <x v="3"/>
    <x v="1"/>
    <n v="5"/>
    <x v="1"/>
  </r>
  <r>
    <s v="TX500668"/>
    <x v="12"/>
    <x v="0"/>
    <n v="55.3"/>
    <n v="55.3"/>
    <x v="28"/>
    <x v="26"/>
    <x v="2"/>
    <x v="2"/>
    <x v="2"/>
    <x v="0"/>
    <x v="3"/>
    <x v="3"/>
    <n v="5"/>
    <x v="2"/>
  </r>
  <r>
    <s v="TX500669"/>
    <x v="15"/>
    <x v="3"/>
    <n v="23.9"/>
    <n v="167.29999999999998"/>
    <x v="28"/>
    <x v="26"/>
    <x v="2"/>
    <x v="4"/>
    <x v="1"/>
    <x v="0"/>
    <x v="3"/>
    <x v="3"/>
    <n v="5"/>
    <x v="2"/>
  </r>
  <r>
    <s v="TX500670"/>
    <x v="0"/>
    <x v="0"/>
    <n v="34.1"/>
    <n v="34.1"/>
    <x v="28"/>
    <x v="36"/>
    <x v="2"/>
    <x v="2"/>
    <x v="0"/>
    <x v="0"/>
    <x v="3"/>
    <x v="6"/>
    <n v="5"/>
    <x v="2"/>
  </r>
  <r>
    <s v="TX500671"/>
    <x v="12"/>
    <x v="12"/>
    <n v="38.5"/>
    <n v="154"/>
    <x v="28"/>
    <x v="35"/>
    <x v="2"/>
    <x v="0"/>
    <x v="0"/>
    <x v="0"/>
    <x v="3"/>
    <x v="11"/>
    <n v="5"/>
    <x v="2"/>
  </r>
  <r>
    <s v="TX500672"/>
    <x v="7"/>
    <x v="1"/>
    <n v="105"/>
    <n v="210"/>
    <x v="28"/>
    <x v="32"/>
    <x v="2"/>
    <x v="0"/>
    <x v="2"/>
    <x v="0"/>
    <x v="3"/>
    <x v="4"/>
    <n v="5"/>
    <x v="2"/>
  </r>
  <r>
    <s v="TX500673"/>
    <x v="8"/>
    <x v="9"/>
    <n v="45.2"/>
    <n v="226"/>
    <x v="28"/>
    <x v="27"/>
    <x v="2"/>
    <x v="0"/>
    <x v="2"/>
    <x v="0"/>
    <x v="3"/>
    <x v="1"/>
    <n v="5"/>
    <x v="2"/>
  </r>
  <r>
    <s v="TX500674"/>
    <x v="17"/>
    <x v="2"/>
    <n v="24.8"/>
    <n v="74.400000000000006"/>
    <x v="28"/>
    <x v="28"/>
    <x v="0"/>
    <x v="0"/>
    <x v="1"/>
    <x v="0"/>
    <x v="3"/>
    <x v="7"/>
    <n v="5"/>
    <x v="0"/>
  </r>
  <r>
    <s v="TX500675"/>
    <x v="11"/>
    <x v="12"/>
    <n v="43.8"/>
    <n v="175.2"/>
    <x v="28"/>
    <x v="36"/>
    <x v="2"/>
    <x v="1"/>
    <x v="2"/>
    <x v="0"/>
    <x v="6"/>
    <x v="6"/>
    <n v="5"/>
    <x v="2"/>
  </r>
  <r>
    <s v="TX500676"/>
    <x v="1"/>
    <x v="0"/>
    <n v="75"/>
    <n v="75"/>
    <x v="28"/>
    <x v="27"/>
    <x v="2"/>
    <x v="4"/>
    <x v="1"/>
    <x v="0"/>
    <x v="6"/>
    <x v="1"/>
    <n v="5"/>
    <x v="2"/>
  </r>
  <r>
    <s v="TX500677"/>
    <x v="2"/>
    <x v="0"/>
    <n v="169.9"/>
    <n v="169.9"/>
    <x v="28"/>
    <x v="26"/>
    <x v="1"/>
    <x v="2"/>
    <x v="0"/>
    <x v="0"/>
    <x v="6"/>
    <x v="3"/>
    <n v="5"/>
    <x v="1"/>
  </r>
  <r>
    <s v="TX500678"/>
    <x v="9"/>
    <x v="1"/>
    <n v="72.2"/>
    <n v="144.4"/>
    <x v="28"/>
    <x v="27"/>
    <x v="2"/>
    <x v="4"/>
    <x v="1"/>
    <x v="0"/>
    <x v="6"/>
    <x v="1"/>
    <n v="5"/>
    <x v="2"/>
  </r>
  <r>
    <s v="TX500679"/>
    <x v="0"/>
    <x v="0"/>
    <n v="20"/>
    <n v="20"/>
    <x v="29"/>
    <x v="33"/>
    <x v="2"/>
    <x v="2"/>
    <x v="1"/>
    <x v="0"/>
    <x v="7"/>
    <x v="2"/>
    <n v="5"/>
    <x v="2"/>
  </r>
  <r>
    <s v="TX500680"/>
    <x v="9"/>
    <x v="1"/>
    <n v="40.799999999999997"/>
    <n v="81.599999999999994"/>
    <x v="29"/>
    <x v="30"/>
    <x v="2"/>
    <x v="3"/>
    <x v="2"/>
    <x v="0"/>
    <x v="8"/>
    <x v="1"/>
    <n v="5"/>
    <x v="2"/>
  </r>
  <r>
    <s v="TX500681"/>
    <x v="10"/>
    <x v="12"/>
    <n v="58"/>
    <n v="232"/>
    <x v="29"/>
    <x v="34"/>
    <x v="2"/>
    <x v="0"/>
    <x v="0"/>
    <x v="0"/>
    <x v="8"/>
    <x v="5"/>
    <n v="5"/>
    <x v="2"/>
  </r>
  <r>
    <s v="TX500682"/>
    <x v="12"/>
    <x v="1"/>
    <n v="43.1"/>
    <n v="86.2"/>
    <x v="29"/>
    <x v="27"/>
    <x v="2"/>
    <x v="1"/>
    <x v="2"/>
    <x v="0"/>
    <x v="8"/>
    <x v="3"/>
    <n v="5"/>
    <x v="2"/>
  </r>
  <r>
    <s v="TX500683"/>
    <x v="6"/>
    <x v="11"/>
    <n v="74.7"/>
    <n v="672.30000000000007"/>
    <x v="29"/>
    <x v="30"/>
    <x v="1"/>
    <x v="0"/>
    <x v="2"/>
    <x v="0"/>
    <x v="8"/>
    <x v="1"/>
    <n v="5"/>
    <x v="1"/>
  </r>
  <r>
    <s v="TX500684"/>
    <x v="6"/>
    <x v="0"/>
    <n v="128.19999999999999"/>
    <n v="128.19999999999999"/>
    <x v="29"/>
    <x v="26"/>
    <x v="1"/>
    <x v="1"/>
    <x v="0"/>
    <x v="0"/>
    <x v="8"/>
    <x v="7"/>
    <n v="5"/>
    <x v="1"/>
  </r>
  <r>
    <s v="TX500685"/>
    <x v="14"/>
    <x v="12"/>
    <n v="26.7"/>
    <n v="106.8"/>
    <x v="29"/>
    <x v="27"/>
    <x v="1"/>
    <x v="1"/>
    <x v="0"/>
    <x v="0"/>
    <x v="8"/>
    <x v="3"/>
    <n v="5"/>
    <x v="1"/>
  </r>
  <r>
    <s v="TX500686"/>
    <x v="17"/>
    <x v="13"/>
    <n v="31.5"/>
    <n v="189"/>
    <x v="29"/>
    <x v="27"/>
    <x v="2"/>
    <x v="2"/>
    <x v="0"/>
    <x v="0"/>
    <x v="17"/>
    <x v="3"/>
    <n v="5"/>
    <x v="2"/>
  </r>
  <r>
    <s v="TX500687"/>
    <x v="3"/>
    <x v="3"/>
    <n v="64.7"/>
    <n v="452.90000000000003"/>
    <x v="29"/>
    <x v="27"/>
    <x v="2"/>
    <x v="0"/>
    <x v="2"/>
    <x v="0"/>
    <x v="9"/>
    <x v="3"/>
    <n v="5"/>
    <x v="2"/>
  </r>
  <r>
    <s v="TX500688"/>
    <x v="5"/>
    <x v="1"/>
    <n v="55.6"/>
    <n v="111.2"/>
    <x v="29"/>
    <x v="33"/>
    <x v="2"/>
    <x v="3"/>
    <x v="0"/>
    <x v="0"/>
    <x v="11"/>
    <x v="2"/>
    <n v="5"/>
    <x v="2"/>
  </r>
  <r>
    <s v="TX500689"/>
    <x v="3"/>
    <x v="1"/>
    <n v="36.200000000000003"/>
    <n v="72.400000000000006"/>
    <x v="29"/>
    <x v="27"/>
    <x v="2"/>
    <x v="3"/>
    <x v="0"/>
    <x v="0"/>
    <x v="11"/>
    <x v="3"/>
    <n v="5"/>
    <x v="2"/>
  </r>
  <r>
    <s v="TX500690"/>
    <x v="0"/>
    <x v="0"/>
    <n v="26.6"/>
    <n v="26.6"/>
    <x v="29"/>
    <x v="27"/>
    <x v="0"/>
    <x v="1"/>
    <x v="1"/>
    <x v="0"/>
    <x v="19"/>
    <x v="3"/>
    <n v="5"/>
    <x v="0"/>
  </r>
  <r>
    <s v="TX500691"/>
    <x v="10"/>
    <x v="12"/>
    <n v="31.5"/>
    <n v="126"/>
    <x v="29"/>
    <x v="30"/>
    <x v="1"/>
    <x v="0"/>
    <x v="0"/>
    <x v="0"/>
    <x v="31"/>
    <x v="1"/>
    <n v="5"/>
    <x v="1"/>
  </r>
  <r>
    <s v="TX500692"/>
    <x v="10"/>
    <x v="0"/>
    <n v="27"/>
    <n v="27"/>
    <x v="29"/>
    <x v="30"/>
    <x v="2"/>
    <x v="1"/>
    <x v="2"/>
    <x v="0"/>
    <x v="13"/>
    <x v="1"/>
    <n v="5"/>
    <x v="2"/>
  </r>
  <r>
    <s v="TX500693"/>
    <x v="4"/>
    <x v="0"/>
    <n v="32"/>
    <n v="32"/>
    <x v="29"/>
    <x v="33"/>
    <x v="1"/>
    <x v="3"/>
    <x v="0"/>
    <x v="0"/>
    <x v="21"/>
    <x v="2"/>
    <n v="5"/>
    <x v="1"/>
  </r>
  <r>
    <s v="TX500694"/>
    <x v="1"/>
    <x v="2"/>
    <n v="48.1"/>
    <n v="144.30000000000001"/>
    <x v="29"/>
    <x v="30"/>
    <x v="1"/>
    <x v="2"/>
    <x v="1"/>
    <x v="0"/>
    <x v="1"/>
    <x v="1"/>
    <n v="5"/>
    <x v="1"/>
  </r>
  <r>
    <s v="TX500695"/>
    <x v="9"/>
    <x v="1"/>
    <n v="43.4"/>
    <n v="86.8"/>
    <x v="29"/>
    <x v="27"/>
    <x v="1"/>
    <x v="1"/>
    <x v="1"/>
    <x v="0"/>
    <x v="22"/>
    <x v="3"/>
    <n v="5"/>
    <x v="1"/>
  </r>
  <r>
    <s v="TX500696"/>
    <x v="6"/>
    <x v="1"/>
    <n v="42.6"/>
    <n v="85.2"/>
    <x v="29"/>
    <x v="33"/>
    <x v="2"/>
    <x v="3"/>
    <x v="0"/>
    <x v="0"/>
    <x v="22"/>
    <x v="2"/>
    <n v="5"/>
    <x v="2"/>
  </r>
  <r>
    <s v="TX500697"/>
    <x v="8"/>
    <x v="1"/>
    <n v="15.9"/>
    <n v="31.8"/>
    <x v="29"/>
    <x v="27"/>
    <x v="2"/>
    <x v="0"/>
    <x v="0"/>
    <x v="0"/>
    <x v="34"/>
    <x v="3"/>
    <n v="5"/>
    <x v="2"/>
  </r>
  <r>
    <s v="TX500698"/>
    <x v="9"/>
    <x v="1"/>
    <n v="63.2"/>
    <n v="126.4"/>
    <x v="29"/>
    <x v="27"/>
    <x v="1"/>
    <x v="1"/>
    <x v="0"/>
    <x v="0"/>
    <x v="3"/>
    <x v="3"/>
    <n v="5"/>
    <x v="1"/>
  </r>
  <r>
    <s v="TX500699"/>
    <x v="7"/>
    <x v="12"/>
    <n v="64.8"/>
    <n v="259.2"/>
    <x v="29"/>
    <x v="30"/>
    <x v="0"/>
    <x v="4"/>
    <x v="1"/>
    <x v="0"/>
    <x v="3"/>
    <x v="1"/>
    <n v="5"/>
    <x v="0"/>
  </r>
  <r>
    <s v="TX500700"/>
    <x v="7"/>
    <x v="2"/>
    <n v="79.8"/>
    <n v="239.39999999999998"/>
    <x v="29"/>
    <x v="27"/>
    <x v="1"/>
    <x v="0"/>
    <x v="0"/>
    <x v="0"/>
    <x v="3"/>
    <x v="3"/>
    <n v="5"/>
    <x v="1"/>
  </r>
  <r>
    <s v="TX500701"/>
    <x v="9"/>
    <x v="0"/>
    <n v="54.4"/>
    <n v="54.4"/>
    <x v="29"/>
    <x v="30"/>
    <x v="2"/>
    <x v="4"/>
    <x v="2"/>
    <x v="0"/>
    <x v="3"/>
    <x v="1"/>
    <n v="5"/>
    <x v="2"/>
  </r>
  <r>
    <s v="TX500702"/>
    <x v="6"/>
    <x v="0"/>
    <n v="87.3"/>
    <n v="87.3"/>
    <x v="29"/>
    <x v="27"/>
    <x v="1"/>
    <x v="1"/>
    <x v="0"/>
    <x v="0"/>
    <x v="3"/>
    <x v="3"/>
    <n v="5"/>
    <x v="1"/>
  </r>
  <r>
    <s v="TX500703"/>
    <x v="8"/>
    <x v="12"/>
    <n v="32.4"/>
    <n v="129.6"/>
    <x v="29"/>
    <x v="26"/>
    <x v="1"/>
    <x v="1"/>
    <x v="0"/>
    <x v="0"/>
    <x v="3"/>
    <x v="7"/>
    <n v="5"/>
    <x v="1"/>
  </r>
  <r>
    <s v="TX500704"/>
    <x v="2"/>
    <x v="0"/>
    <n v="177.4"/>
    <n v="177.4"/>
    <x v="29"/>
    <x v="34"/>
    <x v="1"/>
    <x v="0"/>
    <x v="2"/>
    <x v="0"/>
    <x v="3"/>
    <x v="5"/>
    <n v="5"/>
    <x v="1"/>
  </r>
  <r>
    <s v="TX500705"/>
    <x v="7"/>
    <x v="1"/>
    <n v="70.099999999999994"/>
    <n v="140.19999999999999"/>
    <x v="29"/>
    <x v="27"/>
    <x v="1"/>
    <x v="3"/>
    <x v="1"/>
    <x v="0"/>
    <x v="3"/>
    <x v="3"/>
    <n v="5"/>
    <x v="1"/>
  </r>
  <r>
    <s v="TX500706"/>
    <x v="9"/>
    <x v="13"/>
    <n v="51.1"/>
    <n v="306.60000000000002"/>
    <x v="29"/>
    <x v="27"/>
    <x v="2"/>
    <x v="0"/>
    <x v="0"/>
    <x v="0"/>
    <x v="3"/>
    <x v="3"/>
    <n v="5"/>
    <x v="2"/>
  </r>
  <r>
    <s v="TX500707"/>
    <x v="2"/>
    <x v="9"/>
    <n v="79.900000000000006"/>
    <n v="399.5"/>
    <x v="29"/>
    <x v="30"/>
    <x v="1"/>
    <x v="3"/>
    <x v="2"/>
    <x v="0"/>
    <x v="24"/>
    <x v="1"/>
    <n v="5"/>
    <x v="1"/>
  </r>
  <r>
    <s v="TX500708"/>
    <x v="6"/>
    <x v="0"/>
    <n v="57.6"/>
    <n v="57.6"/>
    <x v="30"/>
    <x v="36"/>
    <x v="1"/>
    <x v="0"/>
    <x v="2"/>
    <x v="0"/>
    <x v="49"/>
    <x v="0"/>
    <n v="5"/>
    <x v="1"/>
  </r>
  <r>
    <s v="TX500709"/>
    <x v="8"/>
    <x v="7"/>
    <n v="59.7"/>
    <n v="597"/>
    <x v="30"/>
    <x v="32"/>
    <x v="1"/>
    <x v="2"/>
    <x v="0"/>
    <x v="0"/>
    <x v="25"/>
    <x v="5"/>
    <n v="5"/>
    <x v="1"/>
  </r>
  <r>
    <s v="TX500710"/>
    <x v="8"/>
    <x v="9"/>
    <n v="30"/>
    <n v="150"/>
    <x v="30"/>
    <x v="33"/>
    <x v="1"/>
    <x v="1"/>
    <x v="0"/>
    <x v="0"/>
    <x v="6"/>
    <x v="1"/>
    <n v="5"/>
    <x v="1"/>
  </r>
  <r>
    <s v="TX500711"/>
    <x v="10"/>
    <x v="1"/>
    <n v="69.2"/>
    <n v="138.4"/>
    <x v="30"/>
    <x v="33"/>
    <x v="0"/>
    <x v="2"/>
    <x v="1"/>
    <x v="0"/>
    <x v="6"/>
    <x v="1"/>
    <n v="5"/>
    <x v="0"/>
  </r>
  <r>
    <s v="TX500712"/>
    <x v="0"/>
    <x v="8"/>
    <n v="10.9"/>
    <n v="87.2"/>
    <x v="30"/>
    <x v="30"/>
    <x v="2"/>
    <x v="0"/>
    <x v="2"/>
    <x v="0"/>
    <x v="6"/>
    <x v="3"/>
    <n v="5"/>
    <x v="2"/>
  </r>
  <r>
    <s v="TX500713"/>
    <x v="16"/>
    <x v="1"/>
    <n v="48.6"/>
    <n v="97.2"/>
    <x v="30"/>
    <x v="32"/>
    <x v="1"/>
    <x v="1"/>
    <x v="2"/>
    <x v="0"/>
    <x v="6"/>
    <x v="5"/>
    <n v="5"/>
    <x v="1"/>
  </r>
  <r>
    <s v="TX500714"/>
    <x v="2"/>
    <x v="1"/>
    <n v="61.1"/>
    <n v="122.2"/>
    <x v="30"/>
    <x v="34"/>
    <x v="2"/>
    <x v="1"/>
    <x v="2"/>
    <x v="0"/>
    <x v="7"/>
    <x v="2"/>
    <n v="5"/>
    <x v="2"/>
  </r>
  <r>
    <s v="TX500715"/>
    <x v="8"/>
    <x v="1"/>
    <n v="23.2"/>
    <n v="46.4"/>
    <x v="30"/>
    <x v="30"/>
    <x v="1"/>
    <x v="3"/>
    <x v="2"/>
    <x v="0"/>
    <x v="8"/>
    <x v="3"/>
    <n v="5"/>
    <x v="1"/>
  </r>
  <r>
    <s v="TX500716"/>
    <x v="12"/>
    <x v="12"/>
    <n v="55.8"/>
    <n v="223.2"/>
    <x v="30"/>
    <x v="30"/>
    <x v="1"/>
    <x v="0"/>
    <x v="0"/>
    <x v="0"/>
    <x v="8"/>
    <x v="3"/>
    <n v="5"/>
    <x v="1"/>
  </r>
  <r>
    <s v="TX500717"/>
    <x v="9"/>
    <x v="12"/>
    <n v="24.8"/>
    <n v="99.2"/>
    <x v="30"/>
    <x v="30"/>
    <x v="2"/>
    <x v="0"/>
    <x v="2"/>
    <x v="0"/>
    <x v="8"/>
    <x v="3"/>
    <n v="5"/>
    <x v="2"/>
  </r>
  <r>
    <s v="TX500718"/>
    <x v="10"/>
    <x v="1"/>
    <n v="27.9"/>
    <n v="55.8"/>
    <x v="30"/>
    <x v="27"/>
    <x v="1"/>
    <x v="2"/>
    <x v="2"/>
    <x v="0"/>
    <x v="8"/>
    <x v="7"/>
    <n v="5"/>
    <x v="1"/>
  </r>
  <r>
    <s v="TX500719"/>
    <x v="10"/>
    <x v="13"/>
    <n v="51.1"/>
    <n v="306.60000000000002"/>
    <x v="30"/>
    <x v="27"/>
    <x v="2"/>
    <x v="3"/>
    <x v="0"/>
    <x v="0"/>
    <x v="8"/>
    <x v="7"/>
    <n v="5"/>
    <x v="2"/>
  </r>
  <r>
    <s v="TX500720"/>
    <x v="17"/>
    <x v="5"/>
    <n v="32.700000000000003"/>
    <n v="359.70000000000005"/>
    <x v="30"/>
    <x v="30"/>
    <x v="1"/>
    <x v="4"/>
    <x v="2"/>
    <x v="0"/>
    <x v="17"/>
    <x v="3"/>
    <n v="5"/>
    <x v="1"/>
  </r>
  <r>
    <s v="TX500721"/>
    <x v="8"/>
    <x v="12"/>
    <n v="22.5"/>
    <n v="90"/>
    <x v="30"/>
    <x v="27"/>
    <x v="1"/>
    <x v="0"/>
    <x v="2"/>
    <x v="0"/>
    <x v="26"/>
    <x v="7"/>
    <n v="5"/>
    <x v="1"/>
  </r>
  <r>
    <s v="TX500722"/>
    <x v="0"/>
    <x v="3"/>
    <n v="14.6"/>
    <n v="102.2"/>
    <x v="30"/>
    <x v="30"/>
    <x v="2"/>
    <x v="2"/>
    <x v="0"/>
    <x v="0"/>
    <x v="41"/>
    <x v="3"/>
    <n v="5"/>
    <x v="2"/>
  </r>
  <r>
    <s v="TX500723"/>
    <x v="5"/>
    <x v="2"/>
    <n v="32.5"/>
    <n v="97.5"/>
    <x v="30"/>
    <x v="34"/>
    <x v="1"/>
    <x v="0"/>
    <x v="0"/>
    <x v="0"/>
    <x v="10"/>
    <x v="2"/>
    <n v="5"/>
    <x v="1"/>
  </r>
  <r>
    <s v="TX500724"/>
    <x v="18"/>
    <x v="0"/>
    <n v="78.099999999999994"/>
    <n v="78.099999999999994"/>
    <x v="30"/>
    <x v="34"/>
    <x v="1"/>
    <x v="0"/>
    <x v="2"/>
    <x v="0"/>
    <x v="11"/>
    <x v="2"/>
    <n v="5"/>
    <x v="1"/>
  </r>
  <r>
    <s v="TX500725"/>
    <x v="12"/>
    <x v="13"/>
    <n v="110.2"/>
    <n v="661.2"/>
    <x v="30"/>
    <x v="27"/>
    <x v="1"/>
    <x v="1"/>
    <x v="4"/>
    <x v="0"/>
    <x v="13"/>
    <x v="7"/>
    <n v="5"/>
    <x v="1"/>
  </r>
  <r>
    <s v="TX500726"/>
    <x v="6"/>
    <x v="2"/>
    <n v="86.3"/>
    <n v="258.89999999999998"/>
    <x v="30"/>
    <x v="33"/>
    <x v="2"/>
    <x v="3"/>
    <x v="0"/>
    <x v="0"/>
    <x v="21"/>
    <x v="1"/>
    <n v="5"/>
    <x v="2"/>
  </r>
  <r>
    <s v="TX500727"/>
    <x v="1"/>
    <x v="13"/>
    <n v="73.599999999999994"/>
    <n v="441.59999999999997"/>
    <x v="30"/>
    <x v="33"/>
    <x v="3"/>
    <x v="3"/>
    <x v="4"/>
    <x v="0"/>
    <x v="44"/>
    <x v="1"/>
    <n v="5"/>
    <x v="3"/>
  </r>
  <r>
    <s v="TX500728"/>
    <x v="6"/>
    <x v="15"/>
    <n v="67.7"/>
    <n v="880.1"/>
    <x v="30"/>
    <x v="33"/>
    <x v="2"/>
    <x v="0"/>
    <x v="2"/>
    <x v="0"/>
    <x v="3"/>
    <x v="1"/>
    <n v="5"/>
    <x v="2"/>
  </r>
  <r>
    <s v="TX500729"/>
    <x v="7"/>
    <x v="13"/>
    <n v="142.19999999999999"/>
    <n v="853.19999999999993"/>
    <x v="30"/>
    <x v="30"/>
    <x v="2"/>
    <x v="2"/>
    <x v="4"/>
    <x v="0"/>
    <x v="3"/>
    <x v="3"/>
    <n v="5"/>
    <x v="2"/>
  </r>
  <r>
    <s v="TX500730"/>
    <x v="1"/>
    <x v="11"/>
    <n v="45.8"/>
    <n v="412.2"/>
    <x v="30"/>
    <x v="33"/>
    <x v="2"/>
    <x v="1"/>
    <x v="2"/>
    <x v="0"/>
    <x v="3"/>
    <x v="1"/>
    <n v="5"/>
    <x v="2"/>
  </r>
  <r>
    <s v="TX500731"/>
    <x v="10"/>
    <x v="1"/>
    <n v="24.2"/>
    <n v="48.4"/>
    <x v="31"/>
    <x v="32"/>
    <x v="2"/>
    <x v="3"/>
    <x v="2"/>
    <x v="0"/>
    <x v="3"/>
    <x v="2"/>
    <n v="5"/>
    <x v="2"/>
  </r>
  <r>
    <s v="TX500732"/>
    <x v="2"/>
    <x v="2"/>
    <n v="144.9"/>
    <n v="434.70000000000005"/>
    <x v="31"/>
    <x v="33"/>
    <x v="3"/>
    <x v="2"/>
    <x v="2"/>
    <x v="0"/>
    <x v="3"/>
    <x v="3"/>
    <n v="5"/>
    <x v="3"/>
  </r>
  <r>
    <s v="TX500733"/>
    <x v="11"/>
    <x v="9"/>
    <n v="32.799999999999997"/>
    <n v="164"/>
    <x v="31"/>
    <x v="32"/>
    <x v="2"/>
    <x v="2"/>
    <x v="0"/>
    <x v="0"/>
    <x v="23"/>
    <x v="2"/>
    <n v="5"/>
    <x v="2"/>
  </r>
  <r>
    <s v="TX500734"/>
    <x v="7"/>
    <x v="7"/>
    <n v="35.700000000000003"/>
    <n v="357"/>
    <x v="31"/>
    <x v="30"/>
    <x v="2"/>
    <x v="0"/>
    <x v="1"/>
    <x v="0"/>
    <x v="6"/>
    <x v="7"/>
    <n v="5"/>
    <x v="2"/>
  </r>
  <r>
    <s v="TX500735"/>
    <x v="9"/>
    <x v="1"/>
    <n v="54.6"/>
    <n v="109.2"/>
    <x v="31"/>
    <x v="33"/>
    <x v="2"/>
    <x v="2"/>
    <x v="0"/>
    <x v="0"/>
    <x v="6"/>
    <x v="3"/>
    <n v="5"/>
    <x v="2"/>
  </r>
  <r>
    <s v="TX500736"/>
    <x v="8"/>
    <x v="1"/>
    <n v="35.700000000000003"/>
    <n v="71.400000000000006"/>
    <x v="31"/>
    <x v="32"/>
    <x v="0"/>
    <x v="0"/>
    <x v="1"/>
    <x v="0"/>
    <x v="6"/>
    <x v="2"/>
    <n v="5"/>
    <x v="0"/>
  </r>
  <r>
    <s v="TX500737"/>
    <x v="10"/>
    <x v="1"/>
    <n v="52.4"/>
    <n v="104.8"/>
    <x v="31"/>
    <x v="30"/>
    <x v="2"/>
    <x v="0"/>
    <x v="3"/>
    <x v="0"/>
    <x v="6"/>
    <x v="7"/>
    <n v="5"/>
    <x v="2"/>
  </r>
  <r>
    <s v="TX500738"/>
    <x v="8"/>
    <x v="21"/>
    <n v="16.2"/>
    <n v="226.79999999999998"/>
    <x v="31"/>
    <x v="33"/>
    <x v="0"/>
    <x v="0"/>
    <x v="1"/>
    <x v="0"/>
    <x v="8"/>
    <x v="3"/>
    <n v="5"/>
    <x v="0"/>
  </r>
  <r>
    <s v="TX500739"/>
    <x v="6"/>
    <x v="35"/>
    <n v="42.8"/>
    <n v="2011.6"/>
    <x v="31"/>
    <x v="33"/>
    <x v="2"/>
    <x v="0"/>
    <x v="0"/>
    <x v="0"/>
    <x v="8"/>
    <x v="3"/>
    <n v="5"/>
    <x v="2"/>
  </r>
  <r>
    <s v="TX500740"/>
    <x v="6"/>
    <x v="11"/>
    <n v="144.4"/>
    <n v="1299.6000000000001"/>
    <x v="31"/>
    <x v="32"/>
    <x v="2"/>
    <x v="4"/>
    <x v="0"/>
    <x v="0"/>
    <x v="8"/>
    <x v="2"/>
    <n v="5"/>
    <x v="2"/>
  </r>
  <r>
    <s v="TX500741"/>
    <x v="3"/>
    <x v="34"/>
    <n v="30.6"/>
    <n v="1101.6000000000001"/>
    <x v="31"/>
    <x v="36"/>
    <x v="2"/>
    <x v="2"/>
    <x v="2"/>
    <x v="0"/>
    <x v="11"/>
    <x v="5"/>
    <n v="5"/>
    <x v="2"/>
  </r>
  <r>
    <s v="TX500742"/>
    <x v="2"/>
    <x v="1"/>
    <n v="117.5"/>
    <n v="235"/>
    <x v="31"/>
    <x v="33"/>
    <x v="1"/>
    <x v="0"/>
    <x v="0"/>
    <x v="0"/>
    <x v="19"/>
    <x v="3"/>
    <n v="5"/>
    <x v="1"/>
  </r>
  <r>
    <s v="TX500743"/>
    <x v="6"/>
    <x v="1"/>
    <n v="105.7"/>
    <n v="211.4"/>
    <x v="31"/>
    <x v="33"/>
    <x v="2"/>
    <x v="2"/>
    <x v="2"/>
    <x v="0"/>
    <x v="21"/>
    <x v="3"/>
    <n v="5"/>
    <x v="2"/>
  </r>
  <r>
    <s v="TX500744"/>
    <x v="3"/>
    <x v="2"/>
    <n v="133.69999999999999"/>
    <n v="401.09999999999997"/>
    <x v="31"/>
    <x v="33"/>
    <x v="0"/>
    <x v="4"/>
    <x v="2"/>
    <x v="0"/>
    <x v="21"/>
    <x v="3"/>
    <n v="5"/>
    <x v="0"/>
  </r>
  <r>
    <s v="TX500745"/>
    <x v="4"/>
    <x v="9"/>
    <n v="46.8"/>
    <n v="234"/>
    <x v="32"/>
    <x v="37"/>
    <x v="2"/>
    <x v="0"/>
    <x v="1"/>
    <x v="0"/>
    <x v="21"/>
    <x v="9"/>
    <n v="6"/>
    <x v="2"/>
  </r>
  <r>
    <s v="TX500746"/>
    <x v="10"/>
    <x v="2"/>
    <n v="58.4"/>
    <n v="175.2"/>
    <x v="32"/>
    <x v="32"/>
    <x v="2"/>
    <x v="0"/>
    <x v="0"/>
    <x v="0"/>
    <x v="1"/>
    <x v="1"/>
    <n v="6"/>
    <x v="2"/>
  </r>
  <r>
    <s v="TX500747"/>
    <x v="6"/>
    <x v="11"/>
    <n v="65.099999999999994"/>
    <n v="585.9"/>
    <x v="32"/>
    <x v="38"/>
    <x v="1"/>
    <x v="1"/>
    <x v="2"/>
    <x v="0"/>
    <x v="22"/>
    <x v="5"/>
    <n v="6"/>
    <x v="1"/>
  </r>
  <r>
    <s v="TX500748"/>
    <x v="8"/>
    <x v="0"/>
    <n v="18.600000000000001"/>
    <n v="18.600000000000001"/>
    <x v="32"/>
    <x v="36"/>
    <x v="2"/>
    <x v="0"/>
    <x v="4"/>
    <x v="0"/>
    <x v="22"/>
    <x v="2"/>
    <n v="6"/>
    <x v="2"/>
  </r>
  <r>
    <s v="TX500749"/>
    <x v="1"/>
    <x v="5"/>
    <n v="92.3"/>
    <n v="1015.3"/>
    <x v="32"/>
    <x v="32"/>
    <x v="1"/>
    <x v="1"/>
    <x v="0"/>
    <x v="0"/>
    <x v="3"/>
    <x v="1"/>
    <n v="6"/>
    <x v="1"/>
  </r>
  <r>
    <s v="TX500750"/>
    <x v="6"/>
    <x v="2"/>
    <n v="81.7"/>
    <n v="245.10000000000002"/>
    <x v="32"/>
    <x v="34"/>
    <x v="0"/>
    <x v="4"/>
    <x v="4"/>
    <x v="0"/>
    <x v="3"/>
    <x v="3"/>
    <n v="6"/>
    <x v="0"/>
  </r>
  <r>
    <s v="TX500751"/>
    <x v="8"/>
    <x v="1"/>
    <n v="40.9"/>
    <n v="81.8"/>
    <x v="32"/>
    <x v="32"/>
    <x v="1"/>
    <x v="0"/>
    <x v="1"/>
    <x v="0"/>
    <x v="3"/>
    <x v="1"/>
    <n v="6"/>
    <x v="1"/>
  </r>
  <r>
    <s v="TX500752"/>
    <x v="6"/>
    <x v="12"/>
    <n v="43.2"/>
    <n v="172.8"/>
    <x v="32"/>
    <x v="39"/>
    <x v="2"/>
    <x v="0"/>
    <x v="1"/>
    <x v="0"/>
    <x v="3"/>
    <x v="4"/>
    <n v="6"/>
    <x v="2"/>
  </r>
  <r>
    <s v="TX500753"/>
    <x v="8"/>
    <x v="5"/>
    <n v="25.8"/>
    <n v="283.8"/>
    <x v="32"/>
    <x v="36"/>
    <x v="1"/>
    <x v="2"/>
    <x v="1"/>
    <x v="0"/>
    <x v="3"/>
    <x v="2"/>
    <n v="6"/>
    <x v="1"/>
  </r>
  <r>
    <s v="TX500754"/>
    <x v="15"/>
    <x v="12"/>
    <n v="36.4"/>
    <n v="145.6"/>
    <x v="32"/>
    <x v="34"/>
    <x v="1"/>
    <x v="0"/>
    <x v="0"/>
    <x v="0"/>
    <x v="3"/>
    <x v="3"/>
    <n v="6"/>
    <x v="1"/>
  </r>
  <r>
    <s v="TX500755"/>
    <x v="10"/>
    <x v="0"/>
    <n v="59.1"/>
    <n v="59.1"/>
    <x v="32"/>
    <x v="34"/>
    <x v="2"/>
    <x v="2"/>
    <x v="0"/>
    <x v="0"/>
    <x v="7"/>
    <x v="3"/>
    <n v="6"/>
    <x v="2"/>
  </r>
  <r>
    <s v="TX500756"/>
    <x v="2"/>
    <x v="14"/>
    <n v="74.5"/>
    <n v="1266.5"/>
    <x v="32"/>
    <x v="32"/>
    <x v="1"/>
    <x v="4"/>
    <x v="0"/>
    <x v="0"/>
    <x v="18"/>
    <x v="1"/>
    <n v="6"/>
    <x v="1"/>
  </r>
  <r>
    <s v="TX500757"/>
    <x v="5"/>
    <x v="0"/>
    <n v="72.8"/>
    <n v="72.8"/>
    <x v="32"/>
    <x v="34"/>
    <x v="2"/>
    <x v="0"/>
    <x v="1"/>
    <x v="0"/>
    <x v="19"/>
    <x v="3"/>
    <n v="6"/>
    <x v="2"/>
  </r>
  <r>
    <s v="TX500758"/>
    <x v="6"/>
    <x v="12"/>
    <n v="137.30000000000001"/>
    <n v="549.20000000000005"/>
    <x v="32"/>
    <x v="36"/>
    <x v="2"/>
    <x v="0"/>
    <x v="0"/>
    <x v="0"/>
    <x v="13"/>
    <x v="2"/>
    <n v="6"/>
    <x v="2"/>
  </r>
  <r>
    <s v="TX500759"/>
    <x v="1"/>
    <x v="2"/>
    <n v="48.7"/>
    <n v="146.10000000000002"/>
    <x v="32"/>
    <x v="31"/>
    <x v="2"/>
    <x v="0"/>
    <x v="1"/>
    <x v="0"/>
    <x v="21"/>
    <x v="0"/>
    <n v="6"/>
    <x v="2"/>
  </r>
  <r>
    <s v="TX500760"/>
    <x v="6"/>
    <x v="12"/>
    <n v="53.7"/>
    <n v="214.8"/>
    <x v="32"/>
    <x v="38"/>
    <x v="1"/>
    <x v="1"/>
    <x v="4"/>
    <x v="0"/>
    <x v="2"/>
    <x v="5"/>
    <n v="6"/>
    <x v="1"/>
  </r>
  <r>
    <s v="TX500761"/>
    <x v="2"/>
    <x v="3"/>
    <n v="100.9"/>
    <n v="706.30000000000007"/>
    <x v="32"/>
    <x v="32"/>
    <x v="2"/>
    <x v="0"/>
    <x v="1"/>
    <x v="0"/>
    <x v="2"/>
    <x v="1"/>
    <n v="6"/>
    <x v="2"/>
  </r>
  <r>
    <s v="TX500762"/>
    <x v="10"/>
    <x v="1"/>
    <n v="41.8"/>
    <n v="83.6"/>
    <x v="32"/>
    <x v="38"/>
    <x v="1"/>
    <x v="3"/>
    <x v="2"/>
    <x v="0"/>
    <x v="22"/>
    <x v="5"/>
    <n v="6"/>
    <x v="1"/>
  </r>
  <r>
    <s v="TX500763"/>
    <x v="4"/>
    <x v="8"/>
    <n v="28.5"/>
    <n v="228"/>
    <x v="32"/>
    <x v="32"/>
    <x v="1"/>
    <x v="2"/>
    <x v="1"/>
    <x v="0"/>
    <x v="3"/>
    <x v="1"/>
    <n v="6"/>
    <x v="1"/>
  </r>
  <r>
    <s v="TX500764"/>
    <x v="7"/>
    <x v="12"/>
    <n v="88.9"/>
    <n v="355.6"/>
    <x v="32"/>
    <x v="36"/>
    <x v="2"/>
    <x v="0"/>
    <x v="2"/>
    <x v="0"/>
    <x v="3"/>
    <x v="2"/>
    <n v="6"/>
    <x v="2"/>
  </r>
  <r>
    <s v="TX500765"/>
    <x v="6"/>
    <x v="0"/>
    <n v="62.5"/>
    <n v="62.5"/>
    <x v="32"/>
    <x v="40"/>
    <x v="2"/>
    <x v="0"/>
    <x v="2"/>
    <x v="0"/>
    <x v="3"/>
    <x v="8"/>
    <n v="6"/>
    <x v="2"/>
  </r>
  <r>
    <s v="TX500766"/>
    <x v="1"/>
    <x v="2"/>
    <n v="46.9"/>
    <n v="140.69999999999999"/>
    <x v="32"/>
    <x v="34"/>
    <x v="1"/>
    <x v="0"/>
    <x v="2"/>
    <x v="0"/>
    <x v="3"/>
    <x v="3"/>
    <n v="6"/>
    <x v="1"/>
  </r>
  <r>
    <s v="TX500767"/>
    <x v="8"/>
    <x v="2"/>
    <n v="45"/>
    <n v="135"/>
    <x v="32"/>
    <x v="41"/>
    <x v="1"/>
    <x v="1"/>
    <x v="0"/>
    <x v="0"/>
    <x v="3"/>
    <x v="12"/>
    <n v="6"/>
    <x v="1"/>
  </r>
  <r>
    <s v="TX500768"/>
    <x v="6"/>
    <x v="2"/>
    <n v="45.2"/>
    <n v="135.60000000000002"/>
    <x v="32"/>
    <x v="32"/>
    <x v="1"/>
    <x v="4"/>
    <x v="2"/>
    <x v="0"/>
    <x v="3"/>
    <x v="1"/>
    <n v="6"/>
    <x v="1"/>
  </r>
  <r>
    <s v="TX500769"/>
    <x v="4"/>
    <x v="1"/>
    <n v="60.1"/>
    <n v="120.2"/>
    <x v="32"/>
    <x v="34"/>
    <x v="2"/>
    <x v="0"/>
    <x v="2"/>
    <x v="0"/>
    <x v="3"/>
    <x v="3"/>
    <n v="6"/>
    <x v="2"/>
  </r>
  <r>
    <s v="TX500770"/>
    <x v="12"/>
    <x v="12"/>
    <n v="118.7"/>
    <n v="474.8"/>
    <x v="32"/>
    <x v="32"/>
    <x v="2"/>
    <x v="0"/>
    <x v="0"/>
    <x v="0"/>
    <x v="3"/>
    <x v="1"/>
    <n v="6"/>
    <x v="2"/>
  </r>
  <r>
    <s v="TX500771"/>
    <x v="9"/>
    <x v="0"/>
    <n v="57.8"/>
    <n v="57.8"/>
    <x v="32"/>
    <x v="40"/>
    <x v="2"/>
    <x v="1"/>
    <x v="0"/>
    <x v="0"/>
    <x v="3"/>
    <x v="8"/>
    <n v="6"/>
    <x v="2"/>
  </r>
  <r>
    <s v="TX500772"/>
    <x v="4"/>
    <x v="0"/>
    <n v="19.5"/>
    <n v="19.5"/>
    <x v="32"/>
    <x v="34"/>
    <x v="1"/>
    <x v="1"/>
    <x v="1"/>
    <x v="0"/>
    <x v="3"/>
    <x v="3"/>
    <n v="6"/>
    <x v="1"/>
  </r>
  <r>
    <s v="TX500773"/>
    <x v="12"/>
    <x v="0"/>
    <n v="42.6"/>
    <n v="42.6"/>
    <x v="32"/>
    <x v="34"/>
    <x v="1"/>
    <x v="0"/>
    <x v="1"/>
    <x v="0"/>
    <x v="3"/>
    <x v="3"/>
    <n v="6"/>
    <x v="1"/>
  </r>
  <r>
    <s v="TX500774"/>
    <x v="6"/>
    <x v="1"/>
    <n v="74.8"/>
    <n v="149.6"/>
    <x v="32"/>
    <x v="34"/>
    <x v="2"/>
    <x v="3"/>
    <x v="2"/>
    <x v="0"/>
    <x v="37"/>
    <x v="3"/>
    <n v="6"/>
    <x v="2"/>
  </r>
  <r>
    <s v="TX500775"/>
    <x v="8"/>
    <x v="2"/>
    <n v="32.5"/>
    <n v="97.5"/>
    <x v="32"/>
    <x v="34"/>
    <x v="1"/>
    <x v="2"/>
    <x v="4"/>
    <x v="0"/>
    <x v="16"/>
    <x v="3"/>
    <n v="6"/>
    <x v="1"/>
  </r>
  <r>
    <s v="TX500776"/>
    <x v="2"/>
    <x v="2"/>
    <n v="60.5"/>
    <n v="181.5"/>
    <x v="32"/>
    <x v="33"/>
    <x v="2"/>
    <x v="1"/>
    <x v="2"/>
    <x v="0"/>
    <x v="25"/>
    <x v="7"/>
    <n v="6"/>
    <x v="2"/>
  </r>
  <r>
    <s v="TX500777"/>
    <x v="1"/>
    <x v="3"/>
    <n v="57.2"/>
    <n v="400.40000000000003"/>
    <x v="32"/>
    <x v="32"/>
    <x v="0"/>
    <x v="2"/>
    <x v="0"/>
    <x v="0"/>
    <x v="25"/>
    <x v="1"/>
    <n v="6"/>
    <x v="0"/>
  </r>
  <r>
    <s v="TX500778"/>
    <x v="16"/>
    <x v="1"/>
    <n v="112"/>
    <n v="224"/>
    <x v="32"/>
    <x v="34"/>
    <x v="2"/>
    <x v="1"/>
    <x v="1"/>
    <x v="0"/>
    <x v="5"/>
    <x v="3"/>
    <n v="6"/>
    <x v="2"/>
  </r>
  <r>
    <s v="TX500779"/>
    <x v="7"/>
    <x v="7"/>
    <n v="49"/>
    <n v="490"/>
    <x v="32"/>
    <x v="34"/>
    <x v="3"/>
    <x v="2"/>
    <x v="1"/>
    <x v="0"/>
    <x v="6"/>
    <x v="3"/>
    <n v="6"/>
    <x v="3"/>
  </r>
  <r>
    <s v="TX500780"/>
    <x v="0"/>
    <x v="1"/>
    <n v="33.700000000000003"/>
    <n v="67.400000000000006"/>
    <x v="32"/>
    <x v="38"/>
    <x v="2"/>
    <x v="3"/>
    <x v="0"/>
    <x v="0"/>
    <x v="6"/>
    <x v="5"/>
    <n v="6"/>
    <x v="2"/>
  </r>
  <r>
    <s v="TX500781"/>
    <x v="4"/>
    <x v="2"/>
    <n v="35.6"/>
    <n v="106.80000000000001"/>
    <x v="32"/>
    <x v="36"/>
    <x v="2"/>
    <x v="0"/>
    <x v="2"/>
    <x v="0"/>
    <x v="6"/>
    <x v="2"/>
    <n v="6"/>
    <x v="2"/>
  </r>
  <r>
    <s v="TX500782"/>
    <x v="4"/>
    <x v="36"/>
    <n v="30.4"/>
    <n v="1064"/>
    <x v="33"/>
    <x v="34"/>
    <x v="2"/>
    <x v="0"/>
    <x v="1"/>
    <x v="0"/>
    <x v="7"/>
    <x v="7"/>
    <n v="6"/>
    <x v="2"/>
  </r>
  <r>
    <s v="TX500783"/>
    <x v="10"/>
    <x v="4"/>
    <n v="50.2"/>
    <n v="602.40000000000009"/>
    <x v="33"/>
    <x v="32"/>
    <x v="1"/>
    <x v="4"/>
    <x v="0"/>
    <x v="0"/>
    <x v="8"/>
    <x v="3"/>
    <n v="6"/>
    <x v="1"/>
  </r>
  <r>
    <s v="TX500784"/>
    <x v="1"/>
    <x v="1"/>
    <n v="43.7"/>
    <n v="87.4"/>
    <x v="33"/>
    <x v="36"/>
    <x v="2"/>
    <x v="0"/>
    <x v="0"/>
    <x v="0"/>
    <x v="8"/>
    <x v="1"/>
    <n v="6"/>
    <x v="2"/>
  </r>
  <r>
    <s v="TX500785"/>
    <x v="10"/>
    <x v="0"/>
    <n v="33.299999999999997"/>
    <n v="33.299999999999997"/>
    <x v="33"/>
    <x v="32"/>
    <x v="2"/>
    <x v="2"/>
    <x v="1"/>
    <x v="0"/>
    <x v="8"/>
    <x v="3"/>
    <n v="6"/>
    <x v="2"/>
  </r>
  <r>
    <s v="TX500786"/>
    <x v="8"/>
    <x v="12"/>
    <n v="15.1"/>
    <n v="60.4"/>
    <x v="33"/>
    <x v="36"/>
    <x v="2"/>
    <x v="4"/>
    <x v="2"/>
    <x v="0"/>
    <x v="8"/>
    <x v="1"/>
    <n v="6"/>
    <x v="2"/>
  </r>
  <r>
    <s v="TX500787"/>
    <x v="6"/>
    <x v="9"/>
    <n v="118.2"/>
    <n v="591"/>
    <x v="33"/>
    <x v="32"/>
    <x v="2"/>
    <x v="3"/>
    <x v="4"/>
    <x v="0"/>
    <x v="8"/>
    <x v="3"/>
    <n v="6"/>
    <x v="2"/>
  </r>
  <r>
    <s v="TX500788"/>
    <x v="10"/>
    <x v="2"/>
    <n v="28.9"/>
    <n v="86.699999999999989"/>
    <x v="33"/>
    <x v="36"/>
    <x v="2"/>
    <x v="2"/>
    <x v="1"/>
    <x v="0"/>
    <x v="8"/>
    <x v="1"/>
    <n v="6"/>
    <x v="2"/>
  </r>
  <r>
    <s v="TX500789"/>
    <x v="4"/>
    <x v="2"/>
    <n v="55.6"/>
    <n v="166.8"/>
    <x v="33"/>
    <x v="32"/>
    <x v="1"/>
    <x v="0"/>
    <x v="1"/>
    <x v="0"/>
    <x v="8"/>
    <x v="3"/>
    <n v="6"/>
    <x v="1"/>
  </r>
  <r>
    <s v="TX500790"/>
    <x v="9"/>
    <x v="12"/>
    <n v="25.6"/>
    <n v="102.4"/>
    <x v="33"/>
    <x v="36"/>
    <x v="2"/>
    <x v="0"/>
    <x v="1"/>
    <x v="0"/>
    <x v="8"/>
    <x v="1"/>
    <n v="6"/>
    <x v="2"/>
  </r>
  <r>
    <s v="TX500791"/>
    <x v="7"/>
    <x v="2"/>
    <n v="31.3"/>
    <n v="93.9"/>
    <x v="33"/>
    <x v="32"/>
    <x v="1"/>
    <x v="0"/>
    <x v="0"/>
    <x v="0"/>
    <x v="17"/>
    <x v="3"/>
    <n v="6"/>
    <x v="1"/>
  </r>
  <r>
    <s v="TX500792"/>
    <x v="0"/>
    <x v="2"/>
    <n v="22.1"/>
    <n v="66.300000000000011"/>
    <x v="33"/>
    <x v="31"/>
    <x v="1"/>
    <x v="0"/>
    <x v="0"/>
    <x v="0"/>
    <x v="17"/>
    <x v="5"/>
    <n v="6"/>
    <x v="1"/>
  </r>
  <r>
    <s v="TX500793"/>
    <x v="2"/>
    <x v="21"/>
    <n v="99.4"/>
    <n v="1391.6000000000001"/>
    <x v="33"/>
    <x v="32"/>
    <x v="1"/>
    <x v="1"/>
    <x v="0"/>
    <x v="0"/>
    <x v="11"/>
    <x v="3"/>
    <n v="6"/>
    <x v="1"/>
  </r>
  <r>
    <s v="TX500794"/>
    <x v="7"/>
    <x v="13"/>
    <n v="66.599999999999994"/>
    <n v="399.59999999999997"/>
    <x v="33"/>
    <x v="32"/>
    <x v="2"/>
    <x v="0"/>
    <x v="0"/>
    <x v="0"/>
    <x v="11"/>
    <x v="3"/>
    <n v="6"/>
    <x v="2"/>
  </r>
  <r>
    <s v="TX500795"/>
    <x v="8"/>
    <x v="1"/>
    <n v="22.6"/>
    <n v="45.2"/>
    <x v="33"/>
    <x v="38"/>
    <x v="1"/>
    <x v="0"/>
    <x v="0"/>
    <x v="0"/>
    <x v="11"/>
    <x v="2"/>
    <n v="6"/>
    <x v="1"/>
  </r>
  <r>
    <s v="TX500796"/>
    <x v="2"/>
    <x v="16"/>
    <n v="66.8"/>
    <n v="1202.3999999999999"/>
    <x v="33"/>
    <x v="32"/>
    <x v="2"/>
    <x v="0"/>
    <x v="4"/>
    <x v="0"/>
    <x v="13"/>
    <x v="3"/>
    <n v="6"/>
    <x v="2"/>
  </r>
  <r>
    <s v="TX500797"/>
    <x v="0"/>
    <x v="12"/>
    <n v="20.8"/>
    <n v="83.2"/>
    <x v="33"/>
    <x v="37"/>
    <x v="1"/>
    <x v="1"/>
    <x v="4"/>
    <x v="0"/>
    <x v="1"/>
    <x v="6"/>
    <n v="6"/>
    <x v="1"/>
  </r>
  <r>
    <s v="TX500798"/>
    <x v="2"/>
    <x v="3"/>
    <n v="102.5"/>
    <n v="717.5"/>
    <x v="33"/>
    <x v="32"/>
    <x v="2"/>
    <x v="4"/>
    <x v="2"/>
    <x v="0"/>
    <x v="3"/>
    <x v="3"/>
    <n v="6"/>
    <x v="2"/>
  </r>
  <r>
    <s v="TX500799"/>
    <x v="0"/>
    <x v="16"/>
    <n v="24.8"/>
    <n v="446.40000000000003"/>
    <x v="33"/>
    <x v="31"/>
    <x v="2"/>
    <x v="0"/>
    <x v="0"/>
    <x v="0"/>
    <x v="3"/>
    <x v="5"/>
    <n v="6"/>
    <x v="2"/>
  </r>
  <r>
    <s v="TX500800"/>
    <x v="4"/>
    <x v="37"/>
    <n v="31.4"/>
    <n v="973.4"/>
    <x v="33"/>
    <x v="32"/>
    <x v="2"/>
    <x v="3"/>
    <x v="0"/>
    <x v="0"/>
    <x v="3"/>
    <x v="3"/>
    <n v="6"/>
    <x v="2"/>
  </r>
  <r>
    <s v="TX500801"/>
    <x v="9"/>
    <x v="9"/>
    <n v="59.3"/>
    <n v="296.5"/>
    <x v="33"/>
    <x v="38"/>
    <x v="1"/>
    <x v="1"/>
    <x v="2"/>
    <x v="0"/>
    <x v="43"/>
    <x v="2"/>
    <n v="6"/>
    <x v="1"/>
  </r>
  <r>
    <s v="TX500802"/>
    <x v="11"/>
    <x v="13"/>
    <n v="39"/>
    <n v="234"/>
    <x v="33"/>
    <x v="38"/>
    <x v="1"/>
    <x v="1"/>
    <x v="0"/>
    <x v="0"/>
    <x v="6"/>
    <x v="2"/>
    <n v="6"/>
    <x v="1"/>
  </r>
  <r>
    <s v="TX500803"/>
    <x v="5"/>
    <x v="13"/>
    <n v="98.6"/>
    <n v="591.59999999999991"/>
    <x v="33"/>
    <x v="36"/>
    <x v="2"/>
    <x v="1"/>
    <x v="0"/>
    <x v="0"/>
    <x v="6"/>
    <x v="1"/>
    <n v="6"/>
    <x v="2"/>
  </r>
  <r>
    <s v="TX500804"/>
    <x v="8"/>
    <x v="0"/>
    <n v="20"/>
    <n v="20"/>
    <x v="34"/>
    <x v="36"/>
    <x v="1"/>
    <x v="3"/>
    <x v="2"/>
    <x v="0"/>
    <x v="8"/>
    <x v="3"/>
    <n v="6"/>
    <x v="1"/>
  </r>
  <r>
    <s v="TX500805"/>
    <x v="1"/>
    <x v="1"/>
    <n v="42.9"/>
    <n v="85.8"/>
    <x v="34"/>
    <x v="38"/>
    <x v="2"/>
    <x v="0"/>
    <x v="2"/>
    <x v="0"/>
    <x v="8"/>
    <x v="1"/>
    <n v="6"/>
    <x v="2"/>
  </r>
  <r>
    <s v="TX500806"/>
    <x v="7"/>
    <x v="3"/>
    <n v="55.6"/>
    <n v="389.2"/>
    <x v="34"/>
    <x v="38"/>
    <x v="2"/>
    <x v="2"/>
    <x v="1"/>
    <x v="0"/>
    <x v="8"/>
    <x v="1"/>
    <n v="6"/>
    <x v="2"/>
  </r>
  <r>
    <s v="TX500807"/>
    <x v="8"/>
    <x v="12"/>
    <n v="19.2"/>
    <n v="76.8"/>
    <x v="34"/>
    <x v="35"/>
    <x v="2"/>
    <x v="0"/>
    <x v="0"/>
    <x v="0"/>
    <x v="41"/>
    <x v="0"/>
    <n v="6"/>
    <x v="2"/>
  </r>
  <r>
    <s v="TX500808"/>
    <x v="5"/>
    <x v="1"/>
    <n v="28.8"/>
    <n v="57.6"/>
    <x v="34"/>
    <x v="38"/>
    <x v="1"/>
    <x v="1"/>
    <x v="0"/>
    <x v="0"/>
    <x v="18"/>
    <x v="1"/>
    <n v="6"/>
    <x v="1"/>
  </r>
  <r>
    <s v="TX500809"/>
    <x v="4"/>
    <x v="0"/>
    <n v="29.7"/>
    <n v="29.7"/>
    <x v="34"/>
    <x v="38"/>
    <x v="2"/>
    <x v="2"/>
    <x v="4"/>
    <x v="0"/>
    <x v="20"/>
    <x v="1"/>
    <n v="6"/>
    <x v="2"/>
  </r>
  <r>
    <s v="TX500810"/>
    <x v="6"/>
    <x v="13"/>
    <n v="63.3"/>
    <n v="379.79999999999995"/>
    <x v="34"/>
    <x v="36"/>
    <x v="0"/>
    <x v="0"/>
    <x v="2"/>
    <x v="0"/>
    <x v="21"/>
    <x v="3"/>
    <n v="6"/>
    <x v="0"/>
  </r>
  <r>
    <s v="TX500811"/>
    <x v="4"/>
    <x v="0"/>
    <n v="46"/>
    <n v="46"/>
    <x v="34"/>
    <x v="36"/>
    <x v="2"/>
    <x v="0"/>
    <x v="2"/>
    <x v="0"/>
    <x v="21"/>
    <x v="3"/>
    <n v="6"/>
    <x v="2"/>
  </r>
  <r>
    <s v="TX500812"/>
    <x v="11"/>
    <x v="2"/>
    <n v="38"/>
    <n v="114"/>
    <x v="34"/>
    <x v="38"/>
    <x v="2"/>
    <x v="1"/>
    <x v="2"/>
    <x v="0"/>
    <x v="21"/>
    <x v="1"/>
    <n v="6"/>
    <x v="2"/>
  </r>
  <r>
    <s v="TX500813"/>
    <x v="10"/>
    <x v="15"/>
    <n v="34.6"/>
    <n v="449.8"/>
    <x v="34"/>
    <x v="38"/>
    <x v="2"/>
    <x v="0"/>
    <x v="1"/>
    <x v="0"/>
    <x v="21"/>
    <x v="1"/>
    <n v="6"/>
    <x v="2"/>
  </r>
  <r>
    <s v="TX500814"/>
    <x v="3"/>
    <x v="7"/>
    <n v="79.7"/>
    <n v="797"/>
    <x v="34"/>
    <x v="36"/>
    <x v="2"/>
    <x v="4"/>
    <x v="1"/>
    <x v="0"/>
    <x v="21"/>
    <x v="3"/>
    <n v="6"/>
    <x v="2"/>
  </r>
  <r>
    <s v="TX500815"/>
    <x v="8"/>
    <x v="8"/>
    <n v="30.5"/>
    <n v="244"/>
    <x v="34"/>
    <x v="39"/>
    <x v="1"/>
    <x v="3"/>
    <x v="0"/>
    <x v="0"/>
    <x v="1"/>
    <x v="5"/>
    <n v="6"/>
    <x v="1"/>
  </r>
  <r>
    <s v="TX500816"/>
    <x v="0"/>
    <x v="1"/>
    <n v="20.8"/>
    <n v="41.6"/>
    <x v="34"/>
    <x v="36"/>
    <x v="2"/>
    <x v="0"/>
    <x v="0"/>
    <x v="0"/>
    <x v="2"/>
    <x v="3"/>
    <n v="6"/>
    <x v="2"/>
  </r>
  <r>
    <s v="TX500817"/>
    <x v="11"/>
    <x v="3"/>
    <n v="48.5"/>
    <n v="339.5"/>
    <x v="34"/>
    <x v="39"/>
    <x v="2"/>
    <x v="2"/>
    <x v="2"/>
    <x v="0"/>
    <x v="2"/>
    <x v="5"/>
    <n v="6"/>
    <x v="2"/>
  </r>
  <r>
    <s v="TX500818"/>
    <x v="2"/>
    <x v="12"/>
    <n v="61.8"/>
    <n v="247.2"/>
    <x v="34"/>
    <x v="39"/>
    <x v="2"/>
    <x v="4"/>
    <x v="0"/>
    <x v="0"/>
    <x v="22"/>
    <x v="5"/>
    <n v="6"/>
    <x v="2"/>
  </r>
  <r>
    <s v="TX500819"/>
    <x v="10"/>
    <x v="0"/>
    <n v="46.1"/>
    <n v="46.1"/>
    <x v="34"/>
    <x v="36"/>
    <x v="3"/>
    <x v="2"/>
    <x v="0"/>
    <x v="0"/>
    <x v="3"/>
    <x v="3"/>
    <n v="6"/>
    <x v="3"/>
  </r>
  <r>
    <s v="TX500820"/>
    <x v="4"/>
    <x v="13"/>
    <n v="44"/>
    <n v="264"/>
    <x v="34"/>
    <x v="36"/>
    <x v="2"/>
    <x v="0"/>
    <x v="0"/>
    <x v="0"/>
    <x v="3"/>
    <x v="3"/>
    <n v="6"/>
    <x v="2"/>
  </r>
  <r>
    <s v="TX500821"/>
    <x v="18"/>
    <x v="1"/>
    <n v="95.7"/>
    <n v="191.4"/>
    <x v="34"/>
    <x v="37"/>
    <x v="2"/>
    <x v="3"/>
    <x v="2"/>
    <x v="0"/>
    <x v="3"/>
    <x v="4"/>
    <n v="6"/>
    <x v="2"/>
  </r>
  <r>
    <s v="TX500822"/>
    <x v="7"/>
    <x v="9"/>
    <n v="46.4"/>
    <n v="232"/>
    <x v="34"/>
    <x v="31"/>
    <x v="2"/>
    <x v="0"/>
    <x v="0"/>
    <x v="0"/>
    <x v="3"/>
    <x v="2"/>
    <n v="6"/>
    <x v="2"/>
  </r>
  <r>
    <s v="TX500823"/>
    <x v="6"/>
    <x v="1"/>
    <n v="47.2"/>
    <n v="94.4"/>
    <x v="34"/>
    <x v="38"/>
    <x v="2"/>
    <x v="0"/>
    <x v="2"/>
    <x v="0"/>
    <x v="3"/>
    <x v="1"/>
    <n v="6"/>
    <x v="2"/>
  </r>
  <r>
    <s v="TX500824"/>
    <x v="7"/>
    <x v="1"/>
    <n v="58.6"/>
    <n v="117.2"/>
    <x v="34"/>
    <x v="36"/>
    <x v="2"/>
    <x v="2"/>
    <x v="1"/>
    <x v="0"/>
    <x v="3"/>
    <x v="3"/>
    <n v="6"/>
    <x v="2"/>
  </r>
  <r>
    <s v="TX500825"/>
    <x v="4"/>
    <x v="2"/>
    <n v="57"/>
    <n v="171"/>
    <x v="34"/>
    <x v="36"/>
    <x v="1"/>
    <x v="0"/>
    <x v="2"/>
    <x v="0"/>
    <x v="3"/>
    <x v="3"/>
    <n v="6"/>
    <x v="1"/>
  </r>
  <r>
    <s v="TX500826"/>
    <x v="8"/>
    <x v="12"/>
    <n v="28.9"/>
    <n v="115.6"/>
    <x v="34"/>
    <x v="39"/>
    <x v="1"/>
    <x v="2"/>
    <x v="0"/>
    <x v="0"/>
    <x v="3"/>
    <x v="5"/>
    <n v="6"/>
    <x v="1"/>
  </r>
  <r>
    <s v="TX500827"/>
    <x v="12"/>
    <x v="9"/>
    <n v="60.7"/>
    <n v="303.5"/>
    <x v="34"/>
    <x v="39"/>
    <x v="0"/>
    <x v="1"/>
    <x v="1"/>
    <x v="0"/>
    <x v="3"/>
    <x v="5"/>
    <n v="6"/>
    <x v="0"/>
  </r>
  <r>
    <s v="TX500828"/>
    <x v="6"/>
    <x v="9"/>
    <n v="60.8"/>
    <n v="304"/>
    <x v="34"/>
    <x v="39"/>
    <x v="1"/>
    <x v="0"/>
    <x v="1"/>
    <x v="0"/>
    <x v="3"/>
    <x v="5"/>
    <n v="6"/>
    <x v="1"/>
  </r>
  <r>
    <s v="TX500829"/>
    <x v="6"/>
    <x v="9"/>
    <n v="64.599999999999994"/>
    <n v="323"/>
    <x v="34"/>
    <x v="36"/>
    <x v="2"/>
    <x v="3"/>
    <x v="0"/>
    <x v="0"/>
    <x v="3"/>
    <x v="3"/>
    <n v="6"/>
    <x v="2"/>
  </r>
  <r>
    <s v="TX500830"/>
    <x v="8"/>
    <x v="0"/>
    <n v="21.9"/>
    <n v="21.9"/>
    <x v="34"/>
    <x v="31"/>
    <x v="1"/>
    <x v="1"/>
    <x v="2"/>
    <x v="0"/>
    <x v="4"/>
    <x v="2"/>
    <n v="6"/>
    <x v="1"/>
  </r>
  <r>
    <s v="TX500831"/>
    <x v="4"/>
    <x v="4"/>
    <n v="33.4"/>
    <n v="400.79999999999995"/>
    <x v="34"/>
    <x v="38"/>
    <x v="2"/>
    <x v="0"/>
    <x v="0"/>
    <x v="0"/>
    <x v="23"/>
    <x v="1"/>
    <n v="6"/>
    <x v="2"/>
  </r>
  <r>
    <s v="TX500832"/>
    <x v="2"/>
    <x v="0"/>
    <n v="51.7"/>
    <n v="51.7"/>
    <x v="34"/>
    <x v="36"/>
    <x v="0"/>
    <x v="0"/>
    <x v="0"/>
    <x v="0"/>
    <x v="6"/>
    <x v="3"/>
    <n v="6"/>
    <x v="0"/>
  </r>
  <r>
    <s v="TX500833"/>
    <x v="1"/>
    <x v="12"/>
    <n v="84.9"/>
    <n v="339.6"/>
    <x v="34"/>
    <x v="36"/>
    <x v="2"/>
    <x v="1"/>
    <x v="1"/>
    <x v="0"/>
    <x v="6"/>
    <x v="3"/>
    <n v="6"/>
    <x v="2"/>
  </r>
  <r>
    <s v="TX500834"/>
    <x v="1"/>
    <x v="5"/>
    <n v="62.3"/>
    <n v="685.3"/>
    <x v="34"/>
    <x v="36"/>
    <x v="2"/>
    <x v="2"/>
    <x v="2"/>
    <x v="0"/>
    <x v="7"/>
    <x v="3"/>
    <n v="6"/>
    <x v="2"/>
  </r>
  <r>
    <s v="TX500835"/>
    <x v="4"/>
    <x v="0"/>
    <n v="50.7"/>
    <n v="50.7"/>
    <x v="34"/>
    <x v="38"/>
    <x v="1"/>
    <x v="2"/>
    <x v="2"/>
    <x v="0"/>
    <x v="8"/>
    <x v="1"/>
    <n v="6"/>
    <x v="1"/>
  </r>
  <r>
    <s v="TX500836"/>
    <x v="18"/>
    <x v="0"/>
    <n v="39.5"/>
    <n v="39.5"/>
    <x v="34"/>
    <x v="36"/>
    <x v="1"/>
    <x v="4"/>
    <x v="1"/>
    <x v="0"/>
    <x v="8"/>
    <x v="3"/>
    <n v="6"/>
    <x v="1"/>
  </r>
  <r>
    <s v="TX500837"/>
    <x v="12"/>
    <x v="2"/>
    <n v="30.9"/>
    <n v="92.699999999999989"/>
    <x v="34"/>
    <x v="36"/>
    <x v="0"/>
    <x v="4"/>
    <x v="2"/>
    <x v="0"/>
    <x v="8"/>
    <x v="3"/>
    <n v="6"/>
    <x v="0"/>
  </r>
  <r>
    <s v="TX500838"/>
    <x v="1"/>
    <x v="3"/>
    <n v="36.4"/>
    <n v="254.79999999999998"/>
    <x v="34"/>
    <x v="31"/>
    <x v="2"/>
    <x v="0"/>
    <x v="2"/>
    <x v="0"/>
    <x v="8"/>
    <x v="2"/>
    <n v="6"/>
    <x v="2"/>
  </r>
  <r>
    <s v="TX500839"/>
    <x v="6"/>
    <x v="8"/>
    <n v="105.6"/>
    <n v="844.8"/>
    <x v="34"/>
    <x v="42"/>
    <x v="2"/>
    <x v="0"/>
    <x v="0"/>
    <x v="0"/>
    <x v="8"/>
    <x v="14"/>
    <n v="6"/>
    <x v="2"/>
  </r>
  <r>
    <s v="TX500840"/>
    <x v="8"/>
    <x v="1"/>
    <n v="22.1"/>
    <n v="44.2"/>
    <x v="34"/>
    <x v="36"/>
    <x v="2"/>
    <x v="0"/>
    <x v="2"/>
    <x v="0"/>
    <x v="17"/>
    <x v="3"/>
    <n v="6"/>
    <x v="2"/>
  </r>
  <r>
    <s v="TX500841"/>
    <x v="0"/>
    <x v="2"/>
    <n v="22.6"/>
    <n v="67.800000000000011"/>
    <x v="34"/>
    <x v="36"/>
    <x v="2"/>
    <x v="2"/>
    <x v="0"/>
    <x v="0"/>
    <x v="17"/>
    <x v="3"/>
    <n v="6"/>
    <x v="2"/>
  </r>
  <r>
    <s v="TX500842"/>
    <x v="10"/>
    <x v="13"/>
    <n v="26.3"/>
    <n v="157.80000000000001"/>
    <x v="34"/>
    <x v="32"/>
    <x v="2"/>
    <x v="2"/>
    <x v="0"/>
    <x v="0"/>
    <x v="9"/>
    <x v="7"/>
    <n v="6"/>
    <x v="2"/>
  </r>
  <r>
    <s v="TX500843"/>
    <x v="1"/>
    <x v="12"/>
    <n v="37.799999999999997"/>
    <n v="151.19999999999999"/>
    <x v="34"/>
    <x v="36"/>
    <x v="2"/>
    <x v="0"/>
    <x v="2"/>
    <x v="0"/>
    <x v="11"/>
    <x v="3"/>
    <n v="6"/>
    <x v="2"/>
  </r>
  <r>
    <s v="TX500844"/>
    <x v="6"/>
    <x v="14"/>
    <n v="96"/>
    <n v="1632"/>
    <x v="34"/>
    <x v="31"/>
    <x v="2"/>
    <x v="4"/>
    <x v="1"/>
    <x v="0"/>
    <x v="18"/>
    <x v="2"/>
    <n v="6"/>
    <x v="2"/>
  </r>
  <r>
    <s v="TX500845"/>
    <x v="1"/>
    <x v="0"/>
    <n v="83.6"/>
    <n v="83.6"/>
    <x v="34"/>
    <x v="31"/>
    <x v="2"/>
    <x v="2"/>
    <x v="1"/>
    <x v="0"/>
    <x v="19"/>
    <x v="2"/>
    <n v="6"/>
    <x v="2"/>
  </r>
  <r>
    <s v="TX500846"/>
    <x v="2"/>
    <x v="13"/>
    <n v="72.599999999999994"/>
    <n v="435.59999999999997"/>
    <x v="34"/>
    <x v="36"/>
    <x v="2"/>
    <x v="0"/>
    <x v="0"/>
    <x v="0"/>
    <x v="21"/>
    <x v="3"/>
    <n v="6"/>
    <x v="2"/>
  </r>
  <r>
    <s v="TX500847"/>
    <x v="5"/>
    <x v="28"/>
    <n v="69.099999999999994"/>
    <n v="1382"/>
    <x v="35"/>
    <x v="40"/>
    <x v="1"/>
    <x v="0"/>
    <x v="2"/>
    <x v="0"/>
    <x v="21"/>
    <x v="4"/>
    <n v="6"/>
    <x v="1"/>
  </r>
  <r>
    <s v="TX500848"/>
    <x v="4"/>
    <x v="1"/>
    <n v="22.6"/>
    <n v="45.2"/>
    <x v="35"/>
    <x v="31"/>
    <x v="2"/>
    <x v="1"/>
    <x v="2"/>
    <x v="0"/>
    <x v="21"/>
    <x v="1"/>
    <n v="6"/>
    <x v="2"/>
  </r>
  <r>
    <s v="TX500849"/>
    <x v="6"/>
    <x v="1"/>
    <n v="45.3"/>
    <n v="90.6"/>
    <x v="35"/>
    <x v="35"/>
    <x v="1"/>
    <x v="4"/>
    <x v="2"/>
    <x v="0"/>
    <x v="21"/>
    <x v="5"/>
    <n v="6"/>
    <x v="1"/>
  </r>
  <r>
    <s v="TX500850"/>
    <x v="2"/>
    <x v="1"/>
    <n v="115.1"/>
    <n v="230.2"/>
    <x v="35"/>
    <x v="38"/>
    <x v="2"/>
    <x v="1"/>
    <x v="0"/>
    <x v="0"/>
    <x v="1"/>
    <x v="3"/>
    <n v="6"/>
    <x v="2"/>
  </r>
  <r>
    <s v="TX500851"/>
    <x v="18"/>
    <x v="12"/>
    <n v="79"/>
    <n v="316"/>
    <x v="35"/>
    <x v="31"/>
    <x v="1"/>
    <x v="2"/>
    <x v="4"/>
    <x v="0"/>
    <x v="1"/>
    <x v="1"/>
    <n v="6"/>
    <x v="1"/>
  </r>
  <r>
    <s v="TX500852"/>
    <x v="6"/>
    <x v="9"/>
    <n v="52.8"/>
    <n v="264"/>
    <x v="35"/>
    <x v="38"/>
    <x v="2"/>
    <x v="0"/>
    <x v="0"/>
    <x v="0"/>
    <x v="42"/>
    <x v="3"/>
    <n v="6"/>
    <x v="2"/>
  </r>
  <r>
    <s v="TX500853"/>
    <x v="8"/>
    <x v="1"/>
    <n v="34.1"/>
    <n v="68.2"/>
    <x v="35"/>
    <x v="38"/>
    <x v="1"/>
    <x v="3"/>
    <x v="2"/>
    <x v="0"/>
    <x v="44"/>
    <x v="3"/>
    <n v="6"/>
    <x v="1"/>
  </r>
  <r>
    <s v="TX500854"/>
    <x v="6"/>
    <x v="9"/>
    <n v="107.9"/>
    <n v="539.5"/>
    <x v="35"/>
    <x v="36"/>
    <x v="2"/>
    <x v="0"/>
    <x v="2"/>
    <x v="0"/>
    <x v="50"/>
    <x v="7"/>
    <n v="6"/>
    <x v="2"/>
  </r>
  <r>
    <s v="TX500855"/>
    <x v="8"/>
    <x v="15"/>
    <n v="48.5"/>
    <n v="630.5"/>
    <x v="35"/>
    <x v="36"/>
    <x v="1"/>
    <x v="2"/>
    <x v="2"/>
    <x v="0"/>
    <x v="3"/>
    <x v="7"/>
    <n v="6"/>
    <x v="1"/>
  </r>
  <r>
    <s v="TX500856"/>
    <x v="5"/>
    <x v="2"/>
    <n v="34.700000000000003"/>
    <n v="104.10000000000001"/>
    <x v="35"/>
    <x v="38"/>
    <x v="0"/>
    <x v="4"/>
    <x v="1"/>
    <x v="0"/>
    <x v="3"/>
    <x v="3"/>
    <n v="6"/>
    <x v="0"/>
  </r>
  <r>
    <s v="TX500857"/>
    <x v="8"/>
    <x v="0"/>
    <n v="16.8"/>
    <n v="16.8"/>
    <x v="35"/>
    <x v="31"/>
    <x v="2"/>
    <x v="3"/>
    <x v="0"/>
    <x v="0"/>
    <x v="3"/>
    <x v="1"/>
    <n v="6"/>
    <x v="2"/>
  </r>
  <r>
    <s v="TX500858"/>
    <x v="8"/>
    <x v="13"/>
    <n v="18.3"/>
    <n v="109.80000000000001"/>
    <x v="35"/>
    <x v="39"/>
    <x v="2"/>
    <x v="0"/>
    <x v="0"/>
    <x v="0"/>
    <x v="3"/>
    <x v="2"/>
    <n v="6"/>
    <x v="2"/>
  </r>
  <r>
    <s v="TX500859"/>
    <x v="18"/>
    <x v="2"/>
    <n v="55.9"/>
    <n v="167.7"/>
    <x v="35"/>
    <x v="40"/>
    <x v="1"/>
    <x v="3"/>
    <x v="1"/>
    <x v="0"/>
    <x v="3"/>
    <x v="4"/>
    <n v="6"/>
    <x v="1"/>
  </r>
  <r>
    <s v="TX500860"/>
    <x v="8"/>
    <x v="2"/>
    <n v="39.200000000000003"/>
    <n v="117.60000000000001"/>
    <x v="35"/>
    <x v="31"/>
    <x v="2"/>
    <x v="0"/>
    <x v="1"/>
    <x v="0"/>
    <x v="3"/>
    <x v="1"/>
    <n v="6"/>
    <x v="2"/>
  </r>
  <r>
    <s v="TX500861"/>
    <x v="15"/>
    <x v="12"/>
    <n v="66.5"/>
    <n v="266"/>
    <x v="35"/>
    <x v="31"/>
    <x v="0"/>
    <x v="3"/>
    <x v="1"/>
    <x v="0"/>
    <x v="3"/>
    <x v="1"/>
    <n v="6"/>
    <x v="0"/>
  </r>
  <r>
    <s v="TX500862"/>
    <x v="6"/>
    <x v="13"/>
    <n v="52.1"/>
    <n v="312.60000000000002"/>
    <x v="35"/>
    <x v="31"/>
    <x v="1"/>
    <x v="1"/>
    <x v="1"/>
    <x v="0"/>
    <x v="16"/>
    <x v="1"/>
    <n v="6"/>
    <x v="1"/>
  </r>
  <r>
    <s v="TX500863"/>
    <x v="8"/>
    <x v="1"/>
    <n v="19"/>
    <n v="38"/>
    <x v="35"/>
    <x v="38"/>
    <x v="1"/>
    <x v="4"/>
    <x v="2"/>
    <x v="0"/>
    <x v="6"/>
    <x v="3"/>
    <n v="6"/>
    <x v="1"/>
  </r>
  <r>
    <s v="TX500864"/>
    <x v="7"/>
    <x v="2"/>
    <n v="84.8"/>
    <n v="254.39999999999998"/>
    <x v="35"/>
    <x v="31"/>
    <x v="2"/>
    <x v="2"/>
    <x v="0"/>
    <x v="0"/>
    <x v="8"/>
    <x v="1"/>
    <n v="6"/>
    <x v="2"/>
  </r>
  <r>
    <s v="TX500865"/>
    <x v="2"/>
    <x v="12"/>
    <n v="63.9"/>
    <n v="255.6"/>
    <x v="35"/>
    <x v="39"/>
    <x v="2"/>
    <x v="0"/>
    <x v="0"/>
    <x v="0"/>
    <x v="8"/>
    <x v="2"/>
    <n v="6"/>
    <x v="2"/>
  </r>
  <r>
    <s v="TX500866"/>
    <x v="2"/>
    <x v="2"/>
    <n v="65.5"/>
    <n v="196.5"/>
    <x v="35"/>
    <x v="36"/>
    <x v="2"/>
    <x v="1"/>
    <x v="1"/>
    <x v="0"/>
    <x v="8"/>
    <x v="7"/>
    <n v="6"/>
    <x v="2"/>
  </r>
  <r>
    <s v="TX500867"/>
    <x v="12"/>
    <x v="1"/>
    <n v="116.2"/>
    <n v="232.4"/>
    <x v="35"/>
    <x v="40"/>
    <x v="1"/>
    <x v="3"/>
    <x v="0"/>
    <x v="0"/>
    <x v="17"/>
    <x v="4"/>
    <n v="6"/>
    <x v="1"/>
  </r>
  <r>
    <s v="TX500868"/>
    <x v="10"/>
    <x v="12"/>
    <n v="22.9"/>
    <n v="91.6"/>
    <x v="35"/>
    <x v="31"/>
    <x v="2"/>
    <x v="2"/>
    <x v="1"/>
    <x v="0"/>
    <x v="38"/>
    <x v="1"/>
    <n v="6"/>
    <x v="2"/>
  </r>
  <r>
    <s v="TX500869"/>
    <x v="10"/>
    <x v="2"/>
    <n v="53.7"/>
    <n v="161.10000000000002"/>
    <x v="35"/>
    <x v="38"/>
    <x v="1"/>
    <x v="0"/>
    <x v="4"/>
    <x v="0"/>
    <x v="18"/>
    <x v="3"/>
    <n v="6"/>
    <x v="1"/>
  </r>
  <r>
    <s v="TX500870"/>
    <x v="6"/>
    <x v="9"/>
    <n v="43.2"/>
    <n v="216"/>
    <x v="35"/>
    <x v="31"/>
    <x v="2"/>
    <x v="0"/>
    <x v="0"/>
    <x v="0"/>
    <x v="19"/>
    <x v="1"/>
    <n v="6"/>
    <x v="2"/>
  </r>
  <r>
    <s v="TX500871"/>
    <x v="1"/>
    <x v="2"/>
    <n v="84.5"/>
    <n v="253.5"/>
    <x v="35"/>
    <x v="31"/>
    <x v="1"/>
    <x v="2"/>
    <x v="2"/>
    <x v="0"/>
    <x v="51"/>
    <x v="1"/>
    <n v="6"/>
    <x v="1"/>
  </r>
  <r>
    <s v="TX500872"/>
    <x v="3"/>
    <x v="1"/>
    <n v="42.2"/>
    <n v="84.4"/>
    <x v="35"/>
    <x v="38"/>
    <x v="2"/>
    <x v="1"/>
    <x v="2"/>
    <x v="0"/>
    <x v="1"/>
    <x v="3"/>
    <n v="6"/>
    <x v="2"/>
  </r>
  <r>
    <s v="TX500873"/>
    <x v="2"/>
    <x v="13"/>
    <n v="94.7"/>
    <n v="568.20000000000005"/>
    <x v="35"/>
    <x v="39"/>
    <x v="2"/>
    <x v="1"/>
    <x v="2"/>
    <x v="0"/>
    <x v="2"/>
    <x v="2"/>
    <n v="6"/>
    <x v="2"/>
  </r>
  <r>
    <s v="TX500874"/>
    <x v="8"/>
    <x v="16"/>
    <n v="16.7"/>
    <n v="300.59999999999997"/>
    <x v="35"/>
    <x v="43"/>
    <x v="2"/>
    <x v="0"/>
    <x v="2"/>
    <x v="0"/>
    <x v="2"/>
    <x v="13"/>
    <n v="6"/>
    <x v="2"/>
  </r>
  <r>
    <s v="TX500875"/>
    <x v="2"/>
    <x v="1"/>
    <n v="83.6"/>
    <n v="167.2"/>
    <x v="35"/>
    <x v="40"/>
    <x v="2"/>
    <x v="1"/>
    <x v="0"/>
    <x v="0"/>
    <x v="3"/>
    <x v="4"/>
    <n v="6"/>
    <x v="2"/>
  </r>
  <r>
    <s v="TX500876"/>
    <x v="7"/>
    <x v="13"/>
    <n v="33.6"/>
    <n v="201.60000000000002"/>
    <x v="36"/>
    <x v="31"/>
    <x v="2"/>
    <x v="3"/>
    <x v="0"/>
    <x v="0"/>
    <x v="3"/>
    <x v="3"/>
    <n v="6"/>
    <x v="2"/>
  </r>
  <r>
    <s v="TX500877"/>
    <x v="7"/>
    <x v="1"/>
    <n v="64.7"/>
    <n v="129.4"/>
    <x v="36"/>
    <x v="39"/>
    <x v="1"/>
    <x v="1"/>
    <x v="2"/>
    <x v="0"/>
    <x v="3"/>
    <x v="1"/>
    <n v="6"/>
    <x v="1"/>
  </r>
  <r>
    <s v="TX500878"/>
    <x v="0"/>
    <x v="2"/>
    <n v="15.7"/>
    <n v="47.099999999999994"/>
    <x v="36"/>
    <x v="44"/>
    <x v="2"/>
    <x v="0"/>
    <x v="0"/>
    <x v="0"/>
    <x v="3"/>
    <x v="4"/>
    <n v="6"/>
    <x v="2"/>
  </r>
  <r>
    <s v="TX500879"/>
    <x v="15"/>
    <x v="13"/>
    <n v="49.4"/>
    <n v="296.39999999999998"/>
    <x v="36"/>
    <x v="38"/>
    <x v="1"/>
    <x v="1"/>
    <x v="0"/>
    <x v="0"/>
    <x v="3"/>
    <x v="7"/>
    <n v="6"/>
    <x v="1"/>
  </r>
  <r>
    <s v="TX500880"/>
    <x v="10"/>
    <x v="13"/>
    <n v="37"/>
    <n v="222"/>
    <x v="36"/>
    <x v="35"/>
    <x v="2"/>
    <x v="1"/>
    <x v="2"/>
    <x v="0"/>
    <x v="3"/>
    <x v="2"/>
    <n v="6"/>
    <x v="2"/>
  </r>
  <r>
    <s v="TX500881"/>
    <x v="2"/>
    <x v="1"/>
    <n v="83.7"/>
    <n v="167.4"/>
    <x v="36"/>
    <x v="39"/>
    <x v="2"/>
    <x v="3"/>
    <x v="2"/>
    <x v="0"/>
    <x v="3"/>
    <x v="1"/>
    <n v="6"/>
    <x v="2"/>
  </r>
  <r>
    <s v="TX500882"/>
    <x v="1"/>
    <x v="9"/>
    <n v="35.1"/>
    <n v="175.5"/>
    <x v="36"/>
    <x v="31"/>
    <x v="2"/>
    <x v="0"/>
    <x v="0"/>
    <x v="0"/>
    <x v="3"/>
    <x v="3"/>
    <n v="6"/>
    <x v="2"/>
  </r>
  <r>
    <s v="TX500883"/>
    <x v="16"/>
    <x v="8"/>
    <n v="74"/>
    <n v="592"/>
    <x v="36"/>
    <x v="31"/>
    <x v="2"/>
    <x v="4"/>
    <x v="0"/>
    <x v="0"/>
    <x v="37"/>
    <x v="3"/>
    <n v="6"/>
    <x v="2"/>
  </r>
  <r>
    <s v="TX500884"/>
    <x v="6"/>
    <x v="25"/>
    <n v="55.5"/>
    <n v="1332"/>
    <x v="36"/>
    <x v="35"/>
    <x v="1"/>
    <x v="3"/>
    <x v="0"/>
    <x v="0"/>
    <x v="49"/>
    <x v="2"/>
    <n v="6"/>
    <x v="1"/>
  </r>
  <r>
    <s v="TX500885"/>
    <x v="11"/>
    <x v="1"/>
    <n v="38.9"/>
    <n v="77.8"/>
    <x v="36"/>
    <x v="39"/>
    <x v="2"/>
    <x v="1"/>
    <x v="2"/>
    <x v="0"/>
    <x v="25"/>
    <x v="1"/>
    <n v="6"/>
    <x v="2"/>
  </r>
  <r>
    <s v="TX500886"/>
    <x v="16"/>
    <x v="1"/>
    <n v="64.599999999999994"/>
    <n v="129.19999999999999"/>
    <x v="36"/>
    <x v="45"/>
    <x v="1"/>
    <x v="2"/>
    <x v="1"/>
    <x v="0"/>
    <x v="25"/>
    <x v="6"/>
    <n v="6"/>
    <x v="1"/>
  </r>
  <r>
    <s v="TX500887"/>
    <x v="2"/>
    <x v="2"/>
    <n v="95.3"/>
    <n v="285.89999999999998"/>
    <x v="36"/>
    <x v="31"/>
    <x v="1"/>
    <x v="0"/>
    <x v="0"/>
    <x v="0"/>
    <x v="5"/>
    <x v="3"/>
    <n v="6"/>
    <x v="1"/>
  </r>
  <r>
    <s v="TX500888"/>
    <x v="13"/>
    <x v="2"/>
    <n v="25.8"/>
    <n v="77.400000000000006"/>
    <x v="36"/>
    <x v="31"/>
    <x v="2"/>
    <x v="1"/>
    <x v="1"/>
    <x v="0"/>
    <x v="6"/>
    <x v="3"/>
    <n v="6"/>
    <x v="2"/>
  </r>
  <r>
    <s v="TX500889"/>
    <x v="0"/>
    <x v="1"/>
    <n v="11.6"/>
    <n v="23.2"/>
    <x v="36"/>
    <x v="37"/>
    <x v="2"/>
    <x v="1"/>
    <x v="1"/>
    <x v="0"/>
    <x v="6"/>
    <x v="5"/>
    <n v="6"/>
    <x v="2"/>
  </r>
  <r>
    <s v="TX500890"/>
    <x v="7"/>
    <x v="0"/>
    <n v="52.3"/>
    <n v="52.3"/>
    <x v="36"/>
    <x v="31"/>
    <x v="2"/>
    <x v="1"/>
    <x v="0"/>
    <x v="0"/>
    <x v="8"/>
    <x v="3"/>
    <n v="6"/>
    <x v="2"/>
  </r>
  <r>
    <s v="TX500891"/>
    <x v="2"/>
    <x v="7"/>
    <n v="112.2"/>
    <n v="1122"/>
    <x v="36"/>
    <x v="31"/>
    <x v="2"/>
    <x v="1"/>
    <x v="1"/>
    <x v="0"/>
    <x v="8"/>
    <x v="3"/>
    <n v="6"/>
    <x v="2"/>
  </r>
  <r>
    <s v="TX500892"/>
    <x v="4"/>
    <x v="9"/>
    <n v="34.6"/>
    <n v="173"/>
    <x v="36"/>
    <x v="39"/>
    <x v="1"/>
    <x v="2"/>
    <x v="0"/>
    <x v="0"/>
    <x v="8"/>
    <x v="1"/>
    <n v="6"/>
    <x v="1"/>
  </r>
  <r>
    <s v="TX500893"/>
    <x v="14"/>
    <x v="12"/>
    <n v="20.100000000000001"/>
    <n v="80.400000000000006"/>
    <x v="36"/>
    <x v="44"/>
    <x v="1"/>
    <x v="1"/>
    <x v="2"/>
    <x v="0"/>
    <x v="8"/>
    <x v="4"/>
    <n v="6"/>
    <x v="1"/>
  </r>
  <r>
    <s v="TX500894"/>
    <x v="2"/>
    <x v="12"/>
    <n v="56.4"/>
    <n v="225.6"/>
    <x v="36"/>
    <x v="39"/>
    <x v="2"/>
    <x v="2"/>
    <x v="0"/>
    <x v="0"/>
    <x v="10"/>
    <x v="1"/>
    <n v="6"/>
    <x v="2"/>
  </r>
  <r>
    <s v="TX500895"/>
    <x v="13"/>
    <x v="11"/>
    <n v="55.3"/>
    <n v="497.7"/>
    <x v="36"/>
    <x v="39"/>
    <x v="2"/>
    <x v="1"/>
    <x v="4"/>
    <x v="0"/>
    <x v="11"/>
    <x v="1"/>
    <n v="6"/>
    <x v="2"/>
  </r>
  <r>
    <s v="TX500896"/>
    <x v="2"/>
    <x v="31"/>
    <n v="75.5"/>
    <n v="2114"/>
    <x v="36"/>
    <x v="31"/>
    <x v="2"/>
    <x v="0"/>
    <x v="0"/>
    <x v="0"/>
    <x v="11"/>
    <x v="3"/>
    <n v="6"/>
    <x v="2"/>
  </r>
  <r>
    <s v="TX500897"/>
    <x v="8"/>
    <x v="0"/>
    <n v="23.6"/>
    <n v="23.6"/>
    <x v="36"/>
    <x v="40"/>
    <x v="2"/>
    <x v="0"/>
    <x v="0"/>
    <x v="0"/>
    <x v="19"/>
    <x v="0"/>
    <n v="6"/>
    <x v="2"/>
  </r>
  <r>
    <s v="TX500898"/>
    <x v="9"/>
    <x v="1"/>
    <n v="70.7"/>
    <n v="141.4"/>
    <x v="36"/>
    <x v="39"/>
    <x v="2"/>
    <x v="2"/>
    <x v="0"/>
    <x v="0"/>
    <x v="19"/>
    <x v="1"/>
    <n v="6"/>
    <x v="2"/>
  </r>
  <r>
    <s v="TX500899"/>
    <x v="12"/>
    <x v="1"/>
    <n v="43.2"/>
    <n v="86.4"/>
    <x v="36"/>
    <x v="31"/>
    <x v="2"/>
    <x v="2"/>
    <x v="0"/>
    <x v="0"/>
    <x v="31"/>
    <x v="3"/>
    <n v="6"/>
    <x v="2"/>
  </r>
  <r>
    <s v="TX500900"/>
    <x v="9"/>
    <x v="11"/>
    <n v="70"/>
    <n v="630"/>
    <x v="36"/>
    <x v="31"/>
    <x v="0"/>
    <x v="1"/>
    <x v="0"/>
    <x v="0"/>
    <x v="52"/>
    <x v="3"/>
    <n v="6"/>
    <x v="0"/>
  </r>
  <r>
    <s v="TX500901"/>
    <x v="0"/>
    <x v="1"/>
    <n v="20.5"/>
    <n v="41"/>
    <x v="36"/>
    <x v="39"/>
    <x v="2"/>
    <x v="2"/>
    <x v="4"/>
    <x v="0"/>
    <x v="13"/>
    <x v="1"/>
    <n v="6"/>
    <x v="2"/>
  </r>
  <r>
    <s v="TX500902"/>
    <x v="0"/>
    <x v="12"/>
    <n v="29.1"/>
    <n v="116.4"/>
    <x v="36"/>
    <x v="31"/>
    <x v="2"/>
    <x v="3"/>
    <x v="0"/>
    <x v="0"/>
    <x v="28"/>
    <x v="3"/>
    <n v="6"/>
    <x v="2"/>
  </r>
  <r>
    <s v="TX500903"/>
    <x v="6"/>
    <x v="11"/>
    <n v="53.6"/>
    <n v="482.40000000000003"/>
    <x v="36"/>
    <x v="31"/>
    <x v="1"/>
    <x v="2"/>
    <x v="1"/>
    <x v="0"/>
    <x v="3"/>
    <x v="3"/>
    <n v="6"/>
    <x v="1"/>
  </r>
  <r>
    <s v="TX500904"/>
    <x v="6"/>
    <x v="9"/>
    <n v="72.3"/>
    <n v="361.5"/>
    <x v="36"/>
    <x v="39"/>
    <x v="2"/>
    <x v="1"/>
    <x v="0"/>
    <x v="0"/>
    <x v="3"/>
    <x v="1"/>
    <n v="6"/>
    <x v="2"/>
  </r>
  <r>
    <s v="TX500905"/>
    <x v="13"/>
    <x v="12"/>
    <n v="22.6"/>
    <n v="90.4"/>
    <x v="36"/>
    <x v="35"/>
    <x v="3"/>
    <x v="0"/>
    <x v="1"/>
    <x v="0"/>
    <x v="3"/>
    <x v="2"/>
    <n v="6"/>
    <x v="3"/>
  </r>
  <r>
    <s v="TX500906"/>
    <x v="9"/>
    <x v="1"/>
    <n v="44.2"/>
    <n v="88.4"/>
    <x v="36"/>
    <x v="37"/>
    <x v="0"/>
    <x v="2"/>
    <x v="4"/>
    <x v="0"/>
    <x v="3"/>
    <x v="5"/>
    <n v="6"/>
    <x v="0"/>
  </r>
  <r>
    <s v="TX500907"/>
    <x v="9"/>
    <x v="2"/>
    <n v="94.1"/>
    <n v="282.29999999999995"/>
    <x v="36"/>
    <x v="46"/>
    <x v="2"/>
    <x v="2"/>
    <x v="2"/>
    <x v="0"/>
    <x v="3"/>
    <x v="10"/>
    <n v="6"/>
    <x v="2"/>
  </r>
  <r>
    <s v="TX500908"/>
    <x v="8"/>
    <x v="2"/>
    <n v="17.899999999999999"/>
    <n v="53.699999999999996"/>
    <x v="36"/>
    <x v="39"/>
    <x v="1"/>
    <x v="1"/>
    <x v="1"/>
    <x v="0"/>
    <x v="3"/>
    <x v="1"/>
    <n v="6"/>
    <x v="1"/>
  </r>
  <r>
    <s v="TX500909"/>
    <x v="12"/>
    <x v="3"/>
    <n v="52.7"/>
    <n v="368.90000000000003"/>
    <x v="36"/>
    <x v="31"/>
    <x v="1"/>
    <x v="1"/>
    <x v="1"/>
    <x v="0"/>
    <x v="3"/>
    <x v="3"/>
    <n v="6"/>
    <x v="1"/>
  </r>
  <r>
    <s v="TX500910"/>
    <x v="8"/>
    <x v="0"/>
    <n v="36.799999999999997"/>
    <n v="36.799999999999997"/>
    <x v="36"/>
    <x v="38"/>
    <x v="0"/>
    <x v="0"/>
    <x v="2"/>
    <x v="0"/>
    <x v="3"/>
    <x v="7"/>
    <n v="6"/>
    <x v="0"/>
  </r>
  <r>
    <s v="TX500911"/>
    <x v="4"/>
    <x v="0"/>
    <n v="52.5"/>
    <n v="52.5"/>
    <x v="36"/>
    <x v="31"/>
    <x v="1"/>
    <x v="0"/>
    <x v="1"/>
    <x v="0"/>
    <x v="6"/>
    <x v="3"/>
    <n v="6"/>
    <x v="1"/>
  </r>
  <r>
    <s v="TX500912"/>
    <x v="2"/>
    <x v="1"/>
    <n v="133.80000000000001"/>
    <n v="267.60000000000002"/>
    <x v="36"/>
    <x v="39"/>
    <x v="1"/>
    <x v="0"/>
    <x v="1"/>
    <x v="0"/>
    <x v="7"/>
    <x v="1"/>
    <n v="6"/>
    <x v="1"/>
  </r>
  <r>
    <s v="TX500913"/>
    <x v="6"/>
    <x v="1"/>
    <n v="53.2"/>
    <n v="106.4"/>
    <x v="36"/>
    <x v="39"/>
    <x v="1"/>
    <x v="0"/>
    <x v="0"/>
    <x v="0"/>
    <x v="17"/>
    <x v="1"/>
    <n v="6"/>
    <x v="1"/>
  </r>
  <r>
    <s v="TX500914"/>
    <x v="14"/>
    <x v="13"/>
    <n v="18.7"/>
    <n v="112.19999999999999"/>
    <x v="36"/>
    <x v="39"/>
    <x v="0"/>
    <x v="0"/>
    <x v="1"/>
    <x v="0"/>
    <x v="10"/>
    <x v="1"/>
    <n v="6"/>
    <x v="0"/>
  </r>
  <r>
    <s v="TX500915"/>
    <x v="6"/>
    <x v="12"/>
    <n v="108.8"/>
    <n v="435.2"/>
    <x v="36"/>
    <x v="31"/>
    <x v="2"/>
    <x v="3"/>
    <x v="2"/>
    <x v="0"/>
    <x v="11"/>
    <x v="3"/>
    <n v="6"/>
    <x v="2"/>
  </r>
  <r>
    <s v="TX500916"/>
    <x v="15"/>
    <x v="9"/>
    <n v="38.5"/>
    <n v="192.5"/>
    <x v="36"/>
    <x v="37"/>
    <x v="2"/>
    <x v="0"/>
    <x v="1"/>
    <x v="0"/>
    <x v="14"/>
    <x v="5"/>
    <n v="6"/>
    <x v="2"/>
  </r>
  <r>
    <s v="TX500917"/>
    <x v="10"/>
    <x v="7"/>
    <n v="46.5"/>
    <n v="465"/>
    <x v="36"/>
    <x v="39"/>
    <x v="1"/>
    <x v="2"/>
    <x v="1"/>
    <x v="0"/>
    <x v="2"/>
    <x v="1"/>
    <n v="6"/>
    <x v="1"/>
  </r>
  <r>
    <s v="TX500918"/>
    <x v="2"/>
    <x v="2"/>
    <n v="75.8"/>
    <n v="227.39999999999998"/>
    <x v="36"/>
    <x v="37"/>
    <x v="2"/>
    <x v="1"/>
    <x v="4"/>
    <x v="0"/>
    <x v="44"/>
    <x v="5"/>
    <n v="6"/>
    <x v="2"/>
  </r>
  <r>
    <s v="TX500919"/>
    <x v="8"/>
    <x v="0"/>
    <n v="20.9"/>
    <n v="20.9"/>
    <x v="36"/>
    <x v="37"/>
    <x v="1"/>
    <x v="0"/>
    <x v="0"/>
    <x v="0"/>
    <x v="22"/>
    <x v="5"/>
    <n v="6"/>
    <x v="1"/>
  </r>
  <r>
    <s v="TX500920"/>
    <x v="18"/>
    <x v="2"/>
    <n v="47.4"/>
    <n v="142.19999999999999"/>
    <x v="36"/>
    <x v="35"/>
    <x v="2"/>
    <x v="0"/>
    <x v="0"/>
    <x v="0"/>
    <x v="3"/>
    <x v="2"/>
    <n v="6"/>
    <x v="2"/>
  </r>
  <r>
    <s v="TX500921"/>
    <x v="9"/>
    <x v="1"/>
    <n v="53.8"/>
    <n v="107.6"/>
    <x v="36"/>
    <x v="31"/>
    <x v="0"/>
    <x v="0"/>
    <x v="1"/>
    <x v="0"/>
    <x v="3"/>
    <x v="3"/>
    <n v="6"/>
    <x v="0"/>
  </r>
  <r>
    <s v="TX500922"/>
    <x v="8"/>
    <x v="2"/>
    <n v="24.6"/>
    <n v="73.800000000000011"/>
    <x v="36"/>
    <x v="39"/>
    <x v="3"/>
    <x v="1"/>
    <x v="2"/>
    <x v="0"/>
    <x v="3"/>
    <x v="1"/>
    <n v="6"/>
    <x v="3"/>
  </r>
  <r>
    <s v="TX500923"/>
    <x v="9"/>
    <x v="2"/>
    <n v="70.900000000000006"/>
    <n v="212.70000000000002"/>
    <x v="36"/>
    <x v="40"/>
    <x v="2"/>
    <x v="2"/>
    <x v="2"/>
    <x v="0"/>
    <x v="3"/>
    <x v="0"/>
    <n v="6"/>
    <x v="2"/>
  </r>
  <r>
    <s v="TX500924"/>
    <x v="17"/>
    <x v="2"/>
    <n v="31.9"/>
    <n v="95.699999999999989"/>
    <x v="36"/>
    <x v="39"/>
    <x v="2"/>
    <x v="2"/>
    <x v="2"/>
    <x v="0"/>
    <x v="3"/>
    <x v="1"/>
    <n v="6"/>
    <x v="2"/>
  </r>
  <r>
    <s v="TX500925"/>
    <x v="0"/>
    <x v="1"/>
    <n v="20.399999999999999"/>
    <n v="40.799999999999997"/>
    <x v="36"/>
    <x v="37"/>
    <x v="1"/>
    <x v="3"/>
    <x v="2"/>
    <x v="0"/>
    <x v="3"/>
    <x v="5"/>
    <n v="6"/>
    <x v="1"/>
  </r>
  <r>
    <s v="TX500926"/>
    <x v="8"/>
    <x v="1"/>
    <n v="18.600000000000001"/>
    <n v="37.200000000000003"/>
    <x v="36"/>
    <x v="39"/>
    <x v="0"/>
    <x v="0"/>
    <x v="1"/>
    <x v="0"/>
    <x v="3"/>
    <x v="1"/>
    <n v="6"/>
    <x v="0"/>
  </r>
  <r>
    <s v="TX500927"/>
    <x v="4"/>
    <x v="9"/>
    <n v="48.3"/>
    <n v="241.5"/>
    <x v="36"/>
    <x v="39"/>
    <x v="2"/>
    <x v="1"/>
    <x v="0"/>
    <x v="0"/>
    <x v="3"/>
    <x v="1"/>
    <n v="6"/>
    <x v="2"/>
  </r>
  <r>
    <s v="TX500928"/>
    <x v="0"/>
    <x v="12"/>
    <n v="27.7"/>
    <n v="110.8"/>
    <x v="36"/>
    <x v="39"/>
    <x v="2"/>
    <x v="0"/>
    <x v="0"/>
    <x v="0"/>
    <x v="3"/>
    <x v="1"/>
    <n v="6"/>
    <x v="2"/>
  </r>
  <r>
    <s v="TX500929"/>
    <x v="4"/>
    <x v="9"/>
    <n v="22.5"/>
    <n v="112.5"/>
    <x v="36"/>
    <x v="39"/>
    <x v="2"/>
    <x v="4"/>
    <x v="2"/>
    <x v="0"/>
    <x v="3"/>
    <x v="1"/>
    <n v="6"/>
    <x v="2"/>
  </r>
  <r>
    <s v="TX500930"/>
    <x v="17"/>
    <x v="9"/>
    <n v="21.6"/>
    <n v="108"/>
    <x v="36"/>
    <x v="42"/>
    <x v="2"/>
    <x v="0"/>
    <x v="1"/>
    <x v="0"/>
    <x v="3"/>
    <x v="9"/>
    <n v="6"/>
    <x v="2"/>
  </r>
  <r>
    <s v="TX500931"/>
    <x v="10"/>
    <x v="3"/>
    <n v="26.3"/>
    <n v="184.1"/>
    <x v="36"/>
    <x v="38"/>
    <x v="2"/>
    <x v="2"/>
    <x v="1"/>
    <x v="0"/>
    <x v="3"/>
    <x v="7"/>
    <n v="6"/>
    <x v="2"/>
  </r>
  <r>
    <s v="TX500932"/>
    <x v="6"/>
    <x v="3"/>
    <n v="103"/>
    <n v="721"/>
    <x v="37"/>
    <x v="39"/>
    <x v="1"/>
    <x v="0"/>
    <x v="2"/>
    <x v="0"/>
    <x v="6"/>
    <x v="3"/>
    <n v="6"/>
    <x v="1"/>
  </r>
  <r>
    <s v="TX500933"/>
    <x v="5"/>
    <x v="20"/>
    <n v="46.6"/>
    <n v="699"/>
    <x v="37"/>
    <x v="39"/>
    <x v="2"/>
    <x v="0"/>
    <x v="1"/>
    <x v="0"/>
    <x v="6"/>
    <x v="3"/>
    <n v="6"/>
    <x v="2"/>
  </r>
  <r>
    <s v="TX500934"/>
    <x v="0"/>
    <x v="9"/>
    <n v="32.200000000000003"/>
    <n v="161"/>
    <x v="37"/>
    <x v="37"/>
    <x v="2"/>
    <x v="0"/>
    <x v="2"/>
    <x v="0"/>
    <x v="36"/>
    <x v="2"/>
    <n v="6"/>
    <x v="2"/>
  </r>
  <r>
    <s v="TX500935"/>
    <x v="8"/>
    <x v="2"/>
    <n v="22"/>
    <n v="66"/>
    <x v="37"/>
    <x v="42"/>
    <x v="1"/>
    <x v="1"/>
    <x v="0"/>
    <x v="0"/>
    <x v="7"/>
    <x v="6"/>
    <n v="6"/>
    <x v="1"/>
  </r>
  <r>
    <s v="TX500936"/>
    <x v="0"/>
    <x v="1"/>
    <n v="25.2"/>
    <n v="50.4"/>
    <x v="37"/>
    <x v="40"/>
    <x v="2"/>
    <x v="0"/>
    <x v="0"/>
    <x v="0"/>
    <x v="7"/>
    <x v="5"/>
    <n v="6"/>
    <x v="2"/>
  </r>
  <r>
    <s v="TX500937"/>
    <x v="1"/>
    <x v="13"/>
    <n v="68.7"/>
    <n v="412.20000000000005"/>
    <x v="37"/>
    <x v="35"/>
    <x v="1"/>
    <x v="4"/>
    <x v="0"/>
    <x v="0"/>
    <x v="8"/>
    <x v="1"/>
    <n v="6"/>
    <x v="1"/>
  </r>
  <r>
    <s v="TX500938"/>
    <x v="0"/>
    <x v="2"/>
    <n v="22.2"/>
    <n v="66.599999999999994"/>
    <x v="37"/>
    <x v="37"/>
    <x v="1"/>
    <x v="2"/>
    <x v="2"/>
    <x v="0"/>
    <x v="8"/>
    <x v="2"/>
    <n v="6"/>
    <x v="1"/>
  </r>
  <r>
    <s v="TX500939"/>
    <x v="1"/>
    <x v="3"/>
    <n v="36"/>
    <n v="252"/>
    <x v="37"/>
    <x v="39"/>
    <x v="2"/>
    <x v="1"/>
    <x v="0"/>
    <x v="0"/>
    <x v="8"/>
    <x v="3"/>
    <n v="6"/>
    <x v="2"/>
  </r>
  <r>
    <s v="TX500940"/>
    <x v="18"/>
    <x v="0"/>
    <n v="50.6"/>
    <n v="50.6"/>
    <x v="37"/>
    <x v="35"/>
    <x v="2"/>
    <x v="0"/>
    <x v="1"/>
    <x v="0"/>
    <x v="8"/>
    <x v="1"/>
    <n v="6"/>
    <x v="2"/>
  </r>
  <r>
    <s v="TX500941"/>
    <x v="15"/>
    <x v="1"/>
    <n v="44.9"/>
    <n v="89.8"/>
    <x v="37"/>
    <x v="35"/>
    <x v="1"/>
    <x v="0"/>
    <x v="1"/>
    <x v="0"/>
    <x v="8"/>
    <x v="1"/>
    <n v="6"/>
    <x v="1"/>
  </r>
  <r>
    <s v="TX500942"/>
    <x v="6"/>
    <x v="2"/>
    <n v="71.599999999999994"/>
    <n v="214.79999999999998"/>
    <x v="37"/>
    <x v="40"/>
    <x v="1"/>
    <x v="1"/>
    <x v="2"/>
    <x v="0"/>
    <x v="10"/>
    <x v="5"/>
    <n v="6"/>
    <x v="1"/>
  </r>
  <r>
    <s v="TX500943"/>
    <x v="6"/>
    <x v="13"/>
    <n v="51.5"/>
    <n v="309"/>
    <x v="37"/>
    <x v="35"/>
    <x v="0"/>
    <x v="4"/>
    <x v="0"/>
    <x v="0"/>
    <x v="11"/>
    <x v="1"/>
    <n v="6"/>
    <x v="0"/>
  </r>
  <r>
    <s v="TX500944"/>
    <x v="7"/>
    <x v="9"/>
    <n v="55.5"/>
    <n v="277.5"/>
    <x v="37"/>
    <x v="39"/>
    <x v="1"/>
    <x v="1"/>
    <x v="1"/>
    <x v="0"/>
    <x v="11"/>
    <x v="3"/>
    <n v="6"/>
    <x v="1"/>
  </r>
  <r>
    <s v="TX500945"/>
    <x v="6"/>
    <x v="0"/>
    <n v="51.7"/>
    <n v="51.7"/>
    <x v="37"/>
    <x v="47"/>
    <x v="1"/>
    <x v="2"/>
    <x v="0"/>
    <x v="0"/>
    <x v="19"/>
    <x v="12"/>
    <n v="6"/>
    <x v="1"/>
  </r>
  <r>
    <s v="TX500946"/>
    <x v="8"/>
    <x v="38"/>
    <n v="45.5"/>
    <n v="955.5"/>
    <x v="37"/>
    <x v="39"/>
    <x v="2"/>
    <x v="3"/>
    <x v="2"/>
    <x v="0"/>
    <x v="19"/>
    <x v="3"/>
    <n v="6"/>
    <x v="2"/>
  </r>
  <r>
    <s v="TX500947"/>
    <x v="8"/>
    <x v="1"/>
    <n v="33.799999999999997"/>
    <n v="67.599999999999994"/>
    <x v="37"/>
    <x v="45"/>
    <x v="2"/>
    <x v="3"/>
    <x v="0"/>
    <x v="0"/>
    <x v="20"/>
    <x v="4"/>
    <n v="6"/>
    <x v="2"/>
  </r>
  <r>
    <s v="TX500948"/>
    <x v="3"/>
    <x v="2"/>
    <n v="76.5"/>
    <n v="229.5"/>
    <x v="37"/>
    <x v="39"/>
    <x v="2"/>
    <x v="0"/>
    <x v="1"/>
    <x v="0"/>
    <x v="21"/>
    <x v="3"/>
    <n v="6"/>
    <x v="2"/>
  </r>
  <r>
    <s v="TX500949"/>
    <x v="9"/>
    <x v="2"/>
    <n v="42.6"/>
    <n v="127.80000000000001"/>
    <x v="37"/>
    <x v="45"/>
    <x v="2"/>
    <x v="2"/>
    <x v="2"/>
    <x v="0"/>
    <x v="2"/>
    <x v="4"/>
    <n v="6"/>
    <x v="2"/>
  </r>
  <r>
    <s v="TX500950"/>
    <x v="6"/>
    <x v="2"/>
    <n v="44.1"/>
    <n v="132.30000000000001"/>
    <x v="37"/>
    <x v="35"/>
    <x v="2"/>
    <x v="1"/>
    <x v="1"/>
    <x v="0"/>
    <x v="22"/>
    <x v="1"/>
    <n v="6"/>
    <x v="2"/>
  </r>
  <r>
    <s v="TX500951"/>
    <x v="8"/>
    <x v="1"/>
    <n v="40.9"/>
    <n v="81.8"/>
    <x v="37"/>
    <x v="40"/>
    <x v="1"/>
    <x v="0"/>
    <x v="0"/>
    <x v="0"/>
    <x v="3"/>
    <x v="5"/>
    <n v="6"/>
    <x v="1"/>
  </r>
  <r>
    <s v="TX500952"/>
    <x v="9"/>
    <x v="2"/>
    <n v="49.1"/>
    <n v="147.30000000000001"/>
    <x v="37"/>
    <x v="40"/>
    <x v="2"/>
    <x v="3"/>
    <x v="1"/>
    <x v="0"/>
    <x v="3"/>
    <x v="5"/>
    <n v="6"/>
    <x v="2"/>
  </r>
  <r>
    <s v="TX500953"/>
    <x v="18"/>
    <x v="0"/>
    <n v="85.3"/>
    <n v="85.3"/>
    <x v="37"/>
    <x v="40"/>
    <x v="1"/>
    <x v="1"/>
    <x v="1"/>
    <x v="0"/>
    <x v="3"/>
    <x v="5"/>
    <n v="6"/>
    <x v="1"/>
  </r>
  <r>
    <s v="TX500954"/>
    <x v="6"/>
    <x v="12"/>
    <n v="43.1"/>
    <n v="172.4"/>
    <x v="38"/>
    <x v="40"/>
    <x v="1"/>
    <x v="0"/>
    <x v="0"/>
    <x v="0"/>
    <x v="3"/>
    <x v="2"/>
    <n v="6"/>
    <x v="1"/>
  </r>
  <r>
    <s v="TX500955"/>
    <x v="4"/>
    <x v="12"/>
    <n v="46.2"/>
    <n v="184.8"/>
    <x v="38"/>
    <x v="35"/>
    <x v="1"/>
    <x v="2"/>
    <x v="0"/>
    <x v="0"/>
    <x v="3"/>
    <x v="3"/>
    <n v="6"/>
    <x v="1"/>
  </r>
  <r>
    <s v="TX500956"/>
    <x v="1"/>
    <x v="0"/>
    <n v="74.400000000000006"/>
    <n v="74.400000000000006"/>
    <x v="38"/>
    <x v="37"/>
    <x v="1"/>
    <x v="4"/>
    <x v="2"/>
    <x v="0"/>
    <x v="3"/>
    <x v="1"/>
    <n v="6"/>
    <x v="1"/>
  </r>
  <r>
    <s v="TX500957"/>
    <x v="17"/>
    <x v="1"/>
    <n v="51.2"/>
    <n v="102.4"/>
    <x v="38"/>
    <x v="35"/>
    <x v="1"/>
    <x v="1"/>
    <x v="0"/>
    <x v="0"/>
    <x v="3"/>
    <x v="3"/>
    <n v="6"/>
    <x v="1"/>
  </r>
  <r>
    <s v="TX500958"/>
    <x v="14"/>
    <x v="12"/>
    <n v="11.8"/>
    <n v="47.2"/>
    <x v="38"/>
    <x v="39"/>
    <x v="1"/>
    <x v="2"/>
    <x v="0"/>
    <x v="0"/>
    <x v="3"/>
    <x v="7"/>
    <n v="6"/>
    <x v="1"/>
  </r>
  <r>
    <s v="TX500959"/>
    <x v="10"/>
    <x v="6"/>
    <n v="40.799999999999997"/>
    <n v="1101.5999999999999"/>
    <x v="38"/>
    <x v="35"/>
    <x v="2"/>
    <x v="3"/>
    <x v="2"/>
    <x v="0"/>
    <x v="3"/>
    <x v="3"/>
    <n v="6"/>
    <x v="2"/>
  </r>
  <r>
    <s v="TX500960"/>
    <x v="8"/>
    <x v="0"/>
    <n v="24.7"/>
    <n v="24.7"/>
    <x v="38"/>
    <x v="37"/>
    <x v="2"/>
    <x v="2"/>
    <x v="1"/>
    <x v="0"/>
    <x v="3"/>
    <x v="1"/>
    <n v="6"/>
    <x v="2"/>
  </r>
  <r>
    <s v="TX500961"/>
    <x v="8"/>
    <x v="3"/>
    <n v="22.1"/>
    <n v="154.70000000000002"/>
    <x v="38"/>
    <x v="39"/>
    <x v="2"/>
    <x v="2"/>
    <x v="4"/>
    <x v="0"/>
    <x v="3"/>
    <x v="7"/>
    <n v="6"/>
    <x v="2"/>
  </r>
  <r>
    <s v="TX500962"/>
    <x v="8"/>
    <x v="0"/>
    <n v="18.100000000000001"/>
    <n v="18.100000000000001"/>
    <x v="38"/>
    <x v="44"/>
    <x v="1"/>
    <x v="3"/>
    <x v="2"/>
    <x v="0"/>
    <x v="3"/>
    <x v="5"/>
    <n v="6"/>
    <x v="1"/>
  </r>
  <r>
    <s v="TX500963"/>
    <x v="17"/>
    <x v="1"/>
    <n v="58.8"/>
    <n v="117.6"/>
    <x v="38"/>
    <x v="40"/>
    <x v="2"/>
    <x v="0"/>
    <x v="0"/>
    <x v="0"/>
    <x v="25"/>
    <x v="2"/>
    <n v="6"/>
    <x v="2"/>
  </r>
  <r>
    <s v="TX500964"/>
    <x v="18"/>
    <x v="1"/>
    <n v="30.8"/>
    <n v="61.6"/>
    <x v="38"/>
    <x v="35"/>
    <x v="2"/>
    <x v="0"/>
    <x v="0"/>
    <x v="0"/>
    <x v="6"/>
    <x v="3"/>
    <n v="6"/>
    <x v="2"/>
  </r>
  <r>
    <s v="TX500965"/>
    <x v="0"/>
    <x v="1"/>
    <n v="12"/>
    <n v="24"/>
    <x v="38"/>
    <x v="44"/>
    <x v="2"/>
    <x v="0"/>
    <x v="0"/>
    <x v="0"/>
    <x v="6"/>
    <x v="5"/>
    <n v="6"/>
    <x v="2"/>
  </r>
  <r>
    <s v="TX500966"/>
    <x v="0"/>
    <x v="12"/>
    <n v="13.6"/>
    <n v="54.4"/>
    <x v="38"/>
    <x v="40"/>
    <x v="1"/>
    <x v="2"/>
    <x v="0"/>
    <x v="0"/>
    <x v="6"/>
    <x v="2"/>
    <n v="6"/>
    <x v="1"/>
  </r>
  <r>
    <s v="TX500967"/>
    <x v="0"/>
    <x v="0"/>
    <n v="17.899999999999999"/>
    <n v="17.899999999999999"/>
    <x v="38"/>
    <x v="35"/>
    <x v="1"/>
    <x v="3"/>
    <x v="0"/>
    <x v="0"/>
    <x v="6"/>
    <x v="3"/>
    <n v="6"/>
    <x v="1"/>
  </r>
  <r>
    <s v="TX500968"/>
    <x v="9"/>
    <x v="1"/>
    <n v="38.6"/>
    <n v="77.2"/>
    <x v="38"/>
    <x v="44"/>
    <x v="2"/>
    <x v="4"/>
    <x v="0"/>
    <x v="0"/>
    <x v="7"/>
    <x v="5"/>
    <n v="6"/>
    <x v="2"/>
  </r>
  <r>
    <s v="TX500969"/>
    <x v="5"/>
    <x v="9"/>
    <n v="32.700000000000003"/>
    <n v="163.5"/>
    <x v="38"/>
    <x v="35"/>
    <x v="1"/>
    <x v="2"/>
    <x v="2"/>
    <x v="0"/>
    <x v="8"/>
    <x v="3"/>
    <n v="6"/>
    <x v="1"/>
  </r>
  <r>
    <s v="TX500970"/>
    <x v="3"/>
    <x v="1"/>
    <n v="111.4"/>
    <n v="222.8"/>
    <x v="38"/>
    <x v="35"/>
    <x v="2"/>
    <x v="1"/>
    <x v="0"/>
    <x v="0"/>
    <x v="8"/>
    <x v="3"/>
    <n v="6"/>
    <x v="2"/>
  </r>
  <r>
    <s v="TX500971"/>
    <x v="2"/>
    <x v="13"/>
    <n v="80.3"/>
    <n v="481.79999999999995"/>
    <x v="38"/>
    <x v="37"/>
    <x v="2"/>
    <x v="1"/>
    <x v="0"/>
    <x v="0"/>
    <x v="8"/>
    <x v="1"/>
    <n v="6"/>
    <x v="2"/>
  </r>
  <r>
    <s v="TX500972"/>
    <x v="6"/>
    <x v="1"/>
    <n v="58.9"/>
    <n v="117.8"/>
    <x v="38"/>
    <x v="35"/>
    <x v="1"/>
    <x v="1"/>
    <x v="0"/>
    <x v="0"/>
    <x v="8"/>
    <x v="3"/>
    <n v="6"/>
    <x v="1"/>
  </r>
  <r>
    <s v="TX500973"/>
    <x v="6"/>
    <x v="2"/>
    <n v="51.9"/>
    <n v="155.69999999999999"/>
    <x v="38"/>
    <x v="37"/>
    <x v="2"/>
    <x v="1"/>
    <x v="4"/>
    <x v="0"/>
    <x v="8"/>
    <x v="1"/>
    <n v="6"/>
    <x v="2"/>
  </r>
  <r>
    <s v="TX500974"/>
    <x v="2"/>
    <x v="2"/>
    <n v="50.3"/>
    <n v="150.89999999999998"/>
    <x v="38"/>
    <x v="35"/>
    <x v="1"/>
    <x v="2"/>
    <x v="0"/>
    <x v="0"/>
    <x v="17"/>
    <x v="3"/>
    <n v="6"/>
    <x v="1"/>
  </r>
  <r>
    <s v="TX500975"/>
    <x v="11"/>
    <x v="13"/>
    <n v="45"/>
    <n v="270"/>
    <x v="38"/>
    <x v="42"/>
    <x v="2"/>
    <x v="3"/>
    <x v="0"/>
    <x v="0"/>
    <x v="9"/>
    <x v="4"/>
    <n v="6"/>
    <x v="2"/>
  </r>
  <r>
    <s v="TX500976"/>
    <x v="10"/>
    <x v="13"/>
    <n v="44.7"/>
    <n v="268.20000000000005"/>
    <x v="38"/>
    <x v="37"/>
    <x v="2"/>
    <x v="2"/>
    <x v="0"/>
    <x v="0"/>
    <x v="11"/>
    <x v="1"/>
    <n v="6"/>
    <x v="2"/>
  </r>
  <r>
    <s v="TX500977"/>
    <x v="18"/>
    <x v="20"/>
    <n v="33"/>
    <n v="495"/>
    <x v="38"/>
    <x v="35"/>
    <x v="2"/>
    <x v="2"/>
    <x v="0"/>
    <x v="0"/>
    <x v="11"/>
    <x v="3"/>
    <n v="6"/>
    <x v="2"/>
  </r>
  <r>
    <s v="TX500978"/>
    <x v="1"/>
    <x v="9"/>
    <n v="44.9"/>
    <n v="224.5"/>
    <x v="38"/>
    <x v="40"/>
    <x v="2"/>
    <x v="2"/>
    <x v="2"/>
    <x v="0"/>
    <x v="18"/>
    <x v="2"/>
    <n v="6"/>
    <x v="2"/>
  </r>
  <r>
    <s v="TX500979"/>
    <x v="10"/>
    <x v="1"/>
    <n v="34.6"/>
    <n v="69.2"/>
    <x v="38"/>
    <x v="44"/>
    <x v="2"/>
    <x v="0"/>
    <x v="1"/>
    <x v="0"/>
    <x v="19"/>
    <x v="5"/>
    <n v="6"/>
    <x v="2"/>
  </r>
  <r>
    <s v="TX500980"/>
    <x v="7"/>
    <x v="3"/>
    <n v="47.1"/>
    <n v="329.7"/>
    <x v="38"/>
    <x v="45"/>
    <x v="2"/>
    <x v="0"/>
    <x v="0"/>
    <x v="0"/>
    <x v="13"/>
    <x v="0"/>
    <n v="6"/>
    <x v="2"/>
  </r>
  <r>
    <s v="TX500981"/>
    <x v="4"/>
    <x v="9"/>
    <n v="26.1"/>
    <n v="130.5"/>
    <x v="38"/>
    <x v="45"/>
    <x v="1"/>
    <x v="0"/>
    <x v="2"/>
    <x v="0"/>
    <x v="21"/>
    <x v="0"/>
    <n v="6"/>
    <x v="1"/>
  </r>
  <r>
    <s v="TX500982"/>
    <x v="12"/>
    <x v="9"/>
    <n v="66.8"/>
    <n v="334"/>
    <x v="38"/>
    <x v="40"/>
    <x v="2"/>
    <x v="0"/>
    <x v="0"/>
    <x v="0"/>
    <x v="21"/>
    <x v="2"/>
    <n v="6"/>
    <x v="2"/>
  </r>
  <r>
    <s v="TX500983"/>
    <x v="2"/>
    <x v="1"/>
    <n v="167.9"/>
    <n v="335.8"/>
    <x v="38"/>
    <x v="35"/>
    <x v="2"/>
    <x v="3"/>
    <x v="2"/>
    <x v="0"/>
    <x v="21"/>
    <x v="3"/>
    <n v="6"/>
    <x v="2"/>
  </r>
  <r>
    <s v="TX500984"/>
    <x v="10"/>
    <x v="11"/>
    <n v="34.6"/>
    <n v="311.40000000000003"/>
    <x v="38"/>
    <x v="35"/>
    <x v="2"/>
    <x v="2"/>
    <x v="1"/>
    <x v="0"/>
    <x v="21"/>
    <x v="3"/>
    <n v="6"/>
    <x v="2"/>
  </r>
  <r>
    <s v="TX500985"/>
    <x v="8"/>
    <x v="2"/>
    <n v="35.1"/>
    <n v="105.30000000000001"/>
    <x v="39"/>
    <x v="45"/>
    <x v="1"/>
    <x v="4"/>
    <x v="2"/>
    <x v="0"/>
    <x v="1"/>
    <x v="5"/>
    <n v="7"/>
    <x v="1"/>
  </r>
  <r>
    <s v="TX500986"/>
    <x v="6"/>
    <x v="12"/>
    <n v="104.5"/>
    <n v="418"/>
    <x v="39"/>
    <x v="37"/>
    <x v="1"/>
    <x v="1"/>
    <x v="1"/>
    <x v="0"/>
    <x v="1"/>
    <x v="3"/>
    <n v="7"/>
    <x v="1"/>
  </r>
  <r>
    <s v="TX500987"/>
    <x v="8"/>
    <x v="0"/>
    <n v="37.9"/>
    <n v="37.9"/>
    <x v="39"/>
    <x v="40"/>
    <x v="0"/>
    <x v="1"/>
    <x v="2"/>
    <x v="0"/>
    <x v="2"/>
    <x v="1"/>
    <n v="7"/>
    <x v="0"/>
  </r>
  <r>
    <s v="TX500988"/>
    <x v="4"/>
    <x v="2"/>
    <n v="25.5"/>
    <n v="76.5"/>
    <x v="39"/>
    <x v="44"/>
    <x v="1"/>
    <x v="3"/>
    <x v="0"/>
    <x v="0"/>
    <x v="2"/>
    <x v="2"/>
    <n v="7"/>
    <x v="1"/>
  </r>
  <r>
    <s v="TX500989"/>
    <x v="0"/>
    <x v="2"/>
    <n v="32"/>
    <n v="96"/>
    <x v="39"/>
    <x v="45"/>
    <x v="2"/>
    <x v="1"/>
    <x v="0"/>
    <x v="0"/>
    <x v="22"/>
    <x v="5"/>
    <n v="7"/>
    <x v="2"/>
  </r>
  <r>
    <s v="TX500990"/>
    <x v="1"/>
    <x v="0"/>
    <n v="47.1"/>
    <n v="47.1"/>
    <x v="39"/>
    <x v="37"/>
    <x v="2"/>
    <x v="0"/>
    <x v="0"/>
    <x v="0"/>
    <x v="34"/>
    <x v="3"/>
    <n v="7"/>
    <x v="2"/>
  </r>
  <r>
    <s v="TX500991"/>
    <x v="6"/>
    <x v="1"/>
    <n v="50.6"/>
    <n v="101.2"/>
    <x v="39"/>
    <x v="48"/>
    <x v="0"/>
    <x v="0"/>
    <x v="0"/>
    <x v="0"/>
    <x v="3"/>
    <x v="4"/>
    <n v="7"/>
    <x v="0"/>
  </r>
  <r>
    <s v="TX500992"/>
    <x v="6"/>
    <x v="9"/>
    <n v="81.7"/>
    <n v="408.5"/>
    <x v="39"/>
    <x v="37"/>
    <x v="2"/>
    <x v="1"/>
    <x v="2"/>
    <x v="0"/>
    <x v="3"/>
    <x v="3"/>
    <n v="7"/>
    <x v="2"/>
  </r>
  <r>
    <s v="TX500993"/>
    <x v="5"/>
    <x v="1"/>
    <n v="50.7"/>
    <n v="101.4"/>
    <x v="39"/>
    <x v="37"/>
    <x v="3"/>
    <x v="2"/>
    <x v="2"/>
    <x v="0"/>
    <x v="3"/>
    <x v="3"/>
    <n v="7"/>
    <x v="3"/>
  </r>
  <r>
    <s v="TX500994"/>
    <x v="2"/>
    <x v="10"/>
    <n v="67.3"/>
    <n v="1278.7"/>
    <x v="39"/>
    <x v="45"/>
    <x v="2"/>
    <x v="2"/>
    <x v="0"/>
    <x v="0"/>
    <x v="3"/>
    <x v="5"/>
    <n v="7"/>
    <x v="2"/>
  </r>
  <r>
    <s v="TX500995"/>
    <x v="2"/>
    <x v="12"/>
    <n v="64.8"/>
    <n v="259.2"/>
    <x v="39"/>
    <x v="44"/>
    <x v="2"/>
    <x v="3"/>
    <x v="0"/>
    <x v="0"/>
    <x v="3"/>
    <x v="2"/>
    <n v="7"/>
    <x v="2"/>
  </r>
  <r>
    <s v="TX500996"/>
    <x v="5"/>
    <x v="32"/>
    <n v="61.3"/>
    <n v="1348.6"/>
    <x v="39"/>
    <x v="37"/>
    <x v="2"/>
    <x v="0"/>
    <x v="2"/>
    <x v="0"/>
    <x v="3"/>
    <x v="3"/>
    <n v="7"/>
    <x v="2"/>
  </r>
  <r>
    <s v="TX500997"/>
    <x v="14"/>
    <x v="0"/>
    <n v="32.9"/>
    <n v="32.9"/>
    <x v="39"/>
    <x v="44"/>
    <x v="2"/>
    <x v="4"/>
    <x v="0"/>
    <x v="0"/>
    <x v="3"/>
    <x v="2"/>
    <n v="7"/>
    <x v="2"/>
  </r>
  <r>
    <s v="TX500998"/>
    <x v="6"/>
    <x v="1"/>
    <n v="100.8"/>
    <n v="201.6"/>
    <x v="39"/>
    <x v="44"/>
    <x v="2"/>
    <x v="0"/>
    <x v="0"/>
    <x v="0"/>
    <x v="3"/>
    <x v="2"/>
    <n v="7"/>
    <x v="2"/>
  </r>
  <r>
    <s v="TX500999"/>
    <x v="8"/>
    <x v="12"/>
    <n v="25.1"/>
    <n v="100.4"/>
    <x v="39"/>
    <x v="40"/>
    <x v="2"/>
    <x v="1"/>
    <x v="0"/>
    <x v="0"/>
    <x v="3"/>
    <x v="1"/>
    <n v="7"/>
    <x v="2"/>
  </r>
  <r>
    <s v="TX501000"/>
    <x v="17"/>
    <x v="0"/>
    <n v="48.5"/>
    <n v="48.5"/>
    <x v="39"/>
    <x v="37"/>
    <x v="2"/>
    <x v="0"/>
    <x v="1"/>
    <x v="0"/>
    <x v="3"/>
    <x v="3"/>
    <n v="7"/>
    <x v="2"/>
  </r>
  <r>
    <s v="TX501001"/>
    <x v="7"/>
    <x v="1"/>
    <n v="33.6"/>
    <n v="67.2"/>
    <x v="39"/>
    <x v="45"/>
    <x v="2"/>
    <x v="2"/>
    <x v="2"/>
    <x v="0"/>
    <x v="3"/>
    <x v="5"/>
    <n v="7"/>
    <x v="2"/>
  </r>
  <r>
    <s v="TX501002"/>
    <x v="8"/>
    <x v="0"/>
    <n v="39.299999999999997"/>
    <n v="39.299999999999997"/>
    <x v="39"/>
    <x v="49"/>
    <x v="2"/>
    <x v="1"/>
    <x v="1"/>
    <x v="0"/>
    <x v="49"/>
    <x v="11"/>
    <n v="7"/>
    <x v="2"/>
  </r>
  <r>
    <s v="TX501003"/>
    <x v="4"/>
    <x v="7"/>
    <n v="48.8"/>
    <n v="488"/>
    <x v="39"/>
    <x v="40"/>
    <x v="2"/>
    <x v="3"/>
    <x v="1"/>
    <x v="0"/>
    <x v="25"/>
    <x v="1"/>
    <n v="7"/>
    <x v="2"/>
  </r>
  <r>
    <s v="TX501004"/>
    <x v="6"/>
    <x v="8"/>
    <n v="72.8"/>
    <n v="582.4"/>
    <x v="39"/>
    <x v="40"/>
    <x v="1"/>
    <x v="1"/>
    <x v="2"/>
    <x v="0"/>
    <x v="5"/>
    <x v="1"/>
    <n v="7"/>
    <x v="1"/>
  </r>
  <r>
    <s v="TX501005"/>
    <x v="10"/>
    <x v="8"/>
    <n v="46.2"/>
    <n v="369.6"/>
    <x v="39"/>
    <x v="37"/>
    <x v="1"/>
    <x v="3"/>
    <x v="4"/>
    <x v="0"/>
    <x v="5"/>
    <x v="3"/>
    <n v="7"/>
    <x v="1"/>
  </r>
  <r>
    <s v="TX501006"/>
    <x v="4"/>
    <x v="1"/>
    <n v="20.7"/>
    <n v="41.4"/>
    <x v="39"/>
    <x v="37"/>
    <x v="2"/>
    <x v="2"/>
    <x v="3"/>
    <x v="0"/>
    <x v="6"/>
    <x v="3"/>
    <n v="7"/>
    <x v="2"/>
  </r>
  <r>
    <s v="TX501007"/>
    <x v="0"/>
    <x v="0"/>
    <n v="35.700000000000003"/>
    <n v="35.700000000000003"/>
    <x v="39"/>
    <x v="40"/>
    <x v="2"/>
    <x v="3"/>
    <x v="0"/>
    <x v="0"/>
    <x v="6"/>
    <x v="1"/>
    <n v="7"/>
    <x v="2"/>
  </r>
  <r>
    <s v="TX501008"/>
    <x v="2"/>
    <x v="27"/>
    <n v="166.2"/>
    <n v="2659.2"/>
    <x v="39"/>
    <x v="40"/>
    <x v="0"/>
    <x v="2"/>
    <x v="0"/>
    <x v="0"/>
    <x v="7"/>
    <x v="1"/>
    <n v="7"/>
    <x v="0"/>
  </r>
  <r>
    <s v="TX501009"/>
    <x v="6"/>
    <x v="12"/>
    <n v="85.8"/>
    <n v="343.2"/>
    <x v="39"/>
    <x v="37"/>
    <x v="2"/>
    <x v="1"/>
    <x v="1"/>
    <x v="0"/>
    <x v="7"/>
    <x v="3"/>
    <n v="7"/>
    <x v="2"/>
  </r>
  <r>
    <s v="TX501010"/>
    <x v="8"/>
    <x v="2"/>
    <n v="26"/>
    <n v="78"/>
    <x v="39"/>
    <x v="40"/>
    <x v="3"/>
    <x v="1"/>
    <x v="0"/>
    <x v="0"/>
    <x v="7"/>
    <x v="1"/>
    <n v="7"/>
    <x v="3"/>
  </r>
  <r>
    <s v="TX501011"/>
    <x v="2"/>
    <x v="15"/>
    <n v="116.6"/>
    <n v="1515.8"/>
    <x v="39"/>
    <x v="44"/>
    <x v="2"/>
    <x v="0"/>
    <x v="0"/>
    <x v="0"/>
    <x v="8"/>
    <x v="2"/>
    <n v="7"/>
    <x v="2"/>
  </r>
  <r>
    <s v="TX501012"/>
    <x v="9"/>
    <x v="3"/>
    <n v="53.9"/>
    <n v="377.3"/>
    <x v="39"/>
    <x v="44"/>
    <x v="3"/>
    <x v="0"/>
    <x v="2"/>
    <x v="0"/>
    <x v="8"/>
    <x v="2"/>
    <n v="7"/>
    <x v="3"/>
  </r>
  <r>
    <s v="TX501013"/>
    <x v="12"/>
    <x v="9"/>
    <n v="72.3"/>
    <n v="361.5"/>
    <x v="39"/>
    <x v="40"/>
    <x v="0"/>
    <x v="2"/>
    <x v="2"/>
    <x v="0"/>
    <x v="8"/>
    <x v="1"/>
    <n v="7"/>
    <x v="0"/>
  </r>
  <r>
    <s v="TX501014"/>
    <x v="5"/>
    <x v="1"/>
    <n v="31.4"/>
    <n v="62.8"/>
    <x v="39"/>
    <x v="40"/>
    <x v="2"/>
    <x v="0"/>
    <x v="0"/>
    <x v="0"/>
    <x v="8"/>
    <x v="1"/>
    <n v="7"/>
    <x v="2"/>
  </r>
  <r>
    <s v="TX501015"/>
    <x v="13"/>
    <x v="1"/>
    <n v="53.1"/>
    <n v="106.2"/>
    <x v="39"/>
    <x v="44"/>
    <x v="1"/>
    <x v="1"/>
    <x v="0"/>
    <x v="0"/>
    <x v="8"/>
    <x v="2"/>
    <n v="7"/>
    <x v="1"/>
  </r>
  <r>
    <s v="TX501016"/>
    <x v="2"/>
    <x v="12"/>
    <n v="56.2"/>
    <n v="224.8"/>
    <x v="39"/>
    <x v="37"/>
    <x v="2"/>
    <x v="0"/>
    <x v="0"/>
    <x v="0"/>
    <x v="8"/>
    <x v="3"/>
    <n v="7"/>
    <x v="2"/>
  </r>
  <r>
    <s v="TX501017"/>
    <x v="1"/>
    <x v="7"/>
    <n v="77.3"/>
    <n v="773"/>
    <x v="39"/>
    <x v="37"/>
    <x v="2"/>
    <x v="2"/>
    <x v="0"/>
    <x v="0"/>
    <x v="11"/>
    <x v="3"/>
    <n v="7"/>
    <x v="2"/>
  </r>
  <r>
    <s v="TX501018"/>
    <x v="6"/>
    <x v="15"/>
    <n v="57.8"/>
    <n v="751.4"/>
    <x v="39"/>
    <x v="37"/>
    <x v="0"/>
    <x v="0"/>
    <x v="0"/>
    <x v="0"/>
    <x v="53"/>
    <x v="3"/>
    <n v="7"/>
    <x v="0"/>
  </r>
  <r>
    <s v="TX501019"/>
    <x v="12"/>
    <x v="20"/>
    <n v="42.1"/>
    <n v="631.5"/>
    <x v="39"/>
    <x v="40"/>
    <x v="2"/>
    <x v="1"/>
    <x v="1"/>
    <x v="0"/>
    <x v="53"/>
    <x v="1"/>
    <n v="7"/>
    <x v="2"/>
  </r>
  <r>
    <s v="TX501020"/>
    <x v="8"/>
    <x v="11"/>
    <n v="22.8"/>
    <n v="205.20000000000002"/>
    <x v="39"/>
    <x v="45"/>
    <x v="1"/>
    <x v="2"/>
    <x v="2"/>
    <x v="0"/>
    <x v="19"/>
    <x v="5"/>
    <n v="7"/>
    <x v="1"/>
  </r>
  <r>
    <s v="TX501021"/>
    <x v="2"/>
    <x v="2"/>
    <n v="171.1"/>
    <n v="513.29999999999995"/>
    <x v="40"/>
    <x v="43"/>
    <x v="2"/>
    <x v="2"/>
    <x v="1"/>
    <x v="0"/>
    <x v="19"/>
    <x v="6"/>
    <n v="7"/>
    <x v="2"/>
  </r>
  <r>
    <s v="TX501022"/>
    <x v="8"/>
    <x v="0"/>
    <n v="28"/>
    <n v="28"/>
    <x v="40"/>
    <x v="44"/>
    <x v="1"/>
    <x v="2"/>
    <x v="2"/>
    <x v="0"/>
    <x v="21"/>
    <x v="1"/>
    <n v="7"/>
    <x v="1"/>
  </r>
  <r>
    <s v="TX501023"/>
    <x v="6"/>
    <x v="3"/>
    <n v="50.2"/>
    <n v="351.40000000000003"/>
    <x v="40"/>
    <x v="44"/>
    <x v="1"/>
    <x v="2"/>
    <x v="0"/>
    <x v="0"/>
    <x v="21"/>
    <x v="1"/>
    <n v="7"/>
    <x v="1"/>
  </r>
  <r>
    <s v="TX501024"/>
    <x v="6"/>
    <x v="1"/>
    <n v="56"/>
    <n v="112"/>
    <x v="40"/>
    <x v="37"/>
    <x v="1"/>
    <x v="0"/>
    <x v="2"/>
    <x v="0"/>
    <x v="22"/>
    <x v="7"/>
    <n v="7"/>
    <x v="1"/>
  </r>
  <r>
    <s v="TX501025"/>
    <x v="1"/>
    <x v="1"/>
    <n v="38.299999999999997"/>
    <n v="76.599999999999994"/>
    <x v="40"/>
    <x v="40"/>
    <x v="2"/>
    <x v="1"/>
    <x v="0"/>
    <x v="0"/>
    <x v="3"/>
    <x v="3"/>
    <n v="7"/>
    <x v="2"/>
  </r>
  <r>
    <s v="TX501026"/>
    <x v="0"/>
    <x v="9"/>
    <n v="22.3"/>
    <n v="111.5"/>
    <x v="40"/>
    <x v="42"/>
    <x v="2"/>
    <x v="2"/>
    <x v="1"/>
    <x v="0"/>
    <x v="3"/>
    <x v="5"/>
    <n v="7"/>
    <x v="2"/>
  </r>
  <r>
    <s v="TX501027"/>
    <x v="0"/>
    <x v="2"/>
    <n v="22.3"/>
    <n v="66.900000000000006"/>
    <x v="40"/>
    <x v="45"/>
    <x v="2"/>
    <x v="2"/>
    <x v="0"/>
    <x v="0"/>
    <x v="3"/>
    <x v="2"/>
    <n v="7"/>
    <x v="2"/>
  </r>
  <r>
    <s v="TX501028"/>
    <x v="1"/>
    <x v="0"/>
    <n v="32.9"/>
    <n v="32.9"/>
    <x v="40"/>
    <x v="48"/>
    <x v="2"/>
    <x v="0"/>
    <x v="0"/>
    <x v="0"/>
    <x v="3"/>
    <x v="0"/>
    <n v="7"/>
    <x v="2"/>
  </r>
  <r>
    <s v="TX501029"/>
    <x v="10"/>
    <x v="2"/>
    <n v="31.9"/>
    <n v="95.699999999999989"/>
    <x v="40"/>
    <x v="48"/>
    <x v="2"/>
    <x v="0"/>
    <x v="0"/>
    <x v="0"/>
    <x v="3"/>
    <x v="0"/>
    <n v="7"/>
    <x v="2"/>
  </r>
  <r>
    <s v="TX501030"/>
    <x v="6"/>
    <x v="1"/>
    <n v="94"/>
    <n v="188"/>
    <x v="40"/>
    <x v="40"/>
    <x v="1"/>
    <x v="2"/>
    <x v="2"/>
    <x v="0"/>
    <x v="3"/>
    <x v="3"/>
    <n v="7"/>
    <x v="1"/>
  </r>
  <r>
    <s v="TX501031"/>
    <x v="10"/>
    <x v="1"/>
    <n v="30.7"/>
    <n v="61.4"/>
    <x v="40"/>
    <x v="40"/>
    <x v="2"/>
    <x v="0"/>
    <x v="1"/>
    <x v="0"/>
    <x v="3"/>
    <x v="3"/>
    <n v="7"/>
    <x v="2"/>
  </r>
  <r>
    <s v="TX501032"/>
    <x v="5"/>
    <x v="9"/>
    <n v="90.5"/>
    <n v="452.5"/>
    <x v="40"/>
    <x v="43"/>
    <x v="1"/>
    <x v="0"/>
    <x v="2"/>
    <x v="0"/>
    <x v="3"/>
    <x v="6"/>
    <n v="7"/>
    <x v="1"/>
  </r>
  <r>
    <s v="TX501033"/>
    <x v="8"/>
    <x v="9"/>
    <n v="25.3"/>
    <n v="126.5"/>
    <x v="40"/>
    <x v="42"/>
    <x v="2"/>
    <x v="0"/>
    <x v="2"/>
    <x v="0"/>
    <x v="3"/>
    <x v="5"/>
    <n v="7"/>
    <x v="2"/>
  </r>
  <r>
    <s v="TX501034"/>
    <x v="6"/>
    <x v="2"/>
    <n v="58.1"/>
    <n v="174.3"/>
    <x v="40"/>
    <x v="42"/>
    <x v="0"/>
    <x v="0"/>
    <x v="2"/>
    <x v="0"/>
    <x v="3"/>
    <x v="5"/>
    <n v="7"/>
    <x v="0"/>
  </r>
  <r>
    <s v="TX501035"/>
    <x v="2"/>
    <x v="2"/>
    <n v="74.900000000000006"/>
    <n v="224.70000000000002"/>
    <x v="40"/>
    <x v="40"/>
    <x v="2"/>
    <x v="4"/>
    <x v="0"/>
    <x v="0"/>
    <x v="3"/>
    <x v="3"/>
    <n v="7"/>
    <x v="2"/>
  </r>
  <r>
    <s v="TX501036"/>
    <x v="4"/>
    <x v="1"/>
    <n v="32.5"/>
    <n v="65"/>
    <x v="40"/>
    <x v="40"/>
    <x v="1"/>
    <x v="2"/>
    <x v="2"/>
    <x v="0"/>
    <x v="43"/>
    <x v="3"/>
    <n v="7"/>
    <x v="1"/>
  </r>
  <r>
    <s v="TX501037"/>
    <x v="4"/>
    <x v="9"/>
    <n v="62"/>
    <n v="310"/>
    <x v="40"/>
    <x v="40"/>
    <x v="1"/>
    <x v="4"/>
    <x v="2"/>
    <x v="0"/>
    <x v="25"/>
    <x v="3"/>
    <n v="7"/>
    <x v="1"/>
  </r>
  <r>
    <s v="TX501038"/>
    <x v="13"/>
    <x v="13"/>
    <n v="28.9"/>
    <n v="173.39999999999998"/>
    <x v="40"/>
    <x v="45"/>
    <x v="2"/>
    <x v="0"/>
    <x v="1"/>
    <x v="0"/>
    <x v="6"/>
    <x v="2"/>
    <n v="7"/>
    <x v="2"/>
  </r>
  <r>
    <s v="TX501039"/>
    <x v="6"/>
    <x v="8"/>
    <n v="42.8"/>
    <n v="342.4"/>
    <x v="40"/>
    <x v="44"/>
    <x v="2"/>
    <x v="0"/>
    <x v="2"/>
    <x v="0"/>
    <x v="6"/>
    <x v="1"/>
    <n v="7"/>
    <x v="2"/>
  </r>
  <r>
    <s v="TX501040"/>
    <x v="8"/>
    <x v="8"/>
    <n v="39.4"/>
    <n v="315.2"/>
    <x v="40"/>
    <x v="44"/>
    <x v="1"/>
    <x v="0"/>
    <x v="0"/>
    <x v="0"/>
    <x v="36"/>
    <x v="1"/>
    <n v="7"/>
    <x v="1"/>
  </r>
  <r>
    <s v="TX501041"/>
    <x v="18"/>
    <x v="2"/>
    <n v="66.400000000000006"/>
    <n v="199.20000000000002"/>
    <x v="40"/>
    <x v="40"/>
    <x v="0"/>
    <x v="2"/>
    <x v="1"/>
    <x v="0"/>
    <x v="7"/>
    <x v="3"/>
    <n v="7"/>
    <x v="0"/>
  </r>
  <r>
    <s v="TX501042"/>
    <x v="17"/>
    <x v="12"/>
    <n v="35.9"/>
    <n v="143.6"/>
    <x v="40"/>
    <x v="43"/>
    <x v="2"/>
    <x v="1"/>
    <x v="0"/>
    <x v="0"/>
    <x v="7"/>
    <x v="6"/>
    <n v="7"/>
    <x v="2"/>
  </r>
  <r>
    <s v="TX501043"/>
    <x v="0"/>
    <x v="12"/>
    <n v="26.9"/>
    <n v="107.6"/>
    <x v="40"/>
    <x v="40"/>
    <x v="1"/>
    <x v="1"/>
    <x v="0"/>
    <x v="0"/>
    <x v="7"/>
    <x v="3"/>
    <n v="7"/>
    <x v="1"/>
  </r>
  <r>
    <s v="TX501044"/>
    <x v="2"/>
    <x v="0"/>
    <n v="55.1"/>
    <n v="55.1"/>
    <x v="40"/>
    <x v="40"/>
    <x v="2"/>
    <x v="0"/>
    <x v="0"/>
    <x v="0"/>
    <x v="7"/>
    <x v="3"/>
    <n v="7"/>
    <x v="2"/>
  </r>
  <r>
    <s v="TX501045"/>
    <x v="4"/>
    <x v="1"/>
    <n v="23.9"/>
    <n v="47.8"/>
    <x v="40"/>
    <x v="40"/>
    <x v="1"/>
    <x v="0"/>
    <x v="2"/>
    <x v="0"/>
    <x v="8"/>
    <x v="3"/>
    <n v="7"/>
    <x v="1"/>
  </r>
  <r>
    <s v="TX501046"/>
    <x v="9"/>
    <x v="15"/>
    <n v="21.1"/>
    <n v="274.3"/>
    <x v="40"/>
    <x v="50"/>
    <x v="2"/>
    <x v="0"/>
    <x v="1"/>
    <x v="0"/>
    <x v="8"/>
    <x v="9"/>
    <n v="7"/>
    <x v="2"/>
  </r>
  <r>
    <s v="TX501047"/>
    <x v="8"/>
    <x v="9"/>
    <n v="33.799999999999997"/>
    <n v="169"/>
    <x v="40"/>
    <x v="44"/>
    <x v="2"/>
    <x v="0"/>
    <x v="0"/>
    <x v="0"/>
    <x v="8"/>
    <x v="1"/>
    <n v="7"/>
    <x v="2"/>
  </r>
  <r>
    <s v="TX501048"/>
    <x v="2"/>
    <x v="12"/>
    <n v="56.1"/>
    <n v="224.4"/>
    <x v="40"/>
    <x v="37"/>
    <x v="2"/>
    <x v="3"/>
    <x v="2"/>
    <x v="0"/>
    <x v="9"/>
    <x v="7"/>
    <n v="7"/>
    <x v="2"/>
  </r>
  <r>
    <s v="TX501049"/>
    <x v="3"/>
    <x v="0"/>
    <n v="58.5"/>
    <n v="58.5"/>
    <x v="41"/>
    <x v="48"/>
    <x v="2"/>
    <x v="1"/>
    <x v="2"/>
    <x v="0"/>
    <x v="9"/>
    <x v="5"/>
    <n v="7"/>
    <x v="2"/>
  </r>
  <r>
    <s v="TX501050"/>
    <x v="6"/>
    <x v="0"/>
    <n v="84.2"/>
    <n v="84.2"/>
    <x v="41"/>
    <x v="45"/>
    <x v="1"/>
    <x v="3"/>
    <x v="0"/>
    <x v="0"/>
    <x v="11"/>
    <x v="1"/>
    <n v="7"/>
    <x v="1"/>
  </r>
  <r>
    <s v="TX501051"/>
    <x v="11"/>
    <x v="12"/>
    <n v="52"/>
    <n v="208"/>
    <x v="41"/>
    <x v="42"/>
    <x v="1"/>
    <x v="0"/>
    <x v="0"/>
    <x v="0"/>
    <x v="11"/>
    <x v="2"/>
    <n v="7"/>
    <x v="1"/>
  </r>
  <r>
    <s v="TX501052"/>
    <x v="4"/>
    <x v="9"/>
    <n v="31.5"/>
    <n v="157.5"/>
    <x v="41"/>
    <x v="44"/>
    <x v="2"/>
    <x v="0"/>
    <x v="2"/>
    <x v="0"/>
    <x v="11"/>
    <x v="3"/>
    <n v="7"/>
    <x v="2"/>
  </r>
  <r>
    <s v="TX501053"/>
    <x v="16"/>
    <x v="2"/>
    <n v="46.2"/>
    <n v="138.60000000000002"/>
    <x v="41"/>
    <x v="44"/>
    <x v="1"/>
    <x v="0"/>
    <x v="0"/>
    <x v="0"/>
    <x v="53"/>
    <x v="3"/>
    <n v="7"/>
    <x v="1"/>
  </r>
  <r>
    <s v="TX501054"/>
    <x v="2"/>
    <x v="13"/>
    <n v="135"/>
    <n v="810"/>
    <x v="41"/>
    <x v="44"/>
    <x v="2"/>
    <x v="1"/>
    <x v="2"/>
    <x v="0"/>
    <x v="18"/>
    <x v="3"/>
    <n v="7"/>
    <x v="2"/>
  </r>
  <r>
    <s v="TX501055"/>
    <x v="12"/>
    <x v="2"/>
    <n v="92.2"/>
    <n v="276.60000000000002"/>
    <x v="41"/>
    <x v="48"/>
    <x v="1"/>
    <x v="0"/>
    <x v="0"/>
    <x v="0"/>
    <x v="21"/>
    <x v="5"/>
    <n v="7"/>
    <x v="1"/>
  </r>
  <r>
    <s v="TX501056"/>
    <x v="8"/>
    <x v="0"/>
    <n v="36.6"/>
    <n v="36.6"/>
    <x v="41"/>
    <x v="45"/>
    <x v="1"/>
    <x v="2"/>
    <x v="2"/>
    <x v="0"/>
    <x v="21"/>
    <x v="1"/>
    <n v="7"/>
    <x v="1"/>
  </r>
  <r>
    <s v="TX501057"/>
    <x v="9"/>
    <x v="1"/>
    <n v="50.6"/>
    <n v="101.2"/>
    <x v="41"/>
    <x v="42"/>
    <x v="2"/>
    <x v="0"/>
    <x v="0"/>
    <x v="0"/>
    <x v="2"/>
    <x v="2"/>
    <n v="7"/>
    <x v="2"/>
  </r>
  <r>
    <s v="TX501058"/>
    <x v="18"/>
    <x v="3"/>
    <n v="56.7"/>
    <n v="396.90000000000003"/>
    <x v="41"/>
    <x v="42"/>
    <x v="2"/>
    <x v="0"/>
    <x v="0"/>
    <x v="0"/>
    <x v="2"/>
    <x v="2"/>
    <n v="7"/>
    <x v="2"/>
  </r>
  <r>
    <s v="TX501059"/>
    <x v="9"/>
    <x v="15"/>
    <n v="22.9"/>
    <n v="297.7"/>
    <x v="41"/>
    <x v="44"/>
    <x v="2"/>
    <x v="0"/>
    <x v="1"/>
    <x v="0"/>
    <x v="44"/>
    <x v="3"/>
    <n v="7"/>
    <x v="2"/>
  </r>
  <r>
    <s v="TX501060"/>
    <x v="15"/>
    <x v="10"/>
    <n v="53.6"/>
    <n v="1018.4"/>
    <x v="41"/>
    <x v="44"/>
    <x v="1"/>
    <x v="0"/>
    <x v="0"/>
    <x v="0"/>
    <x v="22"/>
    <x v="3"/>
    <n v="7"/>
    <x v="1"/>
  </r>
  <r>
    <s v="TX501061"/>
    <x v="18"/>
    <x v="1"/>
    <n v="30.2"/>
    <n v="60.4"/>
    <x v="41"/>
    <x v="45"/>
    <x v="0"/>
    <x v="2"/>
    <x v="2"/>
    <x v="0"/>
    <x v="3"/>
    <x v="1"/>
    <n v="7"/>
    <x v="0"/>
  </r>
  <r>
    <s v="TX501062"/>
    <x v="15"/>
    <x v="13"/>
    <n v="83.4"/>
    <n v="500.40000000000003"/>
    <x v="41"/>
    <x v="44"/>
    <x v="1"/>
    <x v="1"/>
    <x v="2"/>
    <x v="0"/>
    <x v="3"/>
    <x v="3"/>
    <n v="7"/>
    <x v="1"/>
  </r>
  <r>
    <s v="TX501063"/>
    <x v="13"/>
    <x v="4"/>
    <n v="16.600000000000001"/>
    <n v="199.20000000000002"/>
    <x v="41"/>
    <x v="45"/>
    <x v="1"/>
    <x v="1"/>
    <x v="0"/>
    <x v="0"/>
    <x v="3"/>
    <x v="1"/>
    <n v="7"/>
    <x v="1"/>
  </r>
  <r>
    <s v="TX501064"/>
    <x v="8"/>
    <x v="14"/>
    <n v="21.9"/>
    <n v="372.29999999999995"/>
    <x v="41"/>
    <x v="45"/>
    <x v="2"/>
    <x v="4"/>
    <x v="1"/>
    <x v="0"/>
    <x v="3"/>
    <x v="1"/>
    <n v="7"/>
    <x v="2"/>
  </r>
  <r>
    <s v="TX501065"/>
    <x v="8"/>
    <x v="31"/>
    <n v="33.799999999999997"/>
    <n v="946.39999999999986"/>
    <x v="41"/>
    <x v="45"/>
    <x v="1"/>
    <x v="2"/>
    <x v="4"/>
    <x v="0"/>
    <x v="3"/>
    <x v="1"/>
    <n v="7"/>
    <x v="1"/>
  </r>
  <r>
    <s v="TX501066"/>
    <x v="18"/>
    <x v="1"/>
    <n v="53.2"/>
    <n v="106.4"/>
    <x v="41"/>
    <x v="40"/>
    <x v="1"/>
    <x v="1"/>
    <x v="0"/>
    <x v="0"/>
    <x v="3"/>
    <x v="7"/>
    <n v="7"/>
    <x v="1"/>
  </r>
  <r>
    <s v="TX501067"/>
    <x v="2"/>
    <x v="1"/>
    <n v="176.7"/>
    <n v="353.4"/>
    <x v="41"/>
    <x v="42"/>
    <x v="2"/>
    <x v="2"/>
    <x v="0"/>
    <x v="0"/>
    <x v="3"/>
    <x v="2"/>
    <n v="7"/>
    <x v="2"/>
  </r>
  <r>
    <s v="TX501068"/>
    <x v="12"/>
    <x v="2"/>
    <n v="54"/>
    <n v="162"/>
    <x v="41"/>
    <x v="42"/>
    <x v="1"/>
    <x v="0"/>
    <x v="1"/>
    <x v="0"/>
    <x v="3"/>
    <x v="2"/>
    <n v="7"/>
    <x v="1"/>
  </r>
  <r>
    <s v="TX501069"/>
    <x v="9"/>
    <x v="1"/>
    <n v="70.099999999999994"/>
    <n v="140.19999999999999"/>
    <x v="41"/>
    <x v="46"/>
    <x v="2"/>
    <x v="3"/>
    <x v="2"/>
    <x v="0"/>
    <x v="3"/>
    <x v="9"/>
    <n v="7"/>
    <x v="2"/>
  </r>
  <r>
    <s v="TX501070"/>
    <x v="8"/>
    <x v="0"/>
    <n v="26.5"/>
    <n v="26.5"/>
    <x v="41"/>
    <x v="45"/>
    <x v="2"/>
    <x v="1"/>
    <x v="0"/>
    <x v="0"/>
    <x v="3"/>
    <x v="1"/>
    <n v="7"/>
    <x v="2"/>
  </r>
  <r>
    <s v="TX501071"/>
    <x v="7"/>
    <x v="9"/>
    <n v="89"/>
    <n v="445"/>
    <x v="41"/>
    <x v="45"/>
    <x v="1"/>
    <x v="2"/>
    <x v="4"/>
    <x v="0"/>
    <x v="3"/>
    <x v="1"/>
    <n v="7"/>
    <x v="1"/>
  </r>
  <r>
    <s v="TX501072"/>
    <x v="1"/>
    <x v="13"/>
    <n v="47"/>
    <n v="282"/>
    <x v="41"/>
    <x v="42"/>
    <x v="2"/>
    <x v="3"/>
    <x v="0"/>
    <x v="0"/>
    <x v="24"/>
    <x v="2"/>
    <n v="7"/>
    <x v="2"/>
  </r>
  <r>
    <s v="TX501073"/>
    <x v="3"/>
    <x v="1"/>
    <n v="55.2"/>
    <n v="110.4"/>
    <x v="41"/>
    <x v="42"/>
    <x v="1"/>
    <x v="1"/>
    <x v="1"/>
    <x v="0"/>
    <x v="6"/>
    <x v="2"/>
    <n v="7"/>
    <x v="1"/>
  </r>
  <r>
    <s v="TX501074"/>
    <x v="8"/>
    <x v="39"/>
    <n v="33.299999999999997"/>
    <n v="1398.6"/>
    <x v="41"/>
    <x v="51"/>
    <x v="1"/>
    <x v="1"/>
    <x v="2"/>
    <x v="0"/>
    <x v="6"/>
    <x v="12"/>
    <n v="7"/>
    <x v="1"/>
  </r>
  <r>
    <s v="TX501075"/>
    <x v="2"/>
    <x v="12"/>
    <n v="110.9"/>
    <n v="443.6"/>
    <x v="42"/>
    <x v="44"/>
    <x v="1"/>
    <x v="2"/>
    <x v="4"/>
    <x v="0"/>
    <x v="6"/>
    <x v="7"/>
    <n v="7"/>
    <x v="1"/>
  </r>
  <r>
    <s v="TX501076"/>
    <x v="2"/>
    <x v="13"/>
    <n v="67.3"/>
    <n v="403.79999999999995"/>
    <x v="42"/>
    <x v="45"/>
    <x v="1"/>
    <x v="0"/>
    <x v="0"/>
    <x v="0"/>
    <x v="8"/>
    <x v="3"/>
    <n v="7"/>
    <x v="1"/>
  </r>
  <r>
    <s v="TX501077"/>
    <x v="6"/>
    <x v="2"/>
    <n v="69.7"/>
    <n v="209.10000000000002"/>
    <x v="42"/>
    <x v="45"/>
    <x v="1"/>
    <x v="2"/>
    <x v="1"/>
    <x v="0"/>
    <x v="8"/>
    <x v="3"/>
    <n v="7"/>
    <x v="1"/>
  </r>
  <r>
    <s v="TX501078"/>
    <x v="5"/>
    <x v="0"/>
    <n v="39.1"/>
    <n v="39.1"/>
    <x v="42"/>
    <x v="43"/>
    <x v="1"/>
    <x v="0"/>
    <x v="1"/>
    <x v="0"/>
    <x v="17"/>
    <x v="0"/>
    <n v="7"/>
    <x v="1"/>
  </r>
  <r>
    <s v="TX501079"/>
    <x v="2"/>
    <x v="2"/>
    <n v="208.6"/>
    <n v="625.79999999999995"/>
    <x v="42"/>
    <x v="44"/>
    <x v="1"/>
    <x v="4"/>
    <x v="2"/>
    <x v="0"/>
    <x v="17"/>
    <x v="7"/>
    <n v="7"/>
    <x v="1"/>
  </r>
  <r>
    <s v="TX501080"/>
    <x v="15"/>
    <x v="2"/>
    <n v="27.8"/>
    <n v="83.4"/>
    <x v="42"/>
    <x v="45"/>
    <x v="1"/>
    <x v="3"/>
    <x v="1"/>
    <x v="0"/>
    <x v="11"/>
    <x v="3"/>
    <n v="7"/>
    <x v="1"/>
  </r>
  <r>
    <s v="TX501081"/>
    <x v="10"/>
    <x v="9"/>
    <n v="29.4"/>
    <n v="147"/>
    <x v="42"/>
    <x v="42"/>
    <x v="2"/>
    <x v="0"/>
    <x v="0"/>
    <x v="0"/>
    <x v="11"/>
    <x v="1"/>
    <n v="7"/>
    <x v="2"/>
  </r>
  <r>
    <s v="TX501082"/>
    <x v="9"/>
    <x v="1"/>
    <n v="29.2"/>
    <n v="58.4"/>
    <x v="42"/>
    <x v="42"/>
    <x v="2"/>
    <x v="1"/>
    <x v="2"/>
    <x v="0"/>
    <x v="20"/>
    <x v="1"/>
    <n v="7"/>
    <x v="2"/>
  </r>
  <r>
    <s v="TX501083"/>
    <x v="10"/>
    <x v="9"/>
    <n v="26.5"/>
    <n v="132.5"/>
    <x v="42"/>
    <x v="42"/>
    <x v="2"/>
    <x v="0"/>
    <x v="0"/>
    <x v="0"/>
    <x v="52"/>
    <x v="1"/>
    <n v="7"/>
    <x v="2"/>
  </r>
  <r>
    <s v="TX501084"/>
    <x v="5"/>
    <x v="0"/>
    <n v="30.3"/>
    <n v="30.3"/>
    <x v="42"/>
    <x v="45"/>
    <x v="2"/>
    <x v="4"/>
    <x v="1"/>
    <x v="0"/>
    <x v="13"/>
    <x v="3"/>
    <n v="7"/>
    <x v="2"/>
  </r>
  <r>
    <s v="TX501085"/>
    <x v="16"/>
    <x v="4"/>
    <n v="39.700000000000003"/>
    <n v="476.40000000000003"/>
    <x v="42"/>
    <x v="45"/>
    <x v="2"/>
    <x v="0"/>
    <x v="0"/>
    <x v="0"/>
    <x v="21"/>
    <x v="3"/>
    <n v="7"/>
    <x v="2"/>
  </r>
  <r>
    <s v="TX501086"/>
    <x v="7"/>
    <x v="7"/>
    <n v="58.9"/>
    <n v="589"/>
    <x v="42"/>
    <x v="42"/>
    <x v="2"/>
    <x v="1"/>
    <x v="4"/>
    <x v="0"/>
    <x v="21"/>
    <x v="1"/>
    <n v="7"/>
    <x v="2"/>
  </r>
  <r>
    <s v="TX501087"/>
    <x v="2"/>
    <x v="1"/>
    <n v="174.1"/>
    <n v="348.2"/>
    <x v="42"/>
    <x v="42"/>
    <x v="2"/>
    <x v="0"/>
    <x v="1"/>
    <x v="0"/>
    <x v="46"/>
    <x v="1"/>
    <n v="7"/>
    <x v="2"/>
  </r>
  <r>
    <s v="TX501088"/>
    <x v="6"/>
    <x v="1"/>
    <n v="70.8"/>
    <n v="141.6"/>
    <x v="42"/>
    <x v="48"/>
    <x v="1"/>
    <x v="2"/>
    <x v="0"/>
    <x v="0"/>
    <x v="22"/>
    <x v="2"/>
    <n v="7"/>
    <x v="1"/>
  </r>
  <r>
    <s v="TX501089"/>
    <x v="7"/>
    <x v="1"/>
    <n v="57.4"/>
    <n v="114.8"/>
    <x v="42"/>
    <x v="42"/>
    <x v="2"/>
    <x v="1"/>
    <x v="1"/>
    <x v="0"/>
    <x v="34"/>
    <x v="1"/>
    <n v="7"/>
    <x v="2"/>
  </r>
  <r>
    <s v="TX501090"/>
    <x v="0"/>
    <x v="1"/>
    <n v="28.5"/>
    <n v="57"/>
    <x v="42"/>
    <x v="42"/>
    <x v="1"/>
    <x v="3"/>
    <x v="1"/>
    <x v="0"/>
    <x v="3"/>
    <x v="1"/>
    <n v="7"/>
    <x v="1"/>
  </r>
  <r>
    <s v="TX501091"/>
    <x v="2"/>
    <x v="28"/>
    <n v="106.6"/>
    <n v="2132"/>
    <x v="42"/>
    <x v="45"/>
    <x v="0"/>
    <x v="1"/>
    <x v="4"/>
    <x v="0"/>
    <x v="3"/>
    <x v="3"/>
    <n v="7"/>
    <x v="0"/>
  </r>
  <r>
    <s v="TX501092"/>
    <x v="2"/>
    <x v="2"/>
    <n v="119.7"/>
    <n v="359.1"/>
    <x v="42"/>
    <x v="45"/>
    <x v="2"/>
    <x v="1"/>
    <x v="4"/>
    <x v="0"/>
    <x v="3"/>
    <x v="3"/>
    <n v="7"/>
    <x v="2"/>
  </r>
  <r>
    <s v="TX501093"/>
    <x v="18"/>
    <x v="0"/>
    <n v="73.3"/>
    <n v="73.3"/>
    <x v="42"/>
    <x v="43"/>
    <x v="2"/>
    <x v="0"/>
    <x v="2"/>
    <x v="0"/>
    <x v="3"/>
    <x v="0"/>
    <n v="7"/>
    <x v="2"/>
  </r>
  <r>
    <s v="TX501094"/>
    <x v="0"/>
    <x v="1"/>
    <n v="25.8"/>
    <n v="51.6"/>
    <x v="42"/>
    <x v="52"/>
    <x v="1"/>
    <x v="2"/>
    <x v="0"/>
    <x v="0"/>
    <x v="3"/>
    <x v="12"/>
    <n v="7"/>
    <x v="1"/>
  </r>
  <r>
    <s v="TX501095"/>
    <x v="17"/>
    <x v="2"/>
    <n v="49.1"/>
    <n v="147.30000000000001"/>
    <x v="42"/>
    <x v="42"/>
    <x v="2"/>
    <x v="0"/>
    <x v="0"/>
    <x v="0"/>
    <x v="24"/>
    <x v="1"/>
    <n v="7"/>
    <x v="2"/>
  </r>
  <r>
    <s v="TX501096"/>
    <x v="1"/>
    <x v="0"/>
    <n v="44.9"/>
    <n v="44.9"/>
    <x v="42"/>
    <x v="48"/>
    <x v="2"/>
    <x v="3"/>
    <x v="2"/>
    <x v="0"/>
    <x v="6"/>
    <x v="2"/>
    <n v="7"/>
    <x v="2"/>
  </r>
  <r>
    <s v="TX501097"/>
    <x v="15"/>
    <x v="3"/>
    <n v="29.9"/>
    <n v="209.29999999999998"/>
    <x v="42"/>
    <x v="45"/>
    <x v="2"/>
    <x v="0"/>
    <x v="0"/>
    <x v="0"/>
    <x v="6"/>
    <x v="3"/>
    <n v="7"/>
    <x v="2"/>
  </r>
  <r>
    <s v="TX501098"/>
    <x v="7"/>
    <x v="1"/>
    <n v="54.3"/>
    <n v="108.6"/>
    <x v="43"/>
    <x v="42"/>
    <x v="1"/>
    <x v="3"/>
    <x v="0"/>
    <x v="0"/>
    <x v="36"/>
    <x v="3"/>
    <n v="7"/>
    <x v="1"/>
  </r>
  <r>
    <s v="TX501099"/>
    <x v="9"/>
    <x v="12"/>
    <n v="57"/>
    <n v="228"/>
    <x v="43"/>
    <x v="48"/>
    <x v="2"/>
    <x v="0"/>
    <x v="0"/>
    <x v="0"/>
    <x v="8"/>
    <x v="1"/>
    <n v="7"/>
    <x v="2"/>
  </r>
  <r>
    <s v="TX501100"/>
    <x v="2"/>
    <x v="0"/>
    <n v="139.19999999999999"/>
    <n v="139.19999999999999"/>
    <x v="43"/>
    <x v="42"/>
    <x v="2"/>
    <x v="3"/>
    <x v="2"/>
    <x v="0"/>
    <x v="8"/>
    <x v="3"/>
    <n v="7"/>
    <x v="2"/>
  </r>
  <r>
    <s v="TX501101"/>
    <x v="10"/>
    <x v="0"/>
    <n v="33"/>
    <n v="33"/>
    <x v="43"/>
    <x v="41"/>
    <x v="2"/>
    <x v="0"/>
    <x v="2"/>
    <x v="0"/>
    <x v="8"/>
    <x v="2"/>
    <n v="7"/>
    <x v="2"/>
  </r>
  <r>
    <s v="TX501102"/>
    <x v="11"/>
    <x v="13"/>
    <n v="80.2"/>
    <n v="481.20000000000005"/>
    <x v="43"/>
    <x v="48"/>
    <x v="1"/>
    <x v="1"/>
    <x v="4"/>
    <x v="0"/>
    <x v="8"/>
    <x v="1"/>
    <n v="7"/>
    <x v="1"/>
  </r>
  <r>
    <s v="TX501103"/>
    <x v="18"/>
    <x v="8"/>
    <n v="49"/>
    <n v="392"/>
    <x v="43"/>
    <x v="42"/>
    <x v="0"/>
    <x v="2"/>
    <x v="1"/>
    <x v="0"/>
    <x v="9"/>
    <x v="3"/>
    <n v="7"/>
    <x v="0"/>
  </r>
  <r>
    <s v="TX501104"/>
    <x v="1"/>
    <x v="12"/>
    <n v="104.4"/>
    <n v="417.6"/>
    <x v="43"/>
    <x v="45"/>
    <x v="2"/>
    <x v="0"/>
    <x v="0"/>
    <x v="0"/>
    <x v="9"/>
    <x v="7"/>
    <n v="7"/>
    <x v="2"/>
  </r>
  <r>
    <s v="TX501105"/>
    <x v="3"/>
    <x v="0"/>
    <n v="41.6"/>
    <n v="41.6"/>
    <x v="43"/>
    <x v="41"/>
    <x v="1"/>
    <x v="3"/>
    <x v="0"/>
    <x v="0"/>
    <x v="11"/>
    <x v="2"/>
    <n v="7"/>
    <x v="1"/>
  </r>
  <r>
    <s v="TX501106"/>
    <x v="19"/>
    <x v="1"/>
    <n v="16.399999999999999"/>
    <n v="32.799999999999997"/>
    <x v="43"/>
    <x v="42"/>
    <x v="3"/>
    <x v="0"/>
    <x v="2"/>
    <x v="0"/>
    <x v="11"/>
    <x v="3"/>
    <n v="7"/>
    <x v="3"/>
  </r>
  <r>
    <s v="TX501107"/>
    <x v="8"/>
    <x v="1"/>
    <n v="22"/>
    <n v="44"/>
    <x v="43"/>
    <x v="42"/>
    <x v="1"/>
    <x v="2"/>
    <x v="2"/>
    <x v="0"/>
    <x v="53"/>
    <x v="3"/>
    <n v="7"/>
    <x v="1"/>
  </r>
  <r>
    <s v="TX501108"/>
    <x v="15"/>
    <x v="1"/>
    <n v="33.6"/>
    <n v="67.2"/>
    <x v="43"/>
    <x v="50"/>
    <x v="2"/>
    <x v="0"/>
    <x v="0"/>
    <x v="0"/>
    <x v="21"/>
    <x v="0"/>
    <n v="7"/>
    <x v="2"/>
  </r>
  <r>
    <s v="TX501109"/>
    <x v="11"/>
    <x v="13"/>
    <n v="43"/>
    <n v="258"/>
    <x v="43"/>
    <x v="42"/>
    <x v="2"/>
    <x v="2"/>
    <x v="0"/>
    <x v="0"/>
    <x v="21"/>
    <x v="3"/>
    <n v="7"/>
    <x v="2"/>
  </r>
  <r>
    <s v="TX501110"/>
    <x v="6"/>
    <x v="9"/>
    <n v="108.8"/>
    <n v="544"/>
    <x v="43"/>
    <x v="41"/>
    <x v="2"/>
    <x v="4"/>
    <x v="2"/>
    <x v="0"/>
    <x v="21"/>
    <x v="2"/>
    <n v="7"/>
    <x v="2"/>
  </r>
  <r>
    <s v="TX501111"/>
    <x v="0"/>
    <x v="11"/>
    <n v="29.3"/>
    <n v="263.7"/>
    <x v="43"/>
    <x v="48"/>
    <x v="1"/>
    <x v="4"/>
    <x v="2"/>
    <x v="0"/>
    <x v="21"/>
    <x v="1"/>
    <n v="7"/>
    <x v="1"/>
  </r>
  <r>
    <s v="TX501112"/>
    <x v="2"/>
    <x v="0"/>
    <n v="122.7"/>
    <n v="122.7"/>
    <x v="43"/>
    <x v="41"/>
    <x v="3"/>
    <x v="0"/>
    <x v="2"/>
    <x v="0"/>
    <x v="1"/>
    <x v="2"/>
    <n v="7"/>
    <x v="3"/>
  </r>
  <r>
    <s v="TX501113"/>
    <x v="4"/>
    <x v="3"/>
    <n v="22.9"/>
    <n v="160.29999999999998"/>
    <x v="43"/>
    <x v="42"/>
    <x v="2"/>
    <x v="0"/>
    <x v="0"/>
    <x v="0"/>
    <x v="42"/>
    <x v="3"/>
    <n v="7"/>
    <x v="2"/>
  </r>
  <r>
    <s v="TX501114"/>
    <x v="8"/>
    <x v="7"/>
    <n v="25.5"/>
    <n v="255"/>
    <x v="43"/>
    <x v="49"/>
    <x v="2"/>
    <x v="0"/>
    <x v="0"/>
    <x v="0"/>
    <x v="33"/>
    <x v="6"/>
    <n v="7"/>
    <x v="2"/>
  </r>
  <r>
    <s v="TX501115"/>
    <x v="17"/>
    <x v="2"/>
    <n v="23.4"/>
    <n v="70.199999999999989"/>
    <x v="43"/>
    <x v="43"/>
    <x v="2"/>
    <x v="0"/>
    <x v="2"/>
    <x v="0"/>
    <x v="3"/>
    <x v="5"/>
    <n v="7"/>
    <x v="2"/>
  </r>
  <r>
    <s v="TX501116"/>
    <x v="5"/>
    <x v="8"/>
    <n v="27.4"/>
    <n v="219.2"/>
    <x v="43"/>
    <x v="41"/>
    <x v="2"/>
    <x v="2"/>
    <x v="0"/>
    <x v="0"/>
    <x v="3"/>
    <x v="2"/>
    <n v="7"/>
    <x v="2"/>
  </r>
  <r>
    <s v="TX501117"/>
    <x v="5"/>
    <x v="9"/>
    <n v="68.400000000000006"/>
    <n v="342"/>
    <x v="43"/>
    <x v="42"/>
    <x v="2"/>
    <x v="0"/>
    <x v="0"/>
    <x v="0"/>
    <x v="3"/>
    <x v="3"/>
    <n v="7"/>
    <x v="2"/>
  </r>
  <r>
    <s v="TX501118"/>
    <x v="6"/>
    <x v="0"/>
    <n v="51.9"/>
    <n v="51.9"/>
    <x v="43"/>
    <x v="45"/>
    <x v="2"/>
    <x v="0"/>
    <x v="0"/>
    <x v="0"/>
    <x v="3"/>
    <x v="7"/>
    <n v="7"/>
    <x v="2"/>
  </r>
  <r>
    <s v="TX501119"/>
    <x v="0"/>
    <x v="9"/>
    <n v="26.4"/>
    <n v="132"/>
    <x v="43"/>
    <x v="41"/>
    <x v="2"/>
    <x v="0"/>
    <x v="2"/>
    <x v="0"/>
    <x v="3"/>
    <x v="2"/>
    <n v="7"/>
    <x v="2"/>
  </r>
  <r>
    <s v="TX501120"/>
    <x v="12"/>
    <x v="1"/>
    <n v="117"/>
    <n v="234"/>
    <x v="43"/>
    <x v="42"/>
    <x v="2"/>
    <x v="1"/>
    <x v="1"/>
    <x v="0"/>
    <x v="3"/>
    <x v="3"/>
    <n v="7"/>
    <x v="2"/>
  </r>
  <r>
    <s v="TX501121"/>
    <x v="7"/>
    <x v="2"/>
    <n v="49.6"/>
    <n v="148.80000000000001"/>
    <x v="44"/>
    <x v="41"/>
    <x v="2"/>
    <x v="0"/>
    <x v="0"/>
    <x v="0"/>
    <x v="3"/>
    <x v="1"/>
    <n v="7"/>
    <x v="2"/>
  </r>
  <r>
    <s v="TX501122"/>
    <x v="4"/>
    <x v="2"/>
    <n v="38"/>
    <n v="114"/>
    <x v="44"/>
    <x v="43"/>
    <x v="1"/>
    <x v="2"/>
    <x v="4"/>
    <x v="0"/>
    <x v="3"/>
    <x v="2"/>
    <n v="7"/>
    <x v="1"/>
  </r>
  <r>
    <s v="TX501123"/>
    <x v="0"/>
    <x v="2"/>
    <n v="20.6"/>
    <n v="61.800000000000004"/>
    <x v="44"/>
    <x v="41"/>
    <x v="2"/>
    <x v="4"/>
    <x v="2"/>
    <x v="0"/>
    <x v="3"/>
    <x v="1"/>
    <n v="7"/>
    <x v="2"/>
  </r>
  <r>
    <s v="TX501124"/>
    <x v="0"/>
    <x v="1"/>
    <n v="16"/>
    <n v="32"/>
    <x v="44"/>
    <x v="48"/>
    <x v="1"/>
    <x v="1"/>
    <x v="1"/>
    <x v="0"/>
    <x v="49"/>
    <x v="3"/>
    <n v="7"/>
    <x v="1"/>
  </r>
  <r>
    <s v="TX501125"/>
    <x v="15"/>
    <x v="12"/>
    <n v="49.3"/>
    <n v="197.2"/>
    <x v="44"/>
    <x v="48"/>
    <x v="2"/>
    <x v="2"/>
    <x v="0"/>
    <x v="0"/>
    <x v="23"/>
    <x v="3"/>
    <n v="7"/>
    <x v="2"/>
  </r>
  <r>
    <s v="TX501126"/>
    <x v="9"/>
    <x v="1"/>
    <n v="24.1"/>
    <n v="48.2"/>
    <x v="44"/>
    <x v="50"/>
    <x v="2"/>
    <x v="0"/>
    <x v="0"/>
    <x v="0"/>
    <x v="6"/>
    <x v="5"/>
    <n v="7"/>
    <x v="2"/>
  </r>
  <r>
    <s v="TX501127"/>
    <x v="15"/>
    <x v="8"/>
    <n v="32.700000000000003"/>
    <n v="261.60000000000002"/>
    <x v="44"/>
    <x v="48"/>
    <x v="2"/>
    <x v="1"/>
    <x v="0"/>
    <x v="0"/>
    <x v="6"/>
    <x v="3"/>
    <n v="7"/>
    <x v="2"/>
  </r>
  <r>
    <s v="TX501128"/>
    <x v="6"/>
    <x v="2"/>
    <n v="74.400000000000006"/>
    <n v="223.20000000000002"/>
    <x v="44"/>
    <x v="48"/>
    <x v="2"/>
    <x v="3"/>
    <x v="2"/>
    <x v="0"/>
    <x v="8"/>
    <x v="3"/>
    <n v="7"/>
    <x v="2"/>
  </r>
  <r>
    <s v="TX501129"/>
    <x v="12"/>
    <x v="0"/>
    <n v="45.6"/>
    <n v="45.6"/>
    <x v="44"/>
    <x v="50"/>
    <x v="2"/>
    <x v="4"/>
    <x v="0"/>
    <x v="0"/>
    <x v="8"/>
    <x v="5"/>
    <n v="7"/>
    <x v="2"/>
  </r>
  <r>
    <s v="TX501130"/>
    <x v="8"/>
    <x v="8"/>
    <n v="19.600000000000001"/>
    <n v="156.80000000000001"/>
    <x v="44"/>
    <x v="53"/>
    <x v="2"/>
    <x v="0"/>
    <x v="0"/>
    <x v="0"/>
    <x v="8"/>
    <x v="10"/>
    <n v="7"/>
    <x v="2"/>
  </r>
  <r>
    <s v="TX501131"/>
    <x v="9"/>
    <x v="0"/>
    <n v="51.8"/>
    <n v="51.8"/>
    <x v="44"/>
    <x v="48"/>
    <x v="2"/>
    <x v="1"/>
    <x v="0"/>
    <x v="0"/>
    <x v="8"/>
    <x v="3"/>
    <n v="7"/>
    <x v="2"/>
  </r>
  <r>
    <s v="TX501132"/>
    <x v="6"/>
    <x v="0"/>
    <n v="74.7"/>
    <n v="74.7"/>
    <x v="44"/>
    <x v="48"/>
    <x v="1"/>
    <x v="0"/>
    <x v="1"/>
    <x v="0"/>
    <x v="8"/>
    <x v="3"/>
    <n v="7"/>
    <x v="1"/>
  </r>
  <r>
    <s v="TX501133"/>
    <x v="19"/>
    <x v="2"/>
    <n v="22.4"/>
    <n v="67.199999999999989"/>
    <x v="44"/>
    <x v="48"/>
    <x v="2"/>
    <x v="1"/>
    <x v="2"/>
    <x v="0"/>
    <x v="9"/>
    <x v="3"/>
    <n v="7"/>
    <x v="2"/>
  </r>
  <r>
    <s v="TX501134"/>
    <x v="1"/>
    <x v="12"/>
    <n v="31.4"/>
    <n v="125.6"/>
    <x v="44"/>
    <x v="48"/>
    <x v="2"/>
    <x v="1"/>
    <x v="0"/>
    <x v="0"/>
    <x v="9"/>
    <x v="3"/>
    <n v="7"/>
    <x v="2"/>
  </r>
  <r>
    <s v="TX501135"/>
    <x v="6"/>
    <x v="0"/>
    <n v="94"/>
    <n v="94"/>
    <x v="44"/>
    <x v="42"/>
    <x v="2"/>
    <x v="1"/>
    <x v="2"/>
    <x v="0"/>
    <x v="10"/>
    <x v="7"/>
    <n v="7"/>
    <x v="2"/>
  </r>
  <r>
    <s v="TX501136"/>
    <x v="10"/>
    <x v="0"/>
    <n v="22.3"/>
    <n v="22.3"/>
    <x v="44"/>
    <x v="48"/>
    <x v="1"/>
    <x v="4"/>
    <x v="0"/>
    <x v="0"/>
    <x v="20"/>
    <x v="3"/>
    <n v="7"/>
    <x v="1"/>
  </r>
  <r>
    <s v="TX501137"/>
    <x v="0"/>
    <x v="0"/>
    <n v="21.9"/>
    <n v="21.9"/>
    <x v="44"/>
    <x v="43"/>
    <x v="2"/>
    <x v="2"/>
    <x v="0"/>
    <x v="0"/>
    <x v="21"/>
    <x v="2"/>
    <n v="7"/>
    <x v="2"/>
  </r>
  <r>
    <s v="TX501138"/>
    <x v="17"/>
    <x v="2"/>
    <n v="27"/>
    <n v="81"/>
    <x v="44"/>
    <x v="41"/>
    <x v="2"/>
    <x v="4"/>
    <x v="2"/>
    <x v="0"/>
    <x v="2"/>
    <x v="1"/>
    <n v="7"/>
    <x v="2"/>
  </r>
  <r>
    <s v="TX501139"/>
    <x v="2"/>
    <x v="12"/>
    <n v="149.6"/>
    <n v="598.4"/>
    <x v="44"/>
    <x v="42"/>
    <x v="2"/>
    <x v="4"/>
    <x v="0"/>
    <x v="0"/>
    <x v="22"/>
    <x v="7"/>
    <n v="7"/>
    <x v="2"/>
  </r>
  <r>
    <s v="TX501140"/>
    <x v="2"/>
    <x v="12"/>
    <n v="129.1"/>
    <n v="516.4"/>
    <x v="44"/>
    <x v="54"/>
    <x v="1"/>
    <x v="0"/>
    <x v="1"/>
    <x v="0"/>
    <x v="3"/>
    <x v="14"/>
    <n v="7"/>
    <x v="1"/>
  </r>
  <r>
    <s v="TX501141"/>
    <x v="1"/>
    <x v="4"/>
    <n v="40.4"/>
    <n v="484.79999999999995"/>
    <x v="44"/>
    <x v="48"/>
    <x v="1"/>
    <x v="1"/>
    <x v="1"/>
    <x v="0"/>
    <x v="3"/>
    <x v="3"/>
    <n v="7"/>
    <x v="1"/>
  </r>
  <r>
    <s v="TX501142"/>
    <x v="4"/>
    <x v="2"/>
    <n v="48.5"/>
    <n v="145.5"/>
    <x v="44"/>
    <x v="41"/>
    <x v="2"/>
    <x v="0"/>
    <x v="4"/>
    <x v="0"/>
    <x v="3"/>
    <x v="1"/>
    <n v="7"/>
    <x v="2"/>
  </r>
  <r>
    <s v="TX501143"/>
    <x v="9"/>
    <x v="1"/>
    <n v="37.6"/>
    <n v="75.2"/>
    <x v="44"/>
    <x v="41"/>
    <x v="2"/>
    <x v="1"/>
    <x v="2"/>
    <x v="0"/>
    <x v="3"/>
    <x v="1"/>
    <n v="7"/>
    <x v="2"/>
  </r>
  <r>
    <s v="TX501144"/>
    <x v="8"/>
    <x v="1"/>
    <n v="19.600000000000001"/>
    <n v="39.200000000000003"/>
    <x v="44"/>
    <x v="48"/>
    <x v="1"/>
    <x v="3"/>
    <x v="4"/>
    <x v="0"/>
    <x v="43"/>
    <x v="3"/>
    <n v="7"/>
    <x v="1"/>
  </r>
  <r>
    <s v="TX501145"/>
    <x v="8"/>
    <x v="9"/>
    <n v="18.5"/>
    <n v="92.5"/>
    <x v="44"/>
    <x v="48"/>
    <x v="2"/>
    <x v="2"/>
    <x v="1"/>
    <x v="0"/>
    <x v="6"/>
    <x v="3"/>
    <n v="7"/>
    <x v="2"/>
  </r>
  <r>
    <s v="TX501146"/>
    <x v="5"/>
    <x v="2"/>
    <n v="25.5"/>
    <n v="76.5"/>
    <x v="44"/>
    <x v="41"/>
    <x v="2"/>
    <x v="4"/>
    <x v="1"/>
    <x v="0"/>
    <x v="6"/>
    <x v="1"/>
    <n v="7"/>
    <x v="2"/>
  </r>
  <r>
    <s v="TX501147"/>
    <x v="2"/>
    <x v="1"/>
    <n v="94.7"/>
    <n v="189.4"/>
    <x v="44"/>
    <x v="48"/>
    <x v="2"/>
    <x v="2"/>
    <x v="0"/>
    <x v="0"/>
    <x v="36"/>
    <x v="3"/>
    <n v="7"/>
    <x v="2"/>
  </r>
  <r>
    <s v="TX501148"/>
    <x v="1"/>
    <x v="13"/>
    <n v="38.799999999999997"/>
    <n v="232.79999999999998"/>
    <x v="44"/>
    <x v="46"/>
    <x v="2"/>
    <x v="2"/>
    <x v="2"/>
    <x v="0"/>
    <x v="8"/>
    <x v="0"/>
    <n v="7"/>
    <x v="2"/>
  </r>
  <r>
    <s v="TX501149"/>
    <x v="9"/>
    <x v="1"/>
    <n v="49.4"/>
    <n v="98.8"/>
    <x v="45"/>
    <x v="55"/>
    <x v="1"/>
    <x v="4"/>
    <x v="1"/>
    <x v="0"/>
    <x v="8"/>
    <x v="9"/>
    <n v="7"/>
    <x v="1"/>
  </r>
  <r>
    <s v="TX501150"/>
    <x v="7"/>
    <x v="2"/>
    <n v="68"/>
    <n v="204"/>
    <x v="45"/>
    <x v="50"/>
    <x v="1"/>
    <x v="0"/>
    <x v="2"/>
    <x v="0"/>
    <x v="8"/>
    <x v="2"/>
    <n v="7"/>
    <x v="1"/>
  </r>
  <r>
    <s v="TX501151"/>
    <x v="15"/>
    <x v="3"/>
    <n v="63.7"/>
    <n v="445.90000000000003"/>
    <x v="45"/>
    <x v="41"/>
    <x v="2"/>
    <x v="2"/>
    <x v="2"/>
    <x v="0"/>
    <x v="8"/>
    <x v="3"/>
    <n v="7"/>
    <x v="2"/>
  </r>
  <r>
    <s v="TX501152"/>
    <x v="10"/>
    <x v="1"/>
    <n v="66.2"/>
    <n v="132.4"/>
    <x v="45"/>
    <x v="41"/>
    <x v="2"/>
    <x v="4"/>
    <x v="2"/>
    <x v="0"/>
    <x v="17"/>
    <x v="3"/>
    <n v="7"/>
    <x v="2"/>
  </r>
  <r>
    <s v="TX501153"/>
    <x v="12"/>
    <x v="2"/>
    <n v="32.299999999999997"/>
    <n v="96.899999999999991"/>
    <x v="45"/>
    <x v="41"/>
    <x v="3"/>
    <x v="2"/>
    <x v="1"/>
    <x v="0"/>
    <x v="9"/>
    <x v="3"/>
    <n v="7"/>
    <x v="3"/>
  </r>
  <r>
    <s v="TX501154"/>
    <x v="4"/>
    <x v="1"/>
    <n v="66.900000000000006"/>
    <n v="133.80000000000001"/>
    <x v="45"/>
    <x v="50"/>
    <x v="1"/>
    <x v="1"/>
    <x v="0"/>
    <x v="0"/>
    <x v="11"/>
    <x v="2"/>
    <n v="7"/>
    <x v="1"/>
  </r>
  <r>
    <s v="TX501155"/>
    <x v="4"/>
    <x v="4"/>
    <n v="25.2"/>
    <n v="302.39999999999998"/>
    <x v="45"/>
    <x v="46"/>
    <x v="2"/>
    <x v="0"/>
    <x v="1"/>
    <x v="0"/>
    <x v="11"/>
    <x v="5"/>
    <n v="7"/>
    <x v="2"/>
  </r>
  <r>
    <s v="TX501156"/>
    <x v="10"/>
    <x v="13"/>
    <n v="29.5"/>
    <n v="177"/>
    <x v="45"/>
    <x v="41"/>
    <x v="1"/>
    <x v="2"/>
    <x v="0"/>
    <x v="0"/>
    <x v="11"/>
    <x v="3"/>
    <n v="7"/>
    <x v="1"/>
  </r>
  <r>
    <s v="TX501157"/>
    <x v="8"/>
    <x v="9"/>
    <n v="21.6"/>
    <n v="108"/>
    <x v="45"/>
    <x v="43"/>
    <x v="2"/>
    <x v="0"/>
    <x v="2"/>
    <x v="0"/>
    <x v="32"/>
    <x v="1"/>
    <n v="7"/>
    <x v="2"/>
  </r>
  <r>
    <s v="TX501158"/>
    <x v="12"/>
    <x v="2"/>
    <n v="69"/>
    <n v="207"/>
    <x v="45"/>
    <x v="41"/>
    <x v="2"/>
    <x v="0"/>
    <x v="0"/>
    <x v="0"/>
    <x v="18"/>
    <x v="3"/>
    <n v="7"/>
    <x v="2"/>
  </r>
  <r>
    <s v="TX501159"/>
    <x v="7"/>
    <x v="1"/>
    <n v="115"/>
    <n v="230"/>
    <x v="45"/>
    <x v="46"/>
    <x v="1"/>
    <x v="0"/>
    <x v="2"/>
    <x v="0"/>
    <x v="18"/>
    <x v="5"/>
    <n v="7"/>
    <x v="1"/>
  </r>
  <r>
    <s v="TX501160"/>
    <x v="2"/>
    <x v="1"/>
    <n v="109.3"/>
    <n v="218.6"/>
    <x v="45"/>
    <x v="43"/>
    <x v="0"/>
    <x v="3"/>
    <x v="1"/>
    <x v="0"/>
    <x v="19"/>
    <x v="1"/>
    <n v="7"/>
    <x v="0"/>
  </r>
  <r>
    <s v="TX501161"/>
    <x v="9"/>
    <x v="1"/>
    <n v="66.599999999999994"/>
    <n v="133.19999999999999"/>
    <x v="45"/>
    <x v="50"/>
    <x v="0"/>
    <x v="4"/>
    <x v="1"/>
    <x v="0"/>
    <x v="19"/>
    <x v="2"/>
    <n v="7"/>
    <x v="0"/>
  </r>
  <r>
    <s v="TX501162"/>
    <x v="12"/>
    <x v="9"/>
    <n v="47.7"/>
    <n v="238.5"/>
    <x v="45"/>
    <x v="41"/>
    <x v="1"/>
    <x v="3"/>
    <x v="2"/>
    <x v="0"/>
    <x v="21"/>
    <x v="3"/>
    <n v="7"/>
    <x v="1"/>
  </r>
  <r>
    <s v="TX501163"/>
    <x v="8"/>
    <x v="1"/>
    <n v="46"/>
    <n v="92"/>
    <x v="45"/>
    <x v="41"/>
    <x v="2"/>
    <x v="4"/>
    <x v="4"/>
    <x v="0"/>
    <x v="22"/>
    <x v="3"/>
    <n v="7"/>
    <x v="2"/>
  </r>
  <r>
    <s v="TX501164"/>
    <x v="1"/>
    <x v="13"/>
    <n v="39.299999999999997"/>
    <n v="235.79999999999998"/>
    <x v="45"/>
    <x v="43"/>
    <x v="1"/>
    <x v="3"/>
    <x v="2"/>
    <x v="0"/>
    <x v="3"/>
    <x v="1"/>
    <n v="7"/>
    <x v="1"/>
  </r>
  <r>
    <s v="TX501165"/>
    <x v="9"/>
    <x v="0"/>
    <n v="70.2"/>
    <n v="70.2"/>
    <x v="45"/>
    <x v="41"/>
    <x v="2"/>
    <x v="0"/>
    <x v="4"/>
    <x v="0"/>
    <x v="3"/>
    <x v="3"/>
    <n v="7"/>
    <x v="2"/>
  </r>
  <r>
    <s v="TX501166"/>
    <x v="3"/>
    <x v="12"/>
    <n v="71.5"/>
    <n v="286"/>
    <x v="45"/>
    <x v="48"/>
    <x v="2"/>
    <x v="1"/>
    <x v="2"/>
    <x v="0"/>
    <x v="3"/>
    <x v="7"/>
    <n v="7"/>
    <x v="2"/>
  </r>
  <r>
    <s v="TX501167"/>
    <x v="10"/>
    <x v="3"/>
    <n v="31"/>
    <n v="217"/>
    <x v="45"/>
    <x v="56"/>
    <x v="2"/>
    <x v="3"/>
    <x v="2"/>
    <x v="0"/>
    <x v="3"/>
    <x v="6"/>
    <n v="7"/>
    <x v="2"/>
  </r>
  <r>
    <s v="TX501168"/>
    <x v="2"/>
    <x v="9"/>
    <n v="68.2"/>
    <n v="341"/>
    <x v="45"/>
    <x v="49"/>
    <x v="2"/>
    <x v="0"/>
    <x v="2"/>
    <x v="0"/>
    <x v="3"/>
    <x v="0"/>
    <n v="7"/>
    <x v="2"/>
  </r>
  <r>
    <s v="TX501169"/>
    <x v="2"/>
    <x v="0"/>
    <n v="91.4"/>
    <n v="91.4"/>
    <x v="45"/>
    <x v="46"/>
    <x v="2"/>
    <x v="1"/>
    <x v="2"/>
    <x v="0"/>
    <x v="6"/>
    <x v="5"/>
    <n v="7"/>
    <x v="2"/>
  </r>
  <r>
    <s v="TX501170"/>
    <x v="6"/>
    <x v="7"/>
    <n v="112.9"/>
    <n v="1129"/>
    <x v="45"/>
    <x v="41"/>
    <x v="2"/>
    <x v="0"/>
    <x v="0"/>
    <x v="0"/>
    <x v="6"/>
    <x v="3"/>
    <n v="7"/>
    <x v="2"/>
  </r>
  <r>
    <s v="TX501171"/>
    <x v="17"/>
    <x v="11"/>
    <n v="33.700000000000003"/>
    <n v="303.3"/>
    <x v="45"/>
    <x v="41"/>
    <x v="2"/>
    <x v="1"/>
    <x v="2"/>
    <x v="0"/>
    <x v="8"/>
    <x v="3"/>
    <n v="7"/>
    <x v="2"/>
  </r>
  <r>
    <s v="TX501172"/>
    <x v="15"/>
    <x v="7"/>
    <n v="35.299999999999997"/>
    <n v="353"/>
    <x v="45"/>
    <x v="43"/>
    <x v="1"/>
    <x v="2"/>
    <x v="0"/>
    <x v="0"/>
    <x v="8"/>
    <x v="1"/>
    <n v="7"/>
    <x v="1"/>
  </r>
  <r>
    <s v="TX501173"/>
    <x v="18"/>
    <x v="2"/>
    <n v="45.6"/>
    <n v="136.80000000000001"/>
    <x v="45"/>
    <x v="46"/>
    <x v="1"/>
    <x v="3"/>
    <x v="0"/>
    <x v="0"/>
    <x v="8"/>
    <x v="5"/>
    <n v="7"/>
    <x v="1"/>
  </r>
  <r>
    <s v="TX501174"/>
    <x v="7"/>
    <x v="3"/>
    <n v="47.1"/>
    <n v="329.7"/>
    <x v="45"/>
    <x v="41"/>
    <x v="2"/>
    <x v="4"/>
    <x v="2"/>
    <x v="0"/>
    <x v="9"/>
    <x v="3"/>
    <n v="7"/>
    <x v="2"/>
  </r>
  <r>
    <s v="TX501175"/>
    <x v="8"/>
    <x v="9"/>
    <n v="16.2"/>
    <n v="81"/>
    <x v="45"/>
    <x v="43"/>
    <x v="2"/>
    <x v="3"/>
    <x v="2"/>
    <x v="0"/>
    <x v="19"/>
    <x v="1"/>
    <n v="7"/>
    <x v="2"/>
  </r>
  <r>
    <s v="TX501176"/>
    <x v="1"/>
    <x v="1"/>
    <n v="159.69999999999999"/>
    <n v="319.39999999999998"/>
    <x v="46"/>
    <x v="43"/>
    <x v="1"/>
    <x v="4"/>
    <x v="0"/>
    <x v="0"/>
    <x v="13"/>
    <x v="3"/>
    <n v="8"/>
    <x v="1"/>
  </r>
  <r>
    <s v="TX501177"/>
    <x v="8"/>
    <x v="12"/>
    <n v="19"/>
    <n v="76"/>
    <x v="46"/>
    <x v="55"/>
    <x v="2"/>
    <x v="2"/>
    <x v="2"/>
    <x v="0"/>
    <x v="21"/>
    <x v="6"/>
    <n v="8"/>
    <x v="2"/>
  </r>
  <r>
    <s v="TX501178"/>
    <x v="6"/>
    <x v="13"/>
    <n v="91.1"/>
    <n v="546.59999999999991"/>
    <x v="46"/>
    <x v="51"/>
    <x v="2"/>
    <x v="4"/>
    <x v="0"/>
    <x v="0"/>
    <x v="21"/>
    <x v="8"/>
    <n v="8"/>
    <x v="2"/>
  </r>
  <r>
    <s v="TX501179"/>
    <x v="2"/>
    <x v="9"/>
    <n v="94.1"/>
    <n v="470.5"/>
    <x v="46"/>
    <x v="46"/>
    <x v="0"/>
    <x v="1"/>
    <x v="1"/>
    <x v="0"/>
    <x v="21"/>
    <x v="2"/>
    <n v="8"/>
    <x v="0"/>
  </r>
  <r>
    <s v="TX501180"/>
    <x v="9"/>
    <x v="11"/>
    <n v="21.1"/>
    <n v="189.9"/>
    <x v="46"/>
    <x v="43"/>
    <x v="2"/>
    <x v="4"/>
    <x v="2"/>
    <x v="0"/>
    <x v="51"/>
    <x v="3"/>
    <n v="8"/>
    <x v="2"/>
  </r>
  <r>
    <s v="TX501181"/>
    <x v="8"/>
    <x v="3"/>
    <n v="15.3"/>
    <n v="107.10000000000001"/>
    <x v="46"/>
    <x v="54"/>
    <x v="2"/>
    <x v="2"/>
    <x v="0"/>
    <x v="0"/>
    <x v="1"/>
    <x v="9"/>
    <n v="8"/>
    <x v="2"/>
  </r>
  <r>
    <s v="TX501182"/>
    <x v="15"/>
    <x v="12"/>
    <n v="21.3"/>
    <n v="85.2"/>
    <x v="46"/>
    <x v="46"/>
    <x v="1"/>
    <x v="1"/>
    <x v="0"/>
    <x v="0"/>
    <x v="3"/>
    <x v="2"/>
    <n v="8"/>
    <x v="1"/>
  </r>
  <r>
    <s v="TX501183"/>
    <x v="0"/>
    <x v="1"/>
    <n v="23.2"/>
    <n v="46.4"/>
    <x v="46"/>
    <x v="41"/>
    <x v="0"/>
    <x v="3"/>
    <x v="1"/>
    <x v="0"/>
    <x v="3"/>
    <x v="7"/>
    <n v="8"/>
    <x v="0"/>
  </r>
  <r>
    <s v="TX501184"/>
    <x v="4"/>
    <x v="2"/>
    <n v="25.7"/>
    <n v="77.099999999999994"/>
    <x v="46"/>
    <x v="43"/>
    <x v="1"/>
    <x v="4"/>
    <x v="0"/>
    <x v="0"/>
    <x v="3"/>
    <x v="3"/>
    <n v="8"/>
    <x v="1"/>
  </r>
  <r>
    <s v="TX501185"/>
    <x v="0"/>
    <x v="11"/>
    <n v="31.6"/>
    <n v="284.40000000000003"/>
    <x v="46"/>
    <x v="50"/>
    <x v="2"/>
    <x v="0"/>
    <x v="0"/>
    <x v="0"/>
    <x v="3"/>
    <x v="1"/>
    <n v="8"/>
    <x v="2"/>
  </r>
  <r>
    <s v="TX501186"/>
    <x v="6"/>
    <x v="0"/>
    <n v="64.2"/>
    <n v="64.2"/>
    <x v="46"/>
    <x v="47"/>
    <x v="1"/>
    <x v="0"/>
    <x v="0"/>
    <x v="0"/>
    <x v="3"/>
    <x v="0"/>
    <n v="8"/>
    <x v="1"/>
  </r>
  <r>
    <s v="TX501187"/>
    <x v="8"/>
    <x v="1"/>
    <n v="55.8"/>
    <n v="111.6"/>
    <x v="46"/>
    <x v="50"/>
    <x v="0"/>
    <x v="0"/>
    <x v="0"/>
    <x v="0"/>
    <x v="3"/>
    <x v="1"/>
    <n v="8"/>
    <x v="0"/>
  </r>
  <r>
    <s v="TX501188"/>
    <x v="8"/>
    <x v="1"/>
    <n v="28.1"/>
    <n v="56.2"/>
    <x v="46"/>
    <x v="43"/>
    <x v="2"/>
    <x v="4"/>
    <x v="1"/>
    <x v="0"/>
    <x v="3"/>
    <x v="3"/>
    <n v="8"/>
    <x v="2"/>
  </r>
  <r>
    <s v="TX501189"/>
    <x v="0"/>
    <x v="1"/>
    <n v="11.6"/>
    <n v="23.2"/>
    <x v="46"/>
    <x v="50"/>
    <x v="2"/>
    <x v="1"/>
    <x v="0"/>
    <x v="0"/>
    <x v="24"/>
    <x v="1"/>
    <n v="8"/>
    <x v="2"/>
  </r>
  <r>
    <s v="TX501190"/>
    <x v="5"/>
    <x v="2"/>
    <n v="50.4"/>
    <n v="151.19999999999999"/>
    <x v="46"/>
    <x v="43"/>
    <x v="1"/>
    <x v="4"/>
    <x v="2"/>
    <x v="0"/>
    <x v="25"/>
    <x v="3"/>
    <n v="8"/>
    <x v="1"/>
  </r>
  <r>
    <s v="TX501191"/>
    <x v="6"/>
    <x v="13"/>
    <n v="48.3"/>
    <n v="289.79999999999995"/>
    <x v="46"/>
    <x v="49"/>
    <x v="2"/>
    <x v="0"/>
    <x v="0"/>
    <x v="0"/>
    <x v="25"/>
    <x v="5"/>
    <n v="8"/>
    <x v="2"/>
  </r>
  <r>
    <s v="TX501192"/>
    <x v="17"/>
    <x v="3"/>
    <n v="32.200000000000003"/>
    <n v="225.40000000000003"/>
    <x v="46"/>
    <x v="50"/>
    <x v="2"/>
    <x v="2"/>
    <x v="0"/>
    <x v="0"/>
    <x v="25"/>
    <x v="1"/>
    <n v="8"/>
    <x v="2"/>
  </r>
  <r>
    <s v="TX501193"/>
    <x v="7"/>
    <x v="31"/>
    <n v="48.5"/>
    <n v="1358"/>
    <x v="46"/>
    <x v="43"/>
    <x v="1"/>
    <x v="0"/>
    <x v="0"/>
    <x v="0"/>
    <x v="5"/>
    <x v="3"/>
    <n v="8"/>
    <x v="1"/>
  </r>
  <r>
    <s v="TX501194"/>
    <x v="2"/>
    <x v="9"/>
    <n v="62"/>
    <n v="310"/>
    <x v="46"/>
    <x v="46"/>
    <x v="2"/>
    <x v="1"/>
    <x v="0"/>
    <x v="0"/>
    <x v="6"/>
    <x v="2"/>
    <n v="8"/>
    <x v="2"/>
  </r>
  <r>
    <s v="TX501195"/>
    <x v="8"/>
    <x v="2"/>
    <n v="32.1"/>
    <n v="96.300000000000011"/>
    <x v="47"/>
    <x v="46"/>
    <x v="1"/>
    <x v="0"/>
    <x v="0"/>
    <x v="0"/>
    <x v="6"/>
    <x v="1"/>
    <n v="8"/>
    <x v="1"/>
  </r>
  <r>
    <s v="TX501196"/>
    <x v="12"/>
    <x v="2"/>
    <n v="106.1"/>
    <n v="318.29999999999995"/>
    <x v="47"/>
    <x v="46"/>
    <x v="1"/>
    <x v="0"/>
    <x v="1"/>
    <x v="0"/>
    <x v="7"/>
    <x v="1"/>
    <n v="8"/>
    <x v="1"/>
  </r>
  <r>
    <s v="TX501197"/>
    <x v="10"/>
    <x v="2"/>
    <n v="23.5"/>
    <n v="70.5"/>
    <x v="47"/>
    <x v="49"/>
    <x v="1"/>
    <x v="0"/>
    <x v="4"/>
    <x v="0"/>
    <x v="7"/>
    <x v="2"/>
    <n v="8"/>
    <x v="1"/>
  </r>
  <r>
    <s v="TX501198"/>
    <x v="1"/>
    <x v="1"/>
    <n v="35.6"/>
    <n v="71.2"/>
    <x v="47"/>
    <x v="56"/>
    <x v="1"/>
    <x v="4"/>
    <x v="0"/>
    <x v="0"/>
    <x v="8"/>
    <x v="0"/>
    <n v="8"/>
    <x v="1"/>
  </r>
  <r>
    <s v="TX501199"/>
    <x v="1"/>
    <x v="1"/>
    <n v="63.5"/>
    <n v="127"/>
    <x v="47"/>
    <x v="43"/>
    <x v="2"/>
    <x v="1"/>
    <x v="2"/>
    <x v="0"/>
    <x v="8"/>
    <x v="7"/>
    <n v="8"/>
    <x v="2"/>
  </r>
  <r>
    <s v="TX501200"/>
    <x v="6"/>
    <x v="3"/>
    <n v="82.9"/>
    <n v="580.30000000000007"/>
    <x v="47"/>
    <x v="56"/>
    <x v="2"/>
    <x v="4"/>
    <x v="0"/>
    <x v="0"/>
    <x v="9"/>
    <x v="0"/>
    <n v="8"/>
    <x v="2"/>
  </r>
  <r>
    <s v="TX501201"/>
    <x v="6"/>
    <x v="1"/>
    <n v="83.6"/>
    <n v="167.2"/>
    <x v="47"/>
    <x v="56"/>
    <x v="2"/>
    <x v="0"/>
    <x v="0"/>
    <x v="0"/>
    <x v="11"/>
    <x v="0"/>
    <n v="8"/>
    <x v="2"/>
  </r>
  <r>
    <s v="TX501202"/>
    <x v="4"/>
    <x v="1"/>
    <n v="29.4"/>
    <n v="58.8"/>
    <x v="47"/>
    <x v="43"/>
    <x v="2"/>
    <x v="0"/>
    <x v="1"/>
    <x v="0"/>
    <x v="30"/>
    <x v="7"/>
    <n v="8"/>
    <x v="2"/>
  </r>
  <r>
    <s v="TX501203"/>
    <x v="2"/>
    <x v="2"/>
    <n v="107.1"/>
    <n v="321.29999999999995"/>
    <x v="47"/>
    <x v="47"/>
    <x v="2"/>
    <x v="2"/>
    <x v="0"/>
    <x v="0"/>
    <x v="20"/>
    <x v="5"/>
    <n v="8"/>
    <x v="2"/>
  </r>
  <r>
    <s v="TX501204"/>
    <x v="2"/>
    <x v="0"/>
    <n v="62.7"/>
    <n v="62.7"/>
    <x v="47"/>
    <x v="47"/>
    <x v="1"/>
    <x v="1"/>
    <x v="0"/>
    <x v="0"/>
    <x v="21"/>
    <x v="5"/>
    <n v="8"/>
    <x v="1"/>
  </r>
  <r>
    <s v="TX501205"/>
    <x v="11"/>
    <x v="0"/>
    <n v="41.6"/>
    <n v="41.6"/>
    <x v="47"/>
    <x v="50"/>
    <x v="1"/>
    <x v="0"/>
    <x v="1"/>
    <x v="0"/>
    <x v="1"/>
    <x v="3"/>
    <n v="8"/>
    <x v="1"/>
  </r>
  <r>
    <s v="TX501206"/>
    <x v="6"/>
    <x v="0"/>
    <n v="44.2"/>
    <n v="44.2"/>
    <x v="47"/>
    <x v="50"/>
    <x v="3"/>
    <x v="0"/>
    <x v="1"/>
    <x v="0"/>
    <x v="1"/>
    <x v="3"/>
    <n v="8"/>
    <x v="3"/>
  </r>
  <r>
    <s v="TX501207"/>
    <x v="4"/>
    <x v="13"/>
    <n v="40.4"/>
    <n v="242.39999999999998"/>
    <x v="47"/>
    <x v="57"/>
    <x v="2"/>
    <x v="2"/>
    <x v="0"/>
    <x v="0"/>
    <x v="22"/>
    <x v="10"/>
    <n v="8"/>
    <x v="2"/>
  </r>
  <r>
    <s v="TX501208"/>
    <x v="15"/>
    <x v="13"/>
    <n v="59.6"/>
    <n v="357.6"/>
    <x v="47"/>
    <x v="50"/>
    <x v="2"/>
    <x v="4"/>
    <x v="0"/>
    <x v="0"/>
    <x v="34"/>
    <x v="3"/>
    <n v="8"/>
    <x v="2"/>
  </r>
  <r>
    <s v="TX501209"/>
    <x v="17"/>
    <x v="4"/>
    <n v="63.8"/>
    <n v="765.59999999999991"/>
    <x v="47"/>
    <x v="50"/>
    <x v="1"/>
    <x v="1"/>
    <x v="0"/>
    <x v="0"/>
    <x v="3"/>
    <x v="3"/>
    <n v="8"/>
    <x v="1"/>
  </r>
  <r>
    <s v="TX501210"/>
    <x v="9"/>
    <x v="13"/>
    <n v="30.8"/>
    <n v="184.8"/>
    <x v="47"/>
    <x v="46"/>
    <x v="1"/>
    <x v="4"/>
    <x v="0"/>
    <x v="0"/>
    <x v="3"/>
    <x v="1"/>
    <n v="8"/>
    <x v="1"/>
  </r>
  <r>
    <s v="TX501211"/>
    <x v="1"/>
    <x v="1"/>
    <n v="41.5"/>
    <n v="83"/>
    <x v="47"/>
    <x v="49"/>
    <x v="3"/>
    <x v="0"/>
    <x v="0"/>
    <x v="0"/>
    <x v="3"/>
    <x v="2"/>
    <n v="8"/>
    <x v="3"/>
  </r>
  <r>
    <s v="TX501212"/>
    <x v="10"/>
    <x v="12"/>
    <n v="44.7"/>
    <n v="178.8"/>
    <x v="47"/>
    <x v="46"/>
    <x v="2"/>
    <x v="2"/>
    <x v="1"/>
    <x v="0"/>
    <x v="3"/>
    <x v="1"/>
    <n v="8"/>
    <x v="2"/>
  </r>
  <r>
    <s v="TX501213"/>
    <x v="12"/>
    <x v="1"/>
    <n v="64.099999999999994"/>
    <n v="128.19999999999999"/>
    <x v="47"/>
    <x v="47"/>
    <x v="2"/>
    <x v="1"/>
    <x v="4"/>
    <x v="0"/>
    <x v="3"/>
    <x v="5"/>
    <n v="8"/>
    <x v="2"/>
  </r>
  <r>
    <s v="TX501214"/>
    <x v="8"/>
    <x v="0"/>
    <n v="15.9"/>
    <n v="15.9"/>
    <x v="47"/>
    <x v="49"/>
    <x v="0"/>
    <x v="1"/>
    <x v="0"/>
    <x v="0"/>
    <x v="3"/>
    <x v="2"/>
    <n v="8"/>
    <x v="0"/>
  </r>
  <r>
    <s v="TX501215"/>
    <x v="6"/>
    <x v="1"/>
    <n v="78.7"/>
    <n v="157.4"/>
    <x v="47"/>
    <x v="43"/>
    <x v="2"/>
    <x v="2"/>
    <x v="1"/>
    <x v="0"/>
    <x v="3"/>
    <x v="7"/>
    <n v="8"/>
    <x v="2"/>
  </r>
  <r>
    <s v="TX501216"/>
    <x v="5"/>
    <x v="4"/>
    <n v="29.6"/>
    <n v="355.20000000000005"/>
    <x v="47"/>
    <x v="47"/>
    <x v="1"/>
    <x v="2"/>
    <x v="4"/>
    <x v="0"/>
    <x v="3"/>
    <x v="5"/>
    <n v="8"/>
    <x v="1"/>
  </r>
  <r>
    <s v="TX501217"/>
    <x v="8"/>
    <x v="12"/>
    <n v="21.5"/>
    <n v="86"/>
    <x v="47"/>
    <x v="49"/>
    <x v="1"/>
    <x v="1"/>
    <x v="0"/>
    <x v="0"/>
    <x v="3"/>
    <x v="2"/>
    <n v="8"/>
    <x v="1"/>
  </r>
  <r>
    <s v="TX501218"/>
    <x v="9"/>
    <x v="2"/>
    <n v="74.900000000000006"/>
    <n v="224.70000000000002"/>
    <x v="47"/>
    <x v="52"/>
    <x v="1"/>
    <x v="3"/>
    <x v="1"/>
    <x v="0"/>
    <x v="3"/>
    <x v="8"/>
    <n v="8"/>
    <x v="1"/>
  </r>
  <r>
    <s v="TX501219"/>
    <x v="10"/>
    <x v="13"/>
    <n v="45"/>
    <n v="270"/>
    <x v="47"/>
    <x v="56"/>
    <x v="2"/>
    <x v="2"/>
    <x v="0"/>
    <x v="0"/>
    <x v="3"/>
    <x v="0"/>
    <n v="8"/>
    <x v="2"/>
  </r>
  <r>
    <s v="TX501220"/>
    <x v="7"/>
    <x v="33"/>
    <n v="37.9"/>
    <n v="1288.5999999999999"/>
    <x v="47"/>
    <x v="50"/>
    <x v="1"/>
    <x v="0"/>
    <x v="0"/>
    <x v="0"/>
    <x v="3"/>
    <x v="3"/>
    <n v="8"/>
    <x v="1"/>
  </r>
  <r>
    <s v="TX501221"/>
    <x v="6"/>
    <x v="2"/>
    <n v="56.6"/>
    <n v="169.8"/>
    <x v="47"/>
    <x v="50"/>
    <x v="1"/>
    <x v="3"/>
    <x v="0"/>
    <x v="0"/>
    <x v="3"/>
    <x v="3"/>
    <n v="8"/>
    <x v="1"/>
  </r>
  <r>
    <s v="TX501222"/>
    <x v="3"/>
    <x v="15"/>
    <n v="84.5"/>
    <n v="1098.5"/>
    <x v="47"/>
    <x v="49"/>
    <x v="2"/>
    <x v="1"/>
    <x v="4"/>
    <x v="0"/>
    <x v="3"/>
    <x v="2"/>
    <n v="8"/>
    <x v="2"/>
  </r>
  <r>
    <s v="TX501223"/>
    <x v="2"/>
    <x v="9"/>
    <n v="105.4"/>
    <n v="527"/>
    <x v="47"/>
    <x v="46"/>
    <x v="2"/>
    <x v="1"/>
    <x v="1"/>
    <x v="0"/>
    <x v="3"/>
    <x v="1"/>
    <n v="8"/>
    <x v="2"/>
  </r>
  <r>
    <s v="TX501224"/>
    <x v="18"/>
    <x v="3"/>
    <n v="39.4"/>
    <n v="275.8"/>
    <x v="48"/>
    <x v="50"/>
    <x v="1"/>
    <x v="1"/>
    <x v="0"/>
    <x v="0"/>
    <x v="37"/>
    <x v="7"/>
    <n v="8"/>
    <x v="1"/>
  </r>
  <r>
    <s v="TX501225"/>
    <x v="19"/>
    <x v="2"/>
    <n v="38"/>
    <n v="114"/>
    <x v="48"/>
    <x v="47"/>
    <x v="1"/>
    <x v="4"/>
    <x v="1"/>
    <x v="0"/>
    <x v="6"/>
    <x v="2"/>
    <n v="8"/>
    <x v="1"/>
  </r>
  <r>
    <s v="TX501226"/>
    <x v="17"/>
    <x v="12"/>
    <n v="42.5"/>
    <n v="170"/>
    <x v="48"/>
    <x v="49"/>
    <x v="0"/>
    <x v="0"/>
    <x v="0"/>
    <x v="0"/>
    <x v="6"/>
    <x v="1"/>
    <n v="8"/>
    <x v="0"/>
  </r>
  <r>
    <s v="TX501227"/>
    <x v="15"/>
    <x v="0"/>
    <n v="62.3"/>
    <n v="62.3"/>
    <x v="48"/>
    <x v="53"/>
    <x v="1"/>
    <x v="0"/>
    <x v="2"/>
    <x v="0"/>
    <x v="6"/>
    <x v="8"/>
    <n v="8"/>
    <x v="1"/>
  </r>
  <r>
    <s v="TX501228"/>
    <x v="6"/>
    <x v="9"/>
    <n v="49.1"/>
    <n v="245.5"/>
    <x v="48"/>
    <x v="49"/>
    <x v="2"/>
    <x v="1"/>
    <x v="2"/>
    <x v="0"/>
    <x v="7"/>
    <x v="1"/>
    <n v="8"/>
    <x v="2"/>
  </r>
  <r>
    <s v="TX501229"/>
    <x v="3"/>
    <x v="1"/>
    <n v="30.5"/>
    <n v="61"/>
    <x v="48"/>
    <x v="47"/>
    <x v="1"/>
    <x v="0"/>
    <x v="2"/>
    <x v="0"/>
    <x v="8"/>
    <x v="2"/>
    <n v="8"/>
    <x v="1"/>
  </r>
  <r>
    <s v="TX501230"/>
    <x v="2"/>
    <x v="1"/>
    <n v="154.80000000000001"/>
    <n v="309.60000000000002"/>
    <x v="48"/>
    <x v="47"/>
    <x v="2"/>
    <x v="1"/>
    <x v="4"/>
    <x v="0"/>
    <x v="8"/>
    <x v="2"/>
    <n v="8"/>
    <x v="2"/>
  </r>
  <r>
    <s v="TX501231"/>
    <x v="6"/>
    <x v="0"/>
    <n v="45"/>
    <n v="45"/>
    <x v="48"/>
    <x v="56"/>
    <x v="1"/>
    <x v="3"/>
    <x v="1"/>
    <x v="0"/>
    <x v="8"/>
    <x v="5"/>
    <n v="8"/>
    <x v="1"/>
  </r>
  <r>
    <s v="TX501232"/>
    <x v="0"/>
    <x v="3"/>
    <n v="15.3"/>
    <n v="107.10000000000001"/>
    <x v="48"/>
    <x v="46"/>
    <x v="1"/>
    <x v="0"/>
    <x v="2"/>
    <x v="0"/>
    <x v="8"/>
    <x v="3"/>
    <n v="8"/>
    <x v="1"/>
  </r>
  <r>
    <s v="TX501233"/>
    <x v="2"/>
    <x v="5"/>
    <n v="88.6"/>
    <n v="974.59999999999991"/>
    <x v="48"/>
    <x v="47"/>
    <x v="2"/>
    <x v="0"/>
    <x v="4"/>
    <x v="0"/>
    <x v="17"/>
    <x v="2"/>
    <n v="8"/>
    <x v="2"/>
  </r>
  <r>
    <s v="TX501234"/>
    <x v="9"/>
    <x v="1"/>
    <n v="49.7"/>
    <n v="99.4"/>
    <x v="48"/>
    <x v="49"/>
    <x v="3"/>
    <x v="4"/>
    <x v="0"/>
    <x v="0"/>
    <x v="10"/>
    <x v="1"/>
    <n v="8"/>
    <x v="3"/>
  </r>
  <r>
    <s v="TX501235"/>
    <x v="10"/>
    <x v="0"/>
    <n v="29"/>
    <n v="29"/>
    <x v="48"/>
    <x v="46"/>
    <x v="1"/>
    <x v="0"/>
    <x v="0"/>
    <x v="0"/>
    <x v="11"/>
    <x v="3"/>
    <n v="8"/>
    <x v="1"/>
  </r>
  <r>
    <s v="TX501236"/>
    <x v="1"/>
    <x v="0"/>
    <n v="60.7"/>
    <n v="60.7"/>
    <x v="48"/>
    <x v="46"/>
    <x v="3"/>
    <x v="0"/>
    <x v="1"/>
    <x v="0"/>
    <x v="11"/>
    <x v="3"/>
    <n v="8"/>
    <x v="3"/>
  </r>
  <r>
    <s v="TX501237"/>
    <x v="17"/>
    <x v="12"/>
    <n v="87.4"/>
    <n v="349.6"/>
    <x v="48"/>
    <x v="49"/>
    <x v="0"/>
    <x v="0"/>
    <x v="0"/>
    <x v="0"/>
    <x v="11"/>
    <x v="1"/>
    <n v="8"/>
    <x v="0"/>
  </r>
  <r>
    <s v="TX501238"/>
    <x v="4"/>
    <x v="3"/>
    <n v="44.5"/>
    <n v="311.5"/>
    <x v="48"/>
    <x v="56"/>
    <x v="2"/>
    <x v="2"/>
    <x v="2"/>
    <x v="0"/>
    <x v="19"/>
    <x v="5"/>
    <n v="8"/>
    <x v="2"/>
  </r>
  <r>
    <s v="TX501239"/>
    <x v="2"/>
    <x v="0"/>
    <n v="141"/>
    <n v="141"/>
    <x v="48"/>
    <x v="46"/>
    <x v="1"/>
    <x v="4"/>
    <x v="2"/>
    <x v="0"/>
    <x v="19"/>
    <x v="3"/>
    <n v="8"/>
    <x v="1"/>
  </r>
  <r>
    <s v="TX501240"/>
    <x v="0"/>
    <x v="2"/>
    <n v="16.7"/>
    <n v="50.099999999999994"/>
    <x v="48"/>
    <x v="52"/>
    <x v="2"/>
    <x v="0"/>
    <x v="0"/>
    <x v="0"/>
    <x v="20"/>
    <x v="9"/>
    <n v="8"/>
    <x v="2"/>
  </r>
  <r>
    <s v="TX501241"/>
    <x v="1"/>
    <x v="1"/>
    <n v="77.5"/>
    <n v="155"/>
    <x v="48"/>
    <x v="46"/>
    <x v="0"/>
    <x v="2"/>
    <x v="2"/>
    <x v="0"/>
    <x v="13"/>
    <x v="3"/>
    <n v="8"/>
    <x v="0"/>
  </r>
  <r>
    <s v="TX501242"/>
    <x v="2"/>
    <x v="1"/>
    <n v="163"/>
    <n v="326"/>
    <x v="48"/>
    <x v="54"/>
    <x v="2"/>
    <x v="4"/>
    <x v="0"/>
    <x v="0"/>
    <x v="21"/>
    <x v="4"/>
    <n v="8"/>
    <x v="2"/>
  </r>
  <r>
    <s v="TX501243"/>
    <x v="4"/>
    <x v="11"/>
    <n v="21.4"/>
    <n v="192.6"/>
    <x v="48"/>
    <x v="47"/>
    <x v="2"/>
    <x v="0"/>
    <x v="0"/>
    <x v="0"/>
    <x v="51"/>
    <x v="2"/>
    <n v="8"/>
    <x v="2"/>
  </r>
  <r>
    <s v="TX501244"/>
    <x v="10"/>
    <x v="5"/>
    <n v="31"/>
    <n v="341"/>
    <x v="48"/>
    <x v="49"/>
    <x v="2"/>
    <x v="3"/>
    <x v="2"/>
    <x v="0"/>
    <x v="1"/>
    <x v="1"/>
    <n v="8"/>
    <x v="2"/>
  </r>
  <r>
    <s v="TX501245"/>
    <x v="7"/>
    <x v="1"/>
    <n v="34.299999999999997"/>
    <n v="68.599999999999994"/>
    <x v="48"/>
    <x v="49"/>
    <x v="2"/>
    <x v="0"/>
    <x v="3"/>
    <x v="0"/>
    <x v="1"/>
    <x v="1"/>
    <n v="8"/>
    <x v="2"/>
  </r>
  <r>
    <s v="TX501246"/>
    <x v="17"/>
    <x v="9"/>
    <n v="48.2"/>
    <n v="241"/>
    <x v="48"/>
    <x v="46"/>
    <x v="1"/>
    <x v="1"/>
    <x v="1"/>
    <x v="0"/>
    <x v="2"/>
    <x v="3"/>
    <n v="8"/>
    <x v="1"/>
  </r>
  <r>
    <s v="TX501247"/>
    <x v="10"/>
    <x v="0"/>
    <n v="51.4"/>
    <n v="51.4"/>
    <x v="48"/>
    <x v="46"/>
    <x v="1"/>
    <x v="0"/>
    <x v="0"/>
    <x v="0"/>
    <x v="3"/>
    <x v="3"/>
    <n v="8"/>
    <x v="1"/>
  </r>
  <r>
    <s v="TX501248"/>
    <x v="2"/>
    <x v="9"/>
    <n v="117.2"/>
    <n v="586"/>
    <x v="48"/>
    <x v="47"/>
    <x v="2"/>
    <x v="4"/>
    <x v="4"/>
    <x v="0"/>
    <x v="3"/>
    <x v="2"/>
    <n v="8"/>
    <x v="2"/>
  </r>
  <r>
    <s v="TX501249"/>
    <x v="8"/>
    <x v="0"/>
    <n v="38.1"/>
    <n v="38.1"/>
    <x v="48"/>
    <x v="50"/>
    <x v="1"/>
    <x v="4"/>
    <x v="1"/>
    <x v="0"/>
    <x v="3"/>
    <x v="7"/>
    <n v="8"/>
    <x v="1"/>
  </r>
  <r>
    <s v="TX501250"/>
    <x v="0"/>
    <x v="1"/>
    <n v="44.1"/>
    <n v="88.2"/>
    <x v="48"/>
    <x v="49"/>
    <x v="2"/>
    <x v="2"/>
    <x v="0"/>
    <x v="0"/>
    <x v="3"/>
    <x v="1"/>
    <n v="8"/>
    <x v="2"/>
  </r>
  <r>
    <s v="TX501251"/>
    <x v="15"/>
    <x v="12"/>
    <n v="80.5"/>
    <n v="322"/>
    <x v="48"/>
    <x v="55"/>
    <x v="1"/>
    <x v="0"/>
    <x v="0"/>
    <x v="0"/>
    <x v="3"/>
    <x v="0"/>
    <n v="8"/>
    <x v="1"/>
  </r>
  <r>
    <s v="TX501252"/>
    <x v="18"/>
    <x v="12"/>
    <n v="33.6"/>
    <n v="134.4"/>
    <x v="48"/>
    <x v="55"/>
    <x v="0"/>
    <x v="0"/>
    <x v="2"/>
    <x v="0"/>
    <x v="3"/>
    <x v="0"/>
    <n v="8"/>
    <x v="0"/>
  </r>
  <r>
    <s v="TX501253"/>
    <x v="9"/>
    <x v="11"/>
    <n v="41.8"/>
    <n v="376.2"/>
    <x v="48"/>
    <x v="46"/>
    <x v="2"/>
    <x v="0"/>
    <x v="1"/>
    <x v="0"/>
    <x v="3"/>
    <x v="3"/>
    <n v="8"/>
    <x v="2"/>
  </r>
  <r>
    <s v="TX501254"/>
    <x v="1"/>
    <x v="1"/>
    <n v="106.2"/>
    <n v="212.4"/>
    <x v="48"/>
    <x v="50"/>
    <x v="2"/>
    <x v="4"/>
    <x v="2"/>
    <x v="0"/>
    <x v="3"/>
    <x v="7"/>
    <n v="8"/>
    <x v="2"/>
  </r>
  <r>
    <s v="TX501255"/>
    <x v="1"/>
    <x v="1"/>
    <n v="52.6"/>
    <n v="105.2"/>
    <x v="48"/>
    <x v="46"/>
    <x v="2"/>
    <x v="0"/>
    <x v="2"/>
    <x v="0"/>
    <x v="5"/>
    <x v="3"/>
    <n v="8"/>
    <x v="2"/>
  </r>
  <r>
    <s v="TX501256"/>
    <x v="11"/>
    <x v="3"/>
    <n v="68.5"/>
    <n v="479.5"/>
    <x v="48"/>
    <x v="46"/>
    <x v="2"/>
    <x v="1"/>
    <x v="0"/>
    <x v="0"/>
    <x v="5"/>
    <x v="3"/>
    <n v="8"/>
    <x v="2"/>
  </r>
  <r>
    <s v="TX501257"/>
    <x v="1"/>
    <x v="1"/>
    <n v="55.6"/>
    <n v="111.2"/>
    <x v="48"/>
    <x v="49"/>
    <x v="1"/>
    <x v="1"/>
    <x v="2"/>
    <x v="0"/>
    <x v="6"/>
    <x v="1"/>
    <n v="8"/>
    <x v="1"/>
  </r>
  <r>
    <s v="TX501258"/>
    <x v="2"/>
    <x v="2"/>
    <n v="134.9"/>
    <n v="404.70000000000005"/>
    <x v="48"/>
    <x v="46"/>
    <x v="1"/>
    <x v="1"/>
    <x v="1"/>
    <x v="0"/>
    <x v="6"/>
    <x v="3"/>
    <n v="8"/>
    <x v="1"/>
  </r>
  <r>
    <s v="TX501259"/>
    <x v="10"/>
    <x v="9"/>
    <n v="42.6"/>
    <n v="213"/>
    <x v="48"/>
    <x v="46"/>
    <x v="1"/>
    <x v="0"/>
    <x v="0"/>
    <x v="0"/>
    <x v="6"/>
    <x v="3"/>
    <n v="8"/>
    <x v="1"/>
  </r>
  <r>
    <s v="TX501260"/>
    <x v="7"/>
    <x v="9"/>
    <n v="60.6"/>
    <n v="303"/>
    <x v="48"/>
    <x v="49"/>
    <x v="1"/>
    <x v="4"/>
    <x v="0"/>
    <x v="0"/>
    <x v="6"/>
    <x v="1"/>
    <n v="8"/>
    <x v="1"/>
  </r>
  <r>
    <s v="TX501261"/>
    <x v="8"/>
    <x v="1"/>
    <n v="43.5"/>
    <n v="87"/>
    <x v="48"/>
    <x v="46"/>
    <x v="1"/>
    <x v="4"/>
    <x v="0"/>
    <x v="0"/>
    <x v="7"/>
    <x v="3"/>
    <n v="8"/>
    <x v="1"/>
  </r>
  <r>
    <s v="TX501262"/>
    <x v="2"/>
    <x v="1"/>
    <n v="187.1"/>
    <n v="374.2"/>
    <x v="48"/>
    <x v="46"/>
    <x v="1"/>
    <x v="1"/>
    <x v="2"/>
    <x v="0"/>
    <x v="8"/>
    <x v="3"/>
    <n v="8"/>
    <x v="1"/>
  </r>
  <r>
    <s v="TX501263"/>
    <x v="9"/>
    <x v="2"/>
    <n v="32"/>
    <n v="96"/>
    <x v="48"/>
    <x v="49"/>
    <x v="1"/>
    <x v="0"/>
    <x v="0"/>
    <x v="0"/>
    <x v="8"/>
    <x v="1"/>
    <n v="8"/>
    <x v="1"/>
  </r>
  <r>
    <s v="TX501264"/>
    <x v="9"/>
    <x v="1"/>
    <n v="110.8"/>
    <n v="221.6"/>
    <x v="48"/>
    <x v="50"/>
    <x v="1"/>
    <x v="0"/>
    <x v="2"/>
    <x v="0"/>
    <x v="8"/>
    <x v="7"/>
    <n v="8"/>
    <x v="1"/>
  </r>
  <r>
    <s v="TX501265"/>
    <x v="10"/>
    <x v="15"/>
    <n v="36.1"/>
    <n v="469.3"/>
    <x v="48"/>
    <x v="47"/>
    <x v="2"/>
    <x v="0"/>
    <x v="1"/>
    <x v="0"/>
    <x v="8"/>
    <x v="2"/>
    <n v="8"/>
    <x v="2"/>
  </r>
  <r>
    <s v="TX501266"/>
    <x v="0"/>
    <x v="0"/>
    <n v="24.1"/>
    <n v="24.1"/>
    <x v="48"/>
    <x v="49"/>
    <x v="2"/>
    <x v="4"/>
    <x v="2"/>
    <x v="0"/>
    <x v="8"/>
    <x v="1"/>
    <n v="8"/>
    <x v="2"/>
  </r>
  <r>
    <s v="TX501267"/>
    <x v="19"/>
    <x v="2"/>
    <n v="30.5"/>
    <n v="91.5"/>
    <x v="48"/>
    <x v="49"/>
    <x v="1"/>
    <x v="1"/>
    <x v="0"/>
    <x v="0"/>
    <x v="8"/>
    <x v="1"/>
    <n v="8"/>
    <x v="1"/>
  </r>
  <r>
    <s v="TX501268"/>
    <x v="18"/>
    <x v="13"/>
    <n v="68.3"/>
    <n v="409.79999999999995"/>
    <x v="48"/>
    <x v="47"/>
    <x v="1"/>
    <x v="0"/>
    <x v="0"/>
    <x v="0"/>
    <x v="8"/>
    <x v="2"/>
    <n v="8"/>
    <x v="1"/>
  </r>
  <r>
    <s v="TX501269"/>
    <x v="7"/>
    <x v="2"/>
    <n v="43.3"/>
    <n v="129.89999999999998"/>
    <x v="48"/>
    <x v="56"/>
    <x v="2"/>
    <x v="0"/>
    <x v="0"/>
    <x v="0"/>
    <x v="17"/>
    <x v="5"/>
    <n v="8"/>
    <x v="2"/>
  </r>
  <r>
    <s v="TX501270"/>
    <x v="3"/>
    <x v="0"/>
    <n v="101.7"/>
    <n v="101.7"/>
    <x v="48"/>
    <x v="47"/>
    <x v="2"/>
    <x v="0"/>
    <x v="1"/>
    <x v="0"/>
    <x v="17"/>
    <x v="2"/>
    <n v="8"/>
    <x v="2"/>
  </r>
  <r>
    <s v="TX501271"/>
    <x v="11"/>
    <x v="1"/>
    <n v="54.2"/>
    <n v="108.4"/>
    <x v="48"/>
    <x v="46"/>
    <x v="2"/>
    <x v="0"/>
    <x v="1"/>
    <x v="0"/>
    <x v="17"/>
    <x v="3"/>
    <n v="8"/>
    <x v="2"/>
  </r>
  <r>
    <s v="TX501272"/>
    <x v="16"/>
    <x v="1"/>
    <n v="51"/>
    <n v="102"/>
    <x v="48"/>
    <x v="50"/>
    <x v="1"/>
    <x v="1"/>
    <x v="0"/>
    <x v="0"/>
    <x v="26"/>
    <x v="7"/>
    <n v="8"/>
    <x v="1"/>
  </r>
  <r>
    <s v="TX501273"/>
    <x v="4"/>
    <x v="1"/>
    <n v="23.1"/>
    <n v="46.2"/>
    <x v="48"/>
    <x v="47"/>
    <x v="1"/>
    <x v="1"/>
    <x v="0"/>
    <x v="0"/>
    <x v="10"/>
    <x v="2"/>
    <n v="8"/>
    <x v="1"/>
  </r>
  <r>
    <s v="TX501274"/>
    <x v="12"/>
    <x v="13"/>
    <n v="60.1"/>
    <n v="360.6"/>
    <x v="48"/>
    <x v="50"/>
    <x v="2"/>
    <x v="3"/>
    <x v="0"/>
    <x v="0"/>
    <x v="11"/>
    <x v="7"/>
    <n v="8"/>
    <x v="2"/>
  </r>
  <r>
    <s v="TX501275"/>
    <x v="2"/>
    <x v="3"/>
    <n v="87.5"/>
    <n v="612.5"/>
    <x v="48"/>
    <x v="49"/>
    <x v="2"/>
    <x v="0"/>
    <x v="1"/>
    <x v="0"/>
    <x v="11"/>
    <x v="1"/>
    <n v="8"/>
    <x v="2"/>
  </r>
  <r>
    <s v="TX501276"/>
    <x v="1"/>
    <x v="2"/>
    <n v="51"/>
    <n v="153"/>
    <x v="48"/>
    <x v="46"/>
    <x v="2"/>
    <x v="1"/>
    <x v="0"/>
    <x v="0"/>
    <x v="11"/>
    <x v="3"/>
    <n v="8"/>
    <x v="2"/>
  </r>
  <r>
    <s v="TX501277"/>
    <x v="8"/>
    <x v="12"/>
    <n v="19.2"/>
    <n v="76.8"/>
    <x v="48"/>
    <x v="49"/>
    <x v="2"/>
    <x v="0"/>
    <x v="0"/>
    <x v="0"/>
    <x v="11"/>
    <x v="1"/>
    <n v="8"/>
    <x v="2"/>
  </r>
  <r>
    <s v="TX501278"/>
    <x v="5"/>
    <x v="8"/>
    <n v="26.5"/>
    <n v="212"/>
    <x v="48"/>
    <x v="46"/>
    <x v="0"/>
    <x v="3"/>
    <x v="2"/>
    <x v="0"/>
    <x v="11"/>
    <x v="3"/>
    <n v="8"/>
    <x v="0"/>
  </r>
  <r>
    <s v="TX501279"/>
    <x v="2"/>
    <x v="1"/>
    <n v="220.3"/>
    <n v="440.6"/>
    <x v="48"/>
    <x v="46"/>
    <x v="2"/>
    <x v="1"/>
    <x v="4"/>
    <x v="0"/>
    <x v="53"/>
    <x v="3"/>
    <n v="8"/>
    <x v="2"/>
  </r>
  <r>
    <s v="TX501280"/>
    <x v="8"/>
    <x v="2"/>
    <n v="45.7"/>
    <n v="137.10000000000002"/>
    <x v="48"/>
    <x v="46"/>
    <x v="2"/>
    <x v="4"/>
    <x v="0"/>
    <x v="0"/>
    <x v="30"/>
    <x v="3"/>
    <n v="8"/>
    <x v="2"/>
  </r>
  <r>
    <s v="TX501281"/>
    <x v="5"/>
    <x v="9"/>
    <n v="47.1"/>
    <n v="235.5"/>
    <x v="48"/>
    <x v="56"/>
    <x v="2"/>
    <x v="3"/>
    <x v="0"/>
    <x v="0"/>
    <x v="13"/>
    <x v="5"/>
    <n v="8"/>
    <x v="2"/>
  </r>
  <r>
    <s v="TX501282"/>
    <x v="1"/>
    <x v="9"/>
    <n v="81.7"/>
    <n v="408.5"/>
    <x v="48"/>
    <x v="46"/>
    <x v="2"/>
    <x v="0"/>
    <x v="2"/>
    <x v="0"/>
    <x v="21"/>
    <x v="3"/>
    <n v="8"/>
    <x v="2"/>
  </r>
  <r>
    <s v="TX501283"/>
    <x v="6"/>
    <x v="7"/>
    <n v="97.8"/>
    <n v="978"/>
    <x v="48"/>
    <x v="50"/>
    <x v="1"/>
    <x v="1"/>
    <x v="1"/>
    <x v="0"/>
    <x v="21"/>
    <x v="7"/>
    <n v="8"/>
    <x v="1"/>
  </r>
  <r>
    <s v="TX501284"/>
    <x v="6"/>
    <x v="2"/>
    <n v="42.4"/>
    <n v="127.19999999999999"/>
    <x v="48"/>
    <x v="46"/>
    <x v="2"/>
    <x v="0"/>
    <x v="2"/>
    <x v="0"/>
    <x v="54"/>
    <x v="3"/>
    <n v="8"/>
    <x v="2"/>
  </r>
  <r>
    <s v="TX501285"/>
    <x v="2"/>
    <x v="7"/>
    <n v="74.5"/>
    <n v="745"/>
    <x v="48"/>
    <x v="46"/>
    <x v="1"/>
    <x v="2"/>
    <x v="1"/>
    <x v="0"/>
    <x v="1"/>
    <x v="3"/>
    <n v="8"/>
    <x v="1"/>
  </r>
  <r>
    <s v="TX501286"/>
    <x v="17"/>
    <x v="13"/>
    <n v="47.4"/>
    <n v="284.39999999999998"/>
    <x v="48"/>
    <x v="46"/>
    <x v="1"/>
    <x v="1"/>
    <x v="0"/>
    <x v="0"/>
    <x v="1"/>
    <x v="3"/>
    <n v="8"/>
    <x v="1"/>
  </r>
  <r>
    <s v="TX501287"/>
    <x v="14"/>
    <x v="2"/>
    <n v="17.3"/>
    <n v="51.900000000000006"/>
    <x v="49"/>
    <x v="56"/>
    <x v="1"/>
    <x v="2"/>
    <x v="2"/>
    <x v="0"/>
    <x v="1"/>
    <x v="2"/>
    <n v="8"/>
    <x v="1"/>
  </r>
  <r>
    <s v="TX501288"/>
    <x v="12"/>
    <x v="12"/>
    <n v="77.900000000000006"/>
    <n v="311.60000000000002"/>
    <x v="49"/>
    <x v="49"/>
    <x v="1"/>
    <x v="1"/>
    <x v="0"/>
    <x v="0"/>
    <x v="2"/>
    <x v="3"/>
    <n v="8"/>
    <x v="1"/>
  </r>
  <r>
    <s v="TX501289"/>
    <x v="8"/>
    <x v="0"/>
    <n v="29.1"/>
    <n v="29.1"/>
    <x v="49"/>
    <x v="56"/>
    <x v="1"/>
    <x v="0"/>
    <x v="2"/>
    <x v="0"/>
    <x v="50"/>
    <x v="2"/>
    <n v="8"/>
    <x v="1"/>
  </r>
  <r>
    <s v="TX501290"/>
    <x v="8"/>
    <x v="0"/>
    <n v="49"/>
    <n v="49"/>
    <x v="49"/>
    <x v="49"/>
    <x v="1"/>
    <x v="1"/>
    <x v="0"/>
    <x v="0"/>
    <x v="3"/>
    <x v="3"/>
    <n v="8"/>
    <x v="1"/>
  </r>
  <r>
    <s v="TX501291"/>
    <x v="8"/>
    <x v="13"/>
    <n v="21.1"/>
    <n v="126.60000000000001"/>
    <x v="49"/>
    <x v="52"/>
    <x v="1"/>
    <x v="0"/>
    <x v="2"/>
    <x v="0"/>
    <x v="3"/>
    <x v="6"/>
    <n v="8"/>
    <x v="1"/>
  </r>
  <r>
    <s v="TX501292"/>
    <x v="4"/>
    <x v="10"/>
    <n v="36.9"/>
    <n v="701.1"/>
    <x v="49"/>
    <x v="46"/>
    <x v="2"/>
    <x v="0"/>
    <x v="0"/>
    <x v="0"/>
    <x v="3"/>
    <x v="7"/>
    <n v="8"/>
    <x v="2"/>
  </r>
  <r>
    <s v="TX501293"/>
    <x v="1"/>
    <x v="7"/>
    <n v="92.6"/>
    <n v="926"/>
    <x v="49"/>
    <x v="54"/>
    <x v="1"/>
    <x v="4"/>
    <x v="2"/>
    <x v="0"/>
    <x v="3"/>
    <x v="0"/>
    <n v="8"/>
    <x v="1"/>
  </r>
  <r>
    <s v="TX501294"/>
    <x v="10"/>
    <x v="1"/>
    <n v="38"/>
    <n v="76"/>
    <x v="49"/>
    <x v="49"/>
    <x v="1"/>
    <x v="1"/>
    <x v="1"/>
    <x v="0"/>
    <x v="3"/>
    <x v="3"/>
    <n v="8"/>
    <x v="1"/>
  </r>
  <r>
    <s v="TX501295"/>
    <x v="5"/>
    <x v="2"/>
    <n v="54.8"/>
    <n v="164.39999999999998"/>
    <x v="49"/>
    <x v="55"/>
    <x v="0"/>
    <x v="0"/>
    <x v="1"/>
    <x v="0"/>
    <x v="3"/>
    <x v="5"/>
    <n v="8"/>
    <x v="0"/>
  </r>
  <r>
    <s v="TX501296"/>
    <x v="10"/>
    <x v="4"/>
    <n v="56.8"/>
    <n v="681.59999999999991"/>
    <x v="49"/>
    <x v="47"/>
    <x v="1"/>
    <x v="1"/>
    <x v="0"/>
    <x v="0"/>
    <x v="3"/>
    <x v="1"/>
    <n v="8"/>
    <x v="1"/>
  </r>
  <r>
    <s v="TX501297"/>
    <x v="11"/>
    <x v="40"/>
    <n v="47.2"/>
    <n v="1557.6000000000001"/>
    <x v="49"/>
    <x v="56"/>
    <x v="2"/>
    <x v="1"/>
    <x v="0"/>
    <x v="0"/>
    <x v="3"/>
    <x v="2"/>
    <n v="8"/>
    <x v="2"/>
  </r>
  <r>
    <s v="TX501298"/>
    <x v="7"/>
    <x v="13"/>
    <n v="45.1"/>
    <n v="270.60000000000002"/>
    <x v="49"/>
    <x v="49"/>
    <x v="2"/>
    <x v="2"/>
    <x v="0"/>
    <x v="0"/>
    <x v="43"/>
    <x v="3"/>
    <n v="8"/>
    <x v="2"/>
  </r>
  <r>
    <s v="TX501299"/>
    <x v="4"/>
    <x v="4"/>
    <n v="25.2"/>
    <n v="302.39999999999998"/>
    <x v="49"/>
    <x v="54"/>
    <x v="2"/>
    <x v="2"/>
    <x v="0"/>
    <x v="0"/>
    <x v="16"/>
    <x v="0"/>
    <n v="8"/>
    <x v="2"/>
  </r>
  <r>
    <s v="TX501300"/>
    <x v="8"/>
    <x v="0"/>
    <n v="22"/>
    <n v="22"/>
    <x v="49"/>
    <x v="49"/>
    <x v="2"/>
    <x v="0"/>
    <x v="0"/>
    <x v="0"/>
    <x v="5"/>
    <x v="3"/>
    <n v="8"/>
    <x v="2"/>
  </r>
  <r>
    <s v="TX501301"/>
    <x v="6"/>
    <x v="1"/>
    <n v="42.2"/>
    <n v="84.4"/>
    <x v="49"/>
    <x v="49"/>
    <x v="2"/>
    <x v="1"/>
    <x v="1"/>
    <x v="0"/>
    <x v="23"/>
    <x v="3"/>
    <n v="8"/>
    <x v="2"/>
  </r>
  <r>
    <s v="TX501302"/>
    <x v="13"/>
    <x v="2"/>
    <n v="20.5"/>
    <n v="61.5"/>
    <x v="49"/>
    <x v="49"/>
    <x v="1"/>
    <x v="0"/>
    <x v="1"/>
    <x v="0"/>
    <x v="6"/>
    <x v="3"/>
    <n v="8"/>
    <x v="1"/>
  </r>
  <r>
    <s v="TX501303"/>
    <x v="2"/>
    <x v="0"/>
    <n v="190.4"/>
    <n v="190.4"/>
    <x v="49"/>
    <x v="54"/>
    <x v="1"/>
    <x v="1"/>
    <x v="4"/>
    <x v="0"/>
    <x v="6"/>
    <x v="0"/>
    <n v="8"/>
    <x v="1"/>
  </r>
  <r>
    <s v="TX501304"/>
    <x v="2"/>
    <x v="0"/>
    <n v="121.9"/>
    <n v="121.9"/>
    <x v="49"/>
    <x v="47"/>
    <x v="2"/>
    <x v="1"/>
    <x v="2"/>
    <x v="0"/>
    <x v="6"/>
    <x v="1"/>
    <n v="8"/>
    <x v="2"/>
  </r>
  <r>
    <s v="TX501305"/>
    <x v="2"/>
    <x v="13"/>
    <n v="149.19999999999999"/>
    <n v="895.19999999999993"/>
    <x v="49"/>
    <x v="49"/>
    <x v="2"/>
    <x v="2"/>
    <x v="2"/>
    <x v="0"/>
    <x v="7"/>
    <x v="3"/>
    <n v="8"/>
    <x v="2"/>
  </r>
  <r>
    <s v="TX501306"/>
    <x v="2"/>
    <x v="0"/>
    <n v="54.1"/>
    <n v="54.1"/>
    <x v="49"/>
    <x v="58"/>
    <x v="2"/>
    <x v="2"/>
    <x v="2"/>
    <x v="0"/>
    <x v="7"/>
    <x v="8"/>
    <n v="8"/>
    <x v="2"/>
  </r>
  <r>
    <s v="TX501307"/>
    <x v="5"/>
    <x v="1"/>
    <n v="27.4"/>
    <n v="54.8"/>
    <x v="49"/>
    <x v="47"/>
    <x v="1"/>
    <x v="1"/>
    <x v="0"/>
    <x v="0"/>
    <x v="8"/>
    <x v="1"/>
    <n v="8"/>
    <x v="1"/>
  </r>
  <r>
    <s v="TX501308"/>
    <x v="0"/>
    <x v="15"/>
    <n v="30.4"/>
    <n v="395.2"/>
    <x v="49"/>
    <x v="49"/>
    <x v="2"/>
    <x v="0"/>
    <x v="2"/>
    <x v="0"/>
    <x v="8"/>
    <x v="3"/>
    <n v="8"/>
    <x v="2"/>
  </r>
  <r>
    <s v="TX501309"/>
    <x v="12"/>
    <x v="2"/>
    <n v="46.2"/>
    <n v="138.60000000000002"/>
    <x v="49"/>
    <x v="47"/>
    <x v="1"/>
    <x v="2"/>
    <x v="1"/>
    <x v="0"/>
    <x v="17"/>
    <x v="1"/>
    <n v="8"/>
    <x v="1"/>
  </r>
  <r>
    <s v="TX501310"/>
    <x v="7"/>
    <x v="8"/>
    <n v="78.599999999999994"/>
    <n v="628.79999999999995"/>
    <x v="49"/>
    <x v="55"/>
    <x v="1"/>
    <x v="3"/>
    <x v="0"/>
    <x v="0"/>
    <x v="17"/>
    <x v="5"/>
    <n v="8"/>
    <x v="1"/>
  </r>
  <r>
    <s v="TX501311"/>
    <x v="17"/>
    <x v="7"/>
    <n v="25.9"/>
    <n v="259"/>
    <x v="49"/>
    <x v="51"/>
    <x v="1"/>
    <x v="4"/>
    <x v="0"/>
    <x v="0"/>
    <x v="9"/>
    <x v="4"/>
    <n v="8"/>
    <x v="1"/>
  </r>
  <r>
    <s v="TX501312"/>
    <x v="6"/>
    <x v="0"/>
    <n v="134.80000000000001"/>
    <n v="134.80000000000001"/>
    <x v="49"/>
    <x v="47"/>
    <x v="1"/>
    <x v="2"/>
    <x v="2"/>
    <x v="0"/>
    <x v="9"/>
    <x v="1"/>
    <n v="8"/>
    <x v="1"/>
  </r>
  <r>
    <s v="TX501313"/>
    <x v="15"/>
    <x v="9"/>
    <n v="43.1"/>
    <n v="215.5"/>
    <x v="49"/>
    <x v="47"/>
    <x v="2"/>
    <x v="0"/>
    <x v="0"/>
    <x v="0"/>
    <x v="11"/>
    <x v="1"/>
    <n v="8"/>
    <x v="2"/>
  </r>
  <r>
    <s v="TX501314"/>
    <x v="2"/>
    <x v="1"/>
    <n v="215.6"/>
    <n v="431.2"/>
    <x v="49"/>
    <x v="49"/>
    <x v="2"/>
    <x v="2"/>
    <x v="0"/>
    <x v="0"/>
    <x v="18"/>
    <x v="3"/>
    <n v="8"/>
    <x v="2"/>
  </r>
  <r>
    <s v="TX501315"/>
    <x v="6"/>
    <x v="1"/>
    <n v="80.7"/>
    <n v="161.4"/>
    <x v="49"/>
    <x v="56"/>
    <x v="2"/>
    <x v="3"/>
    <x v="0"/>
    <x v="0"/>
    <x v="18"/>
    <x v="2"/>
    <n v="8"/>
    <x v="2"/>
  </r>
  <r>
    <s v="TX501316"/>
    <x v="10"/>
    <x v="3"/>
    <n v="20.6"/>
    <n v="144.20000000000002"/>
    <x v="49"/>
    <x v="54"/>
    <x v="0"/>
    <x v="2"/>
    <x v="1"/>
    <x v="0"/>
    <x v="19"/>
    <x v="0"/>
    <n v="8"/>
    <x v="0"/>
  </r>
  <r>
    <s v="TX501317"/>
    <x v="12"/>
    <x v="2"/>
    <n v="37.1"/>
    <n v="111.30000000000001"/>
    <x v="49"/>
    <x v="49"/>
    <x v="2"/>
    <x v="0"/>
    <x v="0"/>
    <x v="0"/>
    <x v="52"/>
    <x v="3"/>
    <n v="8"/>
    <x v="2"/>
  </r>
  <r>
    <s v="TX501318"/>
    <x v="12"/>
    <x v="0"/>
    <n v="104.8"/>
    <n v="104.8"/>
    <x v="50"/>
    <x v="56"/>
    <x v="2"/>
    <x v="0"/>
    <x v="0"/>
    <x v="0"/>
    <x v="13"/>
    <x v="1"/>
    <n v="8"/>
    <x v="2"/>
  </r>
  <r>
    <s v="TX501319"/>
    <x v="8"/>
    <x v="1"/>
    <n v="59"/>
    <n v="118"/>
    <x v="50"/>
    <x v="47"/>
    <x v="1"/>
    <x v="1"/>
    <x v="0"/>
    <x v="0"/>
    <x v="21"/>
    <x v="3"/>
    <n v="8"/>
    <x v="1"/>
  </r>
  <r>
    <s v="TX501320"/>
    <x v="8"/>
    <x v="1"/>
    <n v="32.299999999999997"/>
    <n v="64.599999999999994"/>
    <x v="50"/>
    <x v="47"/>
    <x v="1"/>
    <x v="0"/>
    <x v="2"/>
    <x v="0"/>
    <x v="21"/>
    <x v="3"/>
    <n v="8"/>
    <x v="1"/>
  </r>
  <r>
    <s v="TX501321"/>
    <x v="8"/>
    <x v="12"/>
    <n v="28.9"/>
    <n v="115.6"/>
    <x v="50"/>
    <x v="53"/>
    <x v="1"/>
    <x v="0"/>
    <x v="0"/>
    <x v="0"/>
    <x v="1"/>
    <x v="6"/>
    <n v="8"/>
    <x v="1"/>
  </r>
  <r>
    <s v="TX501322"/>
    <x v="0"/>
    <x v="1"/>
    <n v="29.6"/>
    <n v="59.2"/>
    <x v="50"/>
    <x v="56"/>
    <x v="1"/>
    <x v="0"/>
    <x v="0"/>
    <x v="0"/>
    <x v="1"/>
    <x v="1"/>
    <n v="8"/>
    <x v="1"/>
  </r>
  <r>
    <s v="TX501323"/>
    <x v="0"/>
    <x v="9"/>
    <n v="29.4"/>
    <n v="147"/>
    <x v="50"/>
    <x v="55"/>
    <x v="2"/>
    <x v="0"/>
    <x v="0"/>
    <x v="0"/>
    <x v="1"/>
    <x v="2"/>
    <n v="8"/>
    <x v="2"/>
  </r>
  <r>
    <s v="TX501324"/>
    <x v="1"/>
    <x v="1"/>
    <n v="40.6"/>
    <n v="81.2"/>
    <x v="50"/>
    <x v="47"/>
    <x v="1"/>
    <x v="0"/>
    <x v="4"/>
    <x v="0"/>
    <x v="2"/>
    <x v="3"/>
    <n v="8"/>
    <x v="1"/>
  </r>
  <r>
    <s v="TX501325"/>
    <x v="0"/>
    <x v="2"/>
    <n v="32.5"/>
    <n v="97.5"/>
    <x v="50"/>
    <x v="47"/>
    <x v="1"/>
    <x v="3"/>
    <x v="2"/>
    <x v="0"/>
    <x v="22"/>
    <x v="3"/>
    <n v="8"/>
    <x v="1"/>
  </r>
  <r>
    <s v="TX501326"/>
    <x v="15"/>
    <x v="0"/>
    <n v="26.2"/>
    <n v="26.2"/>
    <x v="50"/>
    <x v="56"/>
    <x v="1"/>
    <x v="2"/>
    <x v="0"/>
    <x v="0"/>
    <x v="55"/>
    <x v="1"/>
    <n v="8"/>
    <x v="1"/>
  </r>
  <r>
    <s v="TX501327"/>
    <x v="10"/>
    <x v="17"/>
    <n v="44"/>
    <n v="1320"/>
    <x v="50"/>
    <x v="52"/>
    <x v="1"/>
    <x v="4"/>
    <x v="0"/>
    <x v="0"/>
    <x v="3"/>
    <x v="4"/>
    <n v="8"/>
    <x v="1"/>
  </r>
  <r>
    <s v="TX501328"/>
    <x v="7"/>
    <x v="12"/>
    <n v="65.599999999999994"/>
    <n v="262.39999999999998"/>
    <x v="50"/>
    <x v="47"/>
    <x v="2"/>
    <x v="1"/>
    <x v="1"/>
    <x v="0"/>
    <x v="3"/>
    <x v="3"/>
    <n v="8"/>
    <x v="2"/>
  </r>
  <r>
    <s v="TX501329"/>
    <x v="5"/>
    <x v="4"/>
    <n v="32.6"/>
    <n v="391.20000000000005"/>
    <x v="50"/>
    <x v="47"/>
    <x v="1"/>
    <x v="4"/>
    <x v="0"/>
    <x v="0"/>
    <x v="3"/>
    <x v="3"/>
    <n v="8"/>
    <x v="1"/>
  </r>
  <r>
    <s v="TX501330"/>
    <x v="16"/>
    <x v="1"/>
    <n v="88.7"/>
    <n v="177.4"/>
    <x v="50"/>
    <x v="47"/>
    <x v="0"/>
    <x v="3"/>
    <x v="2"/>
    <x v="0"/>
    <x v="3"/>
    <x v="3"/>
    <n v="8"/>
    <x v="0"/>
  </r>
  <r>
    <s v="TX501331"/>
    <x v="4"/>
    <x v="1"/>
    <n v="21.3"/>
    <n v="42.6"/>
    <x v="50"/>
    <x v="47"/>
    <x v="1"/>
    <x v="0"/>
    <x v="0"/>
    <x v="0"/>
    <x v="3"/>
    <x v="3"/>
    <n v="8"/>
    <x v="1"/>
  </r>
  <r>
    <s v="TX501332"/>
    <x v="4"/>
    <x v="13"/>
    <n v="50.6"/>
    <n v="303.60000000000002"/>
    <x v="50"/>
    <x v="54"/>
    <x v="2"/>
    <x v="2"/>
    <x v="0"/>
    <x v="0"/>
    <x v="3"/>
    <x v="5"/>
    <n v="8"/>
    <x v="2"/>
  </r>
  <r>
    <s v="TX501333"/>
    <x v="9"/>
    <x v="38"/>
    <n v="86.9"/>
    <n v="1824.9"/>
    <x v="50"/>
    <x v="55"/>
    <x v="2"/>
    <x v="0"/>
    <x v="1"/>
    <x v="0"/>
    <x v="3"/>
    <x v="2"/>
    <n v="8"/>
    <x v="2"/>
  </r>
  <r>
    <s v="TX501334"/>
    <x v="11"/>
    <x v="2"/>
    <n v="31.8"/>
    <n v="95.4"/>
    <x v="50"/>
    <x v="56"/>
    <x v="1"/>
    <x v="0"/>
    <x v="2"/>
    <x v="0"/>
    <x v="3"/>
    <x v="1"/>
    <n v="8"/>
    <x v="1"/>
  </r>
  <r>
    <s v="TX501335"/>
    <x v="8"/>
    <x v="0"/>
    <n v="19"/>
    <n v="19"/>
    <x v="50"/>
    <x v="47"/>
    <x v="2"/>
    <x v="0"/>
    <x v="2"/>
    <x v="0"/>
    <x v="3"/>
    <x v="3"/>
    <n v="8"/>
    <x v="2"/>
  </r>
  <r>
    <s v="TX501336"/>
    <x v="5"/>
    <x v="0"/>
    <n v="54.5"/>
    <n v="54.5"/>
    <x v="50"/>
    <x v="56"/>
    <x v="1"/>
    <x v="0"/>
    <x v="0"/>
    <x v="0"/>
    <x v="3"/>
    <x v="1"/>
    <n v="8"/>
    <x v="1"/>
  </r>
  <r>
    <s v="TX501337"/>
    <x v="9"/>
    <x v="9"/>
    <n v="68.900000000000006"/>
    <n v="344.5"/>
    <x v="50"/>
    <x v="56"/>
    <x v="1"/>
    <x v="4"/>
    <x v="1"/>
    <x v="0"/>
    <x v="3"/>
    <x v="1"/>
    <n v="8"/>
    <x v="1"/>
  </r>
  <r>
    <s v="TX501338"/>
    <x v="6"/>
    <x v="2"/>
    <n v="84"/>
    <n v="252"/>
    <x v="50"/>
    <x v="47"/>
    <x v="1"/>
    <x v="1"/>
    <x v="4"/>
    <x v="0"/>
    <x v="16"/>
    <x v="3"/>
    <n v="8"/>
    <x v="1"/>
  </r>
  <r>
    <s v="TX501339"/>
    <x v="15"/>
    <x v="8"/>
    <n v="23.1"/>
    <n v="184.8"/>
    <x v="50"/>
    <x v="51"/>
    <x v="1"/>
    <x v="0"/>
    <x v="2"/>
    <x v="0"/>
    <x v="23"/>
    <x v="0"/>
    <n v="8"/>
    <x v="1"/>
  </r>
  <r>
    <s v="TX501340"/>
    <x v="7"/>
    <x v="1"/>
    <n v="62.4"/>
    <n v="124.8"/>
    <x v="50"/>
    <x v="47"/>
    <x v="2"/>
    <x v="0"/>
    <x v="1"/>
    <x v="0"/>
    <x v="6"/>
    <x v="3"/>
    <n v="8"/>
    <x v="2"/>
  </r>
  <r>
    <s v="TX501341"/>
    <x v="6"/>
    <x v="4"/>
    <n v="40.700000000000003"/>
    <n v="488.40000000000003"/>
    <x v="50"/>
    <x v="56"/>
    <x v="1"/>
    <x v="1"/>
    <x v="2"/>
    <x v="0"/>
    <x v="6"/>
    <x v="1"/>
    <n v="8"/>
    <x v="1"/>
  </r>
  <r>
    <s v="TX501342"/>
    <x v="6"/>
    <x v="0"/>
    <n v="49.6"/>
    <n v="49.6"/>
    <x v="50"/>
    <x v="55"/>
    <x v="1"/>
    <x v="2"/>
    <x v="0"/>
    <x v="0"/>
    <x v="7"/>
    <x v="2"/>
    <n v="8"/>
    <x v="1"/>
  </r>
  <r>
    <s v="TX501343"/>
    <x v="7"/>
    <x v="41"/>
    <n v="66.599999999999994"/>
    <n v="2996.9999999999995"/>
    <x v="50"/>
    <x v="55"/>
    <x v="1"/>
    <x v="2"/>
    <x v="0"/>
    <x v="0"/>
    <x v="8"/>
    <x v="2"/>
    <n v="8"/>
    <x v="1"/>
  </r>
  <r>
    <s v="TX501344"/>
    <x v="8"/>
    <x v="2"/>
    <n v="26.4"/>
    <n v="79.199999999999989"/>
    <x v="50"/>
    <x v="47"/>
    <x v="2"/>
    <x v="1"/>
    <x v="1"/>
    <x v="0"/>
    <x v="8"/>
    <x v="3"/>
    <n v="8"/>
    <x v="2"/>
  </r>
  <r>
    <s v="TX501345"/>
    <x v="0"/>
    <x v="1"/>
    <n v="17.2"/>
    <n v="34.4"/>
    <x v="50"/>
    <x v="55"/>
    <x v="1"/>
    <x v="2"/>
    <x v="1"/>
    <x v="0"/>
    <x v="8"/>
    <x v="2"/>
    <n v="8"/>
    <x v="1"/>
  </r>
  <r>
    <s v="TX501346"/>
    <x v="5"/>
    <x v="8"/>
    <n v="58.1"/>
    <n v="464.8"/>
    <x v="50"/>
    <x v="55"/>
    <x v="2"/>
    <x v="4"/>
    <x v="0"/>
    <x v="0"/>
    <x v="8"/>
    <x v="2"/>
    <n v="8"/>
    <x v="2"/>
  </r>
  <r>
    <s v="TX501347"/>
    <x v="15"/>
    <x v="12"/>
    <n v="31.5"/>
    <n v="126"/>
    <x v="50"/>
    <x v="55"/>
    <x v="2"/>
    <x v="4"/>
    <x v="4"/>
    <x v="0"/>
    <x v="8"/>
    <x v="2"/>
    <n v="8"/>
    <x v="2"/>
  </r>
  <r>
    <s v="TX501348"/>
    <x v="0"/>
    <x v="0"/>
    <n v="27.1"/>
    <n v="27.1"/>
    <x v="50"/>
    <x v="56"/>
    <x v="2"/>
    <x v="0"/>
    <x v="1"/>
    <x v="0"/>
    <x v="17"/>
    <x v="1"/>
    <n v="8"/>
    <x v="2"/>
  </r>
  <r>
    <s v="TX501349"/>
    <x v="18"/>
    <x v="12"/>
    <n v="28.5"/>
    <n v="114"/>
    <x v="50"/>
    <x v="56"/>
    <x v="1"/>
    <x v="1"/>
    <x v="2"/>
    <x v="0"/>
    <x v="9"/>
    <x v="1"/>
    <n v="8"/>
    <x v="1"/>
  </r>
  <r>
    <s v="TX501350"/>
    <x v="10"/>
    <x v="0"/>
    <n v="40.5"/>
    <n v="40.5"/>
    <x v="51"/>
    <x v="55"/>
    <x v="3"/>
    <x v="2"/>
    <x v="0"/>
    <x v="0"/>
    <x v="9"/>
    <x v="1"/>
    <n v="8"/>
    <x v="3"/>
  </r>
  <r>
    <s v="TX501351"/>
    <x v="2"/>
    <x v="2"/>
    <n v="77.900000000000006"/>
    <n v="233.70000000000002"/>
    <x v="51"/>
    <x v="51"/>
    <x v="2"/>
    <x v="1"/>
    <x v="2"/>
    <x v="0"/>
    <x v="19"/>
    <x v="5"/>
    <n v="8"/>
    <x v="2"/>
  </r>
  <r>
    <s v="TX501352"/>
    <x v="18"/>
    <x v="12"/>
    <n v="37.1"/>
    <n v="148.4"/>
    <x v="51"/>
    <x v="55"/>
    <x v="1"/>
    <x v="4"/>
    <x v="2"/>
    <x v="0"/>
    <x v="19"/>
    <x v="1"/>
    <n v="8"/>
    <x v="1"/>
  </r>
  <r>
    <s v="TX501353"/>
    <x v="16"/>
    <x v="2"/>
    <n v="51.6"/>
    <n v="154.80000000000001"/>
    <x v="51"/>
    <x v="59"/>
    <x v="2"/>
    <x v="0"/>
    <x v="4"/>
    <x v="0"/>
    <x v="19"/>
    <x v="9"/>
    <n v="8"/>
    <x v="2"/>
  </r>
  <r>
    <s v="TX501354"/>
    <x v="7"/>
    <x v="2"/>
    <n v="98"/>
    <n v="294"/>
    <x v="51"/>
    <x v="56"/>
    <x v="1"/>
    <x v="1"/>
    <x v="1"/>
    <x v="0"/>
    <x v="19"/>
    <x v="3"/>
    <n v="8"/>
    <x v="1"/>
  </r>
  <r>
    <s v="TX501355"/>
    <x v="6"/>
    <x v="3"/>
    <n v="41.4"/>
    <n v="289.8"/>
    <x v="51"/>
    <x v="56"/>
    <x v="1"/>
    <x v="1"/>
    <x v="0"/>
    <x v="0"/>
    <x v="20"/>
    <x v="3"/>
    <n v="8"/>
    <x v="1"/>
  </r>
  <r>
    <s v="TX501356"/>
    <x v="11"/>
    <x v="8"/>
    <n v="34"/>
    <n v="272"/>
    <x v="51"/>
    <x v="52"/>
    <x v="2"/>
    <x v="0"/>
    <x v="2"/>
    <x v="0"/>
    <x v="52"/>
    <x v="0"/>
    <n v="8"/>
    <x v="2"/>
  </r>
  <r>
    <s v="TX501357"/>
    <x v="6"/>
    <x v="0"/>
    <n v="66.3"/>
    <n v="66.3"/>
    <x v="51"/>
    <x v="56"/>
    <x v="2"/>
    <x v="1"/>
    <x v="0"/>
    <x v="0"/>
    <x v="13"/>
    <x v="3"/>
    <n v="8"/>
    <x v="2"/>
  </r>
  <r>
    <s v="TX501358"/>
    <x v="7"/>
    <x v="0"/>
    <n v="33.5"/>
    <n v="33.5"/>
    <x v="51"/>
    <x v="51"/>
    <x v="1"/>
    <x v="2"/>
    <x v="0"/>
    <x v="0"/>
    <x v="13"/>
    <x v="5"/>
    <n v="8"/>
    <x v="1"/>
  </r>
  <r>
    <s v="TX501359"/>
    <x v="12"/>
    <x v="1"/>
    <n v="70.8"/>
    <n v="141.6"/>
    <x v="51"/>
    <x v="56"/>
    <x v="0"/>
    <x v="0"/>
    <x v="0"/>
    <x v="0"/>
    <x v="28"/>
    <x v="3"/>
    <n v="8"/>
    <x v="0"/>
  </r>
  <r>
    <s v="TX501360"/>
    <x v="6"/>
    <x v="1"/>
    <n v="127.6"/>
    <n v="255.2"/>
    <x v="51"/>
    <x v="56"/>
    <x v="1"/>
    <x v="0"/>
    <x v="0"/>
    <x v="0"/>
    <x v="21"/>
    <x v="3"/>
    <n v="8"/>
    <x v="1"/>
  </r>
  <r>
    <s v="TX501361"/>
    <x v="6"/>
    <x v="2"/>
    <n v="95.9"/>
    <n v="287.70000000000005"/>
    <x v="51"/>
    <x v="56"/>
    <x v="2"/>
    <x v="1"/>
    <x v="1"/>
    <x v="0"/>
    <x v="21"/>
    <x v="3"/>
    <n v="8"/>
    <x v="2"/>
  </r>
  <r>
    <s v="TX501362"/>
    <x v="2"/>
    <x v="1"/>
    <n v="78.099999999999994"/>
    <n v="156.19999999999999"/>
    <x v="51"/>
    <x v="56"/>
    <x v="1"/>
    <x v="0"/>
    <x v="0"/>
    <x v="0"/>
    <x v="1"/>
    <x v="3"/>
    <n v="8"/>
    <x v="1"/>
  </r>
  <r>
    <s v="TX501363"/>
    <x v="13"/>
    <x v="1"/>
    <n v="43.2"/>
    <n v="86.4"/>
    <x v="51"/>
    <x v="56"/>
    <x v="0"/>
    <x v="1"/>
    <x v="1"/>
    <x v="0"/>
    <x v="1"/>
    <x v="3"/>
    <n v="8"/>
    <x v="0"/>
  </r>
  <r>
    <s v="TX501364"/>
    <x v="8"/>
    <x v="12"/>
    <n v="28.4"/>
    <n v="113.6"/>
    <x v="51"/>
    <x v="53"/>
    <x v="1"/>
    <x v="2"/>
    <x v="0"/>
    <x v="0"/>
    <x v="3"/>
    <x v="4"/>
    <n v="8"/>
    <x v="1"/>
  </r>
  <r>
    <s v="TX501365"/>
    <x v="2"/>
    <x v="1"/>
    <n v="81.7"/>
    <n v="163.4"/>
    <x v="51"/>
    <x v="47"/>
    <x v="1"/>
    <x v="0"/>
    <x v="0"/>
    <x v="0"/>
    <x v="3"/>
    <x v="7"/>
    <n v="8"/>
    <x v="1"/>
  </r>
  <r>
    <s v="TX501366"/>
    <x v="18"/>
    <x v="1"/>
    <n v="56.7"/>
    <n v="113.4"/>
    <x v="51"/>
    <x v="55"/>
    <x v="0"/>
    <x v="0"/>
    <x v="2"/>
    <x v="0"/>
    <x v="3"/>
    <x v="1"/>
    <n v="8"/>
    <x v="0"/>
  </r>
  <r>
    <s v="TX501367"/>
    <x v="3"/>
    <x v="12"/>
    <n v="66.5"/>
    <n v="266"/>
    <x v="51"/>
    <x v="47"/>
    <x v="2"/>
    <x v="0"/>
    <x v="2"/>
    <x v="0"/>
    <x v="3"/>
    <x v="7"/>
    <n v="8"/>
    <x v="2"/>
  </r>
  <r>
    <s v="TX501368"/>
    <x v="1"/>
    <x v="1"/>
    <n v="105.3"/>
    <n v="210.6"/>
    <x v="51"/>
    <x v="51"/>
    <x v="1"/>
    <x v="0"/>
    <x v="1"/>
    <x v="0"/>
    <x v="3"/>
    <x v="5"/>
    <n v="8"/>
    <x v="1"/>
  </r>
  <r>
    <s v="TX501369"/>
    <x v="10"/>
    <x v="9"/>
    <n v="33.799999999999997"/>
    <n v="169"/>
    <x v="51"/>
    <x v="52"/>
    <x v="1"/>
    <x v="0"/>
    <x v="0"/>
    <x v="0"/>
    <x v="3"/>
    <x v="0"/>
    <n v="8"/>
    <x v="1"/>
  </r>
  <r>
    <s v="TX501370"/>
    <x v="6"/>
    <x v="2"/>
    <n v="63.4"/>
    <n v="190.2"/>
    <x v="51"/>
    <x v="52"/>
    <x v="1"/>
    <x v="3"/>
    <x v="1"/>
    <x v="0"/>
    <x v="24"/>
    <x v="0"/>
    <n v="8"/>
    <x v="1"/>
  </r>
  <r>
    <s v="TX501371"/>
    <x v="6"/>
    <x v="2"/>
    <n v="49"/>
    <n v="147"/>
    <x v="51"/>
    <x v="51"/>
    <x v="1"/>
    <x v="3"/>
    <x v="0"/>
    <x v="0"/>
    <x v="49"/>
    <x v="5"/>
    <n v="8"/>
    <x v="1"/>
  </r>
  <r>
    <s v="TX501372"/>
    <x v="1"/>
    <x v="1"/>
    <n v="40"/>
    <n v="80"/>
    <x v="51"/>
    <x v="56"/>
    <x v="2"/>
    <x v="4"/>
    <x v="1"/>
    <x v="0"/>
    <x v="23"/>
    <x v="3"/>
    <n v="8"/>
    <x v="2"/>
  </r>
  <r>
    <s v="TX501373"/>
    <x v="6"/>
    <x v="12"/>
    <n v="86.3"/>
    <n v="345.2"/>
    <x v="51"/>
    <x v="56"/>
    <x v="3"/>
    <x v="0"/>
    <x v="0"/>
    <x v="0"/>
    <x v="6"/>
    <x v="3"/>
    <n v="8"/>
    <x v="3"/>
  </r>
  <r>
    <s v="TX501374"/>
    <x v="6"/>
    <x v="0"/>
    <n v="51.6"/>
    <n v="51.6"/>
    <x v="51"/>
    <x v="55"/>
    <x v="2"/>
    <x v="2"/>
    <x v="2"/>
    <x v="0"/>
    <x v="6"/>
    <x v="1"/>
    <n v="8"/>
    <x v="2"/>
  </r>
  <r>
    <s v="TX501375"/>
    <x v="10"/>
    <x v="2"/>
    <n v="26.7"/>
    <n v="80.099999999999994"/>
    <x v="51"/>
    <x v="52"/>
    <x v="2"/>
    <x v="2"/>
    <x v="1"/>
    <x v="0"/>
    <x v="6"/>
    <x v="0"/>
    <n v="8"/>
    <x v="2"/>
  </r>
  <r>
    <s v="TX501376"/>
    <x v="18"/>
    <x v="1"/>
    <n v="68.099999999999994"/>
    <n v="136.19999999999999"/>
    <x v="51"/>
    <x v="56"/>
    <x v="1"/>
    <x v="0"/>
    <x v="1"/>
    <x v="0"/>
    <x v="6"/>
    <x v="3"/>
    <n v="8"/>
    <x v="1"/>
  </r>
  <r>
    <s v="TX501377"/>
    <x v="1"/>
    <x v="0"/>
    <n v="81.7"/>
    <n v="81.7"/>
    <x v="51"/>
    <x v="56"/>
    <x v="1"/>
    <x v="0"/>
    <x v="0"/>
    <x v="0"/>
    <x v="7"/>
    <x v="3"/>
    <n v="8"/>
    <x v="1"/>
  </r>
  <r>
    <s v="TX501378"/>
    <x v="18"/>
    <x v="7"/>
    <n v="25.1"/>
    <n v="251"/>
    <x v="51"/>
    <x v="54"/>
    <x v="1"/>
    <x v="3"/>
    <x v="1"/>
    <x v="0"/>
    <x v="8"/>
    <x v="2"/>
    <n v="8"/>
    <x v="1"/>
  </r>
  <r>
    <s v="TX501379"/>
    <x v="8"/>
    <x v="0"/>
    <n v="20.2"/>
    <n v="20.2"/>
    <x v="51"/>
    <x v="51"/>
    <x v="2"/>
    <x v="0"/>
    <x v="0"/>
    <x v="0"/>
    <x v="8"/>
    <x v="5"/>
    <n v="8"/>
    <x v="2"/>
  </r>
  <r>
    <s v="TX501380"/>
    <x v="8"/>
    <x v="2"/>
    <n v="15.4"/>
    <n v="46.2"/>
    <x v="51"/>
    <x v="56"/>
    <x v="1"/>
    <x v="1"/>
    <x v="2"/>
    <x v="0"/>
    <x v="8"/>
    <x v="3"/>
    <n v="8"/>
    <x v="1"/>
  </r>
  <r>
    <s v="TX501381"/>
    <x v="10"/>
    <x v="0"/>
    <n v="59.2"/>
    <n v="59.2"/>
    <x v="51"/>
    <x v="56"/>
    <x v="1"/>
    <x v="2"/>
    <x v="2"/>
    <x v="0"/>
    <x v="17"/>
    <x v="3"/>
    <n v="8"/>
    <x v="1"/>
  </r>
  <r>
    <s v="TX501382"/>
    <x v="0"/>
    <x v="0"/>
    <n v="46.7"/>
    <n v="46.7"/>
    <x v="51"/>
    <x v="52"/>
    <x v="1"/>
    <x v="0"/>
    <x v="0"/>
    <x v="0"/>
    <x v="17"/>
    <x v="0"/>
    <n v="8"/>
    <x v="1"/>
  </r>
  <r>
    <s v="TX501383"/>
    <x v="6"/>
    <x v="20"/>
    <n v="41.6"/>
    <n v="624"/>
    <x v="51"/>
    <x v="55"/>
    <x v="1"/>
    <x v="1"/>
    <x v="0"/>
    <x v="0"/>
    <x v="26"/>
    <x v="1"/>
    <n v="8"/>
    <x v="1"/>
  </r>
  <r>
    <s v="TX501384"/>
    <x v="8"/>
    <x v="1"/>
    <n v="19.2"/>
    <n v="38.4"/>
    <x v="51"/>
    <x v="54"/>
    <x v="1"/>
    <x v="4"/>
    <x v="2"/>
    <x v="0"/>
    <x v="9"/>
    <x v="2"/>
    <n v="8"/>
    <x v="1"/>
  </r>
  <r>
    <s v="TX501385"/>
    <x v="17"/>
    <x v="3"/>
    <n v="41.8"/>
    <n v="292.59999999999997"/>
    <x v="51"/>
    <x v="55"/>
    <x v="2"/>
    <x v="2"/>
    <x v="0"/>
    <x v="0"/>
    <x v="11"/>
    <x v="1"/>
    <n v="8"/>
    <x v="2"/>
  </r>
  <r>
    <s v="TX501386"/>
    <x v="8"/>
    <x v="13"/>
    <n v="37.4"/>
    <n v="224.39999999999998"/>
    <x v="51"/>
    <x v="55"/>
    <x v="1"/>
    <x v="0"/>
    <x v="2"/>
    <x v="0"/>
    <x v="11"/>
    <x v="1"/>
    <n v="8"/>
    <x v="1"/>
  </r>
  <r>
    <s v="TX501387"/>
    <x v="10"/>
    <x v="2"/>
    <n v="60.2"/>
    <n v="180.60000000000002"/>
    <x v="51"/>
    <x v="54"/>
    <x v="1"/>
    <x v="4"/>
    <x v="1"/>
    <x v="0"/>
    <x v="38"/>
    <x v="2"/>
    <n v="8"/>
    <x v="1"/>
  </r>
  <r>
    <s v="TX501388"/>
    <x v="9"/>
    <x v="1"/>
    <n v="91.5"/>
    <n v="183"/>
    <x v="52"/>
    <x v="55"/>
    <x v="1"/>
    <x v="0"/>
    <x v="0"/>
    <x v="0"/>
    <x v="13"/>
    <x v="3"/>
    <n v="8"/>
    <x v="1"/>
  </r>
  <r>
    <s v="TX501389"/>
    <x v="3"/>
    <x v="9"/>
    <n v="55.7"/>
    <n v="278.5"/>
    <x v="52"/>
    <x v="54"/>
    <x v="0"/>
    <x v="1"/>
    <x v="2"/>
    <x v="0"/>
    <x v="21"/>
    <x v="1"/>
    <n v="8"/>
    <x v="0"/>
  </r>
  <r>
    <s v="TX501390"/>
    <x v="7"/>
    <x v="1"/>
    <n v="76.7"/>
    <n v="153.4"/>
    <x v="52"/>
    <x v="54"/>
    <x v="1"/>
    <x v="0"/>
    <x v="1"/>
    <x v="0"/>
    <x v="21"/>
    <x v="1"/>
    <n v="8"/>
    <x v="1"/>
  </r>
  <r>
    <s v="TX501391"/>
    <x v="8"/>
    <x v="38"/>
    <n v="28.2"/>
    <n v="592.19999999999993"/>
    <x v="52"/>
    <x v="53"/>
    <x v="1"/>
    <x v="2"/>
    <x v="0"/>
    <x v="0"/>
    <x v="1"/>
    <x v="0"/>
    <n v="8"/>
    <x v="1"/>
  </r>
  <r>
    <s v="TX501392"/>
    <x v="7"/>
    <x v="9"/>
    <n v="93.2"/>
    <n v="466"/>
    <x v="52"/>
    <x v="54"/>
    <x v="2"/>
    <x v="4"/>
    <x v="2"/>
    <x v="0"/>
    <x v="1"/>
    <x v="1"/>
    <n v="8"/>
    <x v="2"/>
  </r>
  <r>
    <s v="TX501393"/>
    <x v="17"/>
    <x v="0"/>
    <n v="33.299999999999997"/>
    <n v="33.299999999999997"/>
    <x v="52"/>
    <x v="55"/>
    <x v="1"/>
    <x v="4"/>
    <x v="0"/>
    <x v="0"/>
    <x v="2"/>
    <x v="3"/>
    <n v="8"/>
    <x v="1"/>
  </r>
  <r>
    <s v="TX501394"/>
    <x v="10"/>
    <x v="1"/>
    <n v="39.1"/>
    <n v="78.2"/>
    <x v="52"/>
    <x v="51"/>
    <x v="1"/>
    <x v="0"/>
    <x v="0"/>
    <x v="0"/>
    <x v="44"/>
    <x v="2"/>
    <n v="8"/>
    <x v="1"/>
  </r>
  <r>
    <s v="TX501395"/>
    <x v="7"/>
    <x v="4"/>
    <n v="45.3"/>
    <n v="543.59999999999991"/>
    <x v="52"/>
    <x v="55"/>
    <x v="1"/>
    <x v="2"/>
    <x v="0"/>
    <x v="0"/>
    <x v="33"/>
    <x v="3"/>
    <n v="8"/>
    <x v="1"/>
  </r>
  <r>
    <s v="TX501396"/>
    <x v="9"/>
    <x v="3"/>
    <n v="33.9"/>
    <n v="237.29999999999998"/>
    <x v="52"/>
    <x v="55"/>
    <x v="1"/>
    <x v="4"/>
    <x v="0"/>
    <x v="0"/>
    <x v="33"/>
    <x v="3"/>
    <n v="8"/>
    <x v="1"/>
  </r>
  <r>
    <s v="TX501397"/>
    <x v="8"/>
    <x v="2"/>
    <n v="19"/>
    <n v="57"/>
    <x v="52"/>
    <x v="55"/>
    <x v="1"/>
    <x v="0"/>
    <x v="2"/>
    <x v="0"/>
    <x v="15"/>
    <x v="3"/>
    <n v="8"/>
    <x v="1"/>
  </r>
  <r>
    <s v="TX501398"/>
    <x v="4"/>
    <x v="0"/>
    <n v="41.9"/>
    <n v="41.9"/>
    <x v="52"/>
    <x v="51"/>
    <x v="2"/>
    <x v="2"/>
    <x v="0"/>
    <x v="0"/>
    <x v="22"/>
    <x v="2"/>
    <n v="8"/>
    <x v="2"/>
  </r>
  <r>
    <s v="TX501399"/>
    <x v="1"/>
    <x v="12"/>
    <n v="37.5"/>
    <n v="150"/>
    <x v="52"/>
    <x v="56"/>
    <x v="2"/>
    <x v="0"/>
    <x v="0"/>
    <x v="0"/>
    <x v="3"/>
    <x v="7"/>
    <n v="8"/>
    <x v="2"/>
  </r>
  <r>
    <s v="TX501400"/>
    <x v="0"/>
    <x v="1"/>
    <n v="40.799999999999997"/>
    <n v="81.599999999999994"/>
    <x v="52"/>
    <x v="51"/>
    <x v="1"/>
    <x v="0"/>
    <x v="0"/>
    <x v="0"/>
    <x v="3"/>
    <x v="2"/>
    <n v="8"/>
    <x v="1"/>
  </r>
  <r>
    <s v="TX501401"/>
    <x v="0"/>
    <x v="12"/>
    <n v="23.1"/>
    <n v="92.4"/>
    <x v="52"/>
    <x v="55"/>
    <x v="2"/>
    <x v="4"/>
    <x v="0"/>
    <x v="0"/>
    <x v="3"/>
    <x v="3"/>
    <n v="8"/>
    <x v="2"/>
  </r>
  <r>
    <s v="TX501402"/>
    <x v="8"/>
    <x v="9"/>
    <n v="39.299999999999997"/>
    <n v="196.5"/>
    <x v="52"/>
    <x v="55"/>
    <x v="2"/>
    <x v="0"/>
    <x v="0"/>
    <x v="0"/>
    <x v="3"/>
    <x v="3"/>
    <n v="8"/>
    <x v="2"/>
  </r>
  <r>
    <s v="TX501403"/>
    <x v="2"/>
    <x v="12"/>
    <n v="85.2"/>
    <n v="340.8"/>
    <x v="52"/>
    <x v="53"/>
    <x v="1"/>
    <x v="2"/>
    <x v="0"/>
    <x v="0"/>
    <x v="3"/>
    <x v="0"/>
    <n v="8"/>
    <x v="1"/>
  </r>
  <r>
    <s v="TX501404"/>
    <x v="8"/>
    <x v="13"/>
    <n v="16"/>
    <n v="96"/>
    <x v="52"/>
    <x v="51"/>
    <x v="1"/>
    <x v="1"/>
    <x v="0"/>
    <x v="0"/>
    <x v="3"/>
    <x v="2"/>
    <n v="8"/>
    <x v="1"/>
  </r>
  <r>
    <s v="TX501405"/>
    <x v="1"/>
    <x v="1"/>
    <n v="33.799999999999997"/>
    <n v="67.599999999999994"/>
    <x v="52"/>
    <x v="52"/>
    <x v="2"/>
    <x v="1"/>
    <x v="0"/>
    <x v="0"/>
    <x v="3"/>
    <x v="5"/>
    <n v="8"/>
    <x v="2"/>
  </r>
  <r>
    <s v="TX501406"/>
    <x v="3"/>
    <x v="0"/>
    <n v="70"/>
    <n v="70"/>
    <x v="52"/>
    <x v="55"/>
    <x v="2"/>
    <x v="0"/>
    <x v="0"/>
    <x v="0"/>
    <x v="3"/>
    <x v="3"/>
    <n v="8"/>
    <x v="2"/>
  </r>
  <r>
    <s v="TX501407"/>
    <x v="9"/>
    <x v="0"/>
    <n v="88"/>
    <n v="88"/>
    <x v="52"/>
    <x v="53"/>
    <x v="2"/>
    <x v="3"/>
    <x v="0"/>
    <x v="0"/>
    <x v="3"/>
    <x v="0"/>
    <n v="8"/>
    <x v="2"/>
  </r>
  <r>
    <s v="TX501408"/>
    <x v="2"/>
    <x v="2"/>
    <n v="74.099999999999994"/>
    <n v="222.29999999999998"/>
    <x v="52"/>
    <x v="56"/>
    <x v="1"/>
    <x v="4"/>
    <x v="1"/>
    <x v="0"/>
    <x v="3"/>
    <x v="7"/>
    <n v="8"/>
    <x v="1"/>
  </r>
  <r>
    <s v="TX501409"/>
    <x v="2"/>
    <x v="0"/>
    <n v="161.9"/>
    <n v="161.9"/>
    <x v="52"/>
    <x v="54"/>
    <x v="1"/>
    <x v="2"/>
    <x v="0"/>
    <x v="0"/>
    <x v="3"/>
    <x v="1"/>
    <n v="8"/>
    <x v="1"/>
  </r>
  <r>
    <s v="TX501410"/>
    <x v="4"/>
    <x v="1"/>
    <n v="44"/>
    <n v="88"/>
    <x v="52"/>
    <x v="55"/>
    <x v="3"/>
    <x v="4"/>
    <x v="1"/>
    <x v="0"/>
    <x v="3"/>
    <x v="3"/>
    <n v="8"/>
    <x v="3"/>
  </r>
  <r>
    <s v="TX501411"/>
    <x v="11"/>
    <x v="0"/>
    <n v="32.1"/>
    <n v="32.1"/>
    <x v="52"/>
    <x v="56"/>
    <x v="2"/>
    <x v="3"/>
    <x v="3"/>
    <x v="0"/>
    <x v="3"/>
    <x v="7"/>
    <n v="8"/>
    <x v="2"/>
  </r>
  <r>
    <s v="TX501412"/>
    <x v="2"/>
    <x v="12"/>
    <n v="104.8"/>
    <n v="419.2"/>
    <x v="53"/>
    <x v="51"/>
    <x v="3"/>
    <x v="0"/>
    <x v="0"/>
    <x v="0"/>
    <x v="3"/>
    <x v="1"/>
    <n v="9"/>
    <x v="3"/>
  </r>
  <r>
    <s v="TX501413"/>
    <x v="9"/>
    <x v="13"/>
    <n v="67.400000000000006"/>
    <n v="404.40000000000003"/>
    <x v="53"/>
    <x v="54"/>
    <x v="2"/>
    <x v="3"/>
    <x v="0"/>
    <x v="0"/>
    <x v="3"/>
    <x v="3"/>
    <n v="9"/>
    <x v="2"/>
  </r>
  <r>
    <s v="TX501414"/>
    <x v="6"/>
    <x v="1"/>
    <n v="115.2"/>
    <n v="230.4"/>
    <x v="53"/>
    <x v="54"/>
    <x v="2"/>
    <x v="1"/>
    <x v="0"/>
    <x v="0"/>
    <x v="4"/>
    <x v="3"/>
    <n v="9"/>
    <x v="2"/>
  </r>
  <r>
    <s v="TX501415"/>
    <x v="8"/>
    <x v="19"/>
    <n v="15.5"/>
    <n v="449.5"/>
    <x v="53"/>
    <x v="51"/>
    <x v="2"/>
    <x v="0"/>
    <x v="1"/>
    <x v="0"/>
    <x v="23"/>
    <x v="1"/>
    <n v="9"/>
    <x v="2"/>
  </r>
  <r>
    <s v="TX501416"/>
    <x v="6"/>
    <x v="5"/>
    <n v="66.400000000000006"/>
    <n v="730.40000000000009"/>
    <x v="53"/>
    <x v="51"/>
    <x v="2"/>
    <x v="0"/>
    <x v="0"/>
    <x v="0"/>
    <x v="6"/>
    <x v="1"/>
    <n v="9"/>
    <x v="2"/>
  </r>
  <r>
    <s v="TX501417"/>
    <x v="9"/>
    <x v="4"/>
    <n v="68.099999999999994"/>
    <n v="817.19999999999993"/>
    <x v="53"/>
    <x v="54"/>
    <x v="2"/>
    <x v="2"/>
    <x v="0"/>
    <x v="0"/>
    <x v="8"/>
    <x v="3"/>
    <n v="9"/>
    <x v="2"/>
  </r>
  <r>
    <s v="TX501418"/>
    <x v="8"/>
    <x v="9"/>
    <n v="32.5"/>
    <n v="162.5"/>
    <x v="53"/>
    <x v="53"/>
    <x v="1"/>
    <x v="2"/>
    <x v="1"/>
    <x v="0"/>
    <x v="8"/>
    <x v="5"/>
    <n v="9"/>
    <x v="1"/>
  </r>
  <r>
    <s v="TX501419"/>
    <x v="15"/>
    <x v="2"/>
    <n v="61.2"/>
    <n v="183.60000000000002"/>
    <x v="53"/>
    <x v="51"/>
    <x v="2"/>
    <x v="1"/>
    <x v="1"/>
    <x v="0"/>
    <x v="8"/>
    <x v="1"/>
    <n v="9"/>
    <x v="2"/>
  </r>
  <r>
    <s v="TX501420"/>
    <x v="9"/>
    <x v="1"/>
    <n v="54.2"/>
    <n v="108.4"/>
    <x v="53"/>
    <x v="54"/>
    <x v="2"/>
    <x v="1"/>
    <x v="0"/>
    <x v="0"/>
    <x v="8"/>
    <x v="3"/>
    <n v="9"/>
    <x v="2"/>
  </r>
  <r>
    <s v="TX501421"/>
    <x v="11"/>
    <x v="8"/>
    <n v="28.7"/>
    <n v="229.6"/>
    <x v="53"/>
    <x v="51"/>
    <x v="1"/>
    <x v="1"/>
    <x v="0"/>
    <x v="0"/>
    <x v="9"/>
    <x v="1"/>
    <n v="9"/>
    <x v="1"/>
  </r>
  <r>
    <s v="TX501422"/>
    <x v="12"/>
    <x v="13"/>
    <n v="38.200000000000003"/>
    <n v="229.20000000000002"/>
    <x v="53"/>
    <x v="53"/>
    <x v="2"/>
    <x v="0"/>
    <x v="1"/>
    <x v="0"/>
    <x v="9"/>
    <x v="5"/>
    <n v="9"/>
    <x v="2"/>
  </r>
  <r>
    <s v="TX501423"/>
    <x v="8"/>
    <x v="4"/>
    <n v="17.600000000000001"/>
    <n v="211.20000000000002"/>
    <x v="53"/>
    <x v="54"/>
    <x v="2"/>
    <x v="2"/>
    <x v="1"/>
    <x v="0"/>
    <x v="9"/>
    <x v="3"/>
    <n v="9"/>
    <x v="2"/>
  </r>
  <r>
    <s v="TX501424"/>
    <x v="10"/>
    <x v="2"/>
    <n v="74.599999999999994"/>
    <n v="223.79999999999998"/>
    <x v="53"/>
    <x v="55"/>
    <x v="2"/>
    <x v="2"/>
    <x v="0"/>
    <x v="0"/>
    <x v="11"/>
    <x v="7"/>
    <n v="9"/>
    <x v="2"/>
  </r>
  <r>
    <s v="TX501425"/>
    <x v="16"/>
    <x v="20"/>
    <n v="72.599999999999994"/>
    <n v="1089"/>
    <x v="53"/>
    <x v="55"/>
    <x v="0"/>
    <x v="1"/>
    <x v="1"/>
    <x v="0"/>
    <x v="11"/>
    <x v="7"/>
    <n v="9"/>
    <x v="0"/>
  </r>
  <r>
    <s v="TX501426"/>
    <x v="7"/>
    <x v="0"/>
    <n v="62.3"/>
    <n v="62.3"/>
    <x v="53"/>
    <x v="54"/>
    <x v="2"/>
    <x v="1"/>
    <x v="0"/>
    <x v="0"/>
    <x v="11"/>
    <x v="3"/>
    <n v="9"/>
    <x v="2"/>
  </r>
  <r>
    <s v="TX501427"/>
    <x v="3"/>
    <x v="2"/>
    <n v="33.799999999999997"/>
    <n v="101.39999999999999"/>
    <x v="53"/>
    <x v="51"/>
    <x v="1"/>
    <x v="0"/>
    <x v="2"/>
    <x v="0"/>
    <x v="20"/>
    <x v="1"/>
    <n v="9"/>
    <x v="1"/>
  </r>
  <r>
    <s v="TX501428"/>
    <x v="9"/>
    <x v="0"/>
    <n v="85.7"/>
    <n v="85.7"/>
    <x v="53"/>
    <x v="52"/>
    <x v="1"/>
    <x v="3"/>
    <x v="1"/>
    <x v="0"/>
    <x v="21"/>
    <x v="2"/>
    <n v="9"/>
    <x v="1"/>
  </r>
  <r>
    <s v="TX501429"/>
    <x v="6"/>
    <x v="1"/>
    <n v="92.1"/>
    <n v="184.2"/>
    <x v="53"/>
    <x v="51"/>
    <x v="1"/>
    <x v="1"/>
    <x v="0"/>
    <x v="0"/>
    <x v="21"/>
    <x v="1"/>
    <n v="9"/>
    <x v="1"/>
  </r>
  <r>
    <s v="TX501430"/>
    <x v="16"/>
    <x v="2"/>
    <n v="65.099999999999994"/>
    <n v="195.29999999999998"/>
    <x v="53"/>
    <x v="52"/>
    <x v="1"/>
    <x v="0"/>
    <x v="0"/>
    <x v="0"/>
    <x v="1"/>
    <x v="2"/>
    <n v="9"/>
    <x v="1"/>
  </r>
  <r>
    <s v="TX501431"/>
    <x v="9"/>
    <x v="3"/>
    <n v="20.3"/>
    <n v="142.1"/>
    <x v="53"/>
    <x v="54"/>
    <x v="2"/>
    <x v="2"/>
    <x v="2"/>
    <x v="0"/>
    <x v="2"/>
    <x v="3"/>
    <n v="9"/>
    <x v="2"/>
  </r>
  <r>
    <s v="TX501432"/>
    <x v="19"/>
    <x v="1"/>
    <n v="29.8"/>
    <n v="59.6"/>
    <x v="53"/>
    <x v="51"/>
    <x v="2"/>
    <x v="1"/>
    <x v="2"/>
    <x v="0"/>
    <x v="34"/>
    <x v="1"/>
    <n v="9"/>
    <x v="2"/>
  </r>
  <r>
    <s v="TX501433"/>
    <x v="0"/>
    <x v="1"/>
    <n v="24.2"/>
    <n v="48.4"/>
    <x v="53"/>
    <x v="51"/>
    <x v="2"/>
    <x v="3"/>
    <x v="2"/>
    <x v="0"/>
    <x v="3"/>
    <x v="1"/>
    <n v="9"/>
    <x v="2"/>
  </r>
  <r>
    <s v="TX501434"/>
    <x v="3"/>
    <x v="0"/>
    <n v="57.3"/>
    <n v="57.3"/>
    <x v="53"/>
    <x v="51"/>
    <x v="1"/>
    <x v="0"/>
    <x v="0"/>
    <x v="0"/>
    <x v="3"/>
    <x v="1"/>
    <n v="9"/>
    <x v="1"/>
  </r>
  <r>
    <s v="TX501435"/>
    <x v="2"/>
    <x v="0"/>
    <n v="108.9"/>
    <n v="108.9"/>
    <x v="53"/>
    <x v="51"/>
    <x v="2"/>
    <x v="1"/>
    <x v="0"/>
    <x v="0"/>
    <x v="3"/>
    <x v="1"/>
    <n v="9"/>
    <x v="2"/>
  </r>
  <r>
    <s v="TX501436"/>
    <x v="7"/>
    <x v="9"/>
    <n v="50.7"/>
    <n v="253.5"/>
    <x v="53"/>
    <x v="54"/>
    <x v="2"/>
    <x v="0"/>
    <x v="0"/>
    <x v="0"/>
    <x v="3"/>
    <x v="3"/>
    <n v="9"/>
    <x v="2"/>
  </r>
  <r>
    <s v="TX501437"/>
    <x v="7"/>
    <x v="11"/>
    <n v="66.099999999999994"/>
    <n v="594.9"/>
    <x v="53"/>
    <x v="60"/>
    <x v="2"/>
    <x v="1"/>
    <x v="0"/>
    <x v="0"/>
    <x v="3"/>
    <x v="12"/>
    <n v="9"/>
    <x v="2"/>
  </r>
  <r>
    <s v="TX501438"/>
    <x v="12"/>
    <x v="9"/>
    <n v="36.700000000000003"/>
    <n v="183.5"/>
    <x v="53"/>
    <x v="53"/>
    <x v="2"/>
    <x v="4"/>
    <x v="0"/>
    <x v="0"/>
    <x v="3"/>
    <x v="5"/>
    <n v="9"/>
    <x v="2"/>
  </r>
  <r>
    <s v="TX501439"/>
    <x v="8"/>
    <x v="14"/>
    <n v="19.3"/>
    <n v="328.1"/>
    <x v="53"/>
    <x v="51"/>
    <x v="1"/>
    <x v="0"/>
    <x v="0"/>
    <x v="0"/>
    <x v="43"/>
    <x v="1"/>
    <n v="9"/>
    <x v="1"/>
  </r>
  <r>
    <s v="TX501440"/>
    <x v="8"/>
    <x v="12"/>
    <n v="20.7"/>
    <n v="82.8"/>
    <x v="53"/>
    <x v="54"/>
    <x v="1"/>
    <x v="1"/>
    <x v="2"/>
    <x v="0"/>
    <x v="6"/>
    <x v="3"/>
    <n v="9"/>
    <x v="1"/>
  </r>
  <r>
    <s v="TX501441"/>
    <x v="5"/>
    <x v="2"/>
    <n v="54.7"/>
    <n v="164.10000000000002"/>
    <x v="53"/>
    <x v="55"/>
    <x v="3"/>
    <x v="1"/>
    <x v="4"/>
    <x v="0"/>
    <x v="6"/>
    <x v="7"/>
    <n v="9"/>
    <x v="3"/>
  </r>
  <r>
    <s v="TX501442"/>
    <x v="4"/>
    <x v="1"/>
    <n v="19.8"/>
    <n v="39.6"/>
    <x v="53"/>
    <x v="53"/>
    <x v="2"/>
    <x v="4"/>
    <x v="1"/>
    <x v="0"/>
    <x v="8"/>
    <x v="5"/>
    <n v="9"/>
    <x v="2"/>
  </r>
  <r>
    <s v="TX501443"/>
    <x v="7"/>
    <x v="0"/>
    <n v="41.1"/>
    <n v="41.1"/>
    <x v="53"/>
    <x v="51"/>
    <x v="2"/>
    <x v="0"/>
    <x v="2"/>
    <x v="0"/>
    <x v="8"/>
    <x v="1"/>
    <n v="9"/>
    <x v="2"/>
  </r>
  <r>
    <s v="TX501444"/>
    <x v="11"/>
    <x v="8"/>
    <n v="43.5"/>
    <n v="348"/>
    <x v="53"/>
    <x v="53"/>
    <x v="2"/>
    <x v="3"/>
    <x v="0"/>
    <x v="0"/>
    <x v="8"/>
    <x v="5"/>
    <n v="9"/>
    <x v="2"/>
  </r>
  <r>
    <s v="TX501445"/>
    <x v="8"/>
    <x v="21"/>
    <n v="19"/>
    <n v="266"/>
    <x v="53"/>
    <x v="54"/>
    <x v="1"/>
    <x v="0"/>
    <x v="0"/>
    <x v="0"/>
    <x v="26"/>
    <x v="3"/>
    <n v="9"/>
    <x v="1"/>
  </r>
  <r>
    <s v="TX501446"/>
    <x v="2"/>
    <x v="12"/>
    <n v="51.4"/>
    <n v="205.6"/>
    <x v="53"/>
    <x v="55"/>
    <x v="2"/>
    <x v="0"/>
    <x v="0"/>
    <x v="0"/>
    <x v="26"/>
    <x v="7"/>
    <n v="9"/>
    <x v="2"/>
  </r>
  <r>
    <s v="TX501447"/>
    <x v="10"/>
    <x v="1"/>
    <n v="39.799999999999997"/>
    <n v="79.599999999999994"/>
    <x v="53"/>
    <x v="52"/>
    <x v="1"/>
    <x v="3"/>
    <x v="1"/>
    <x v="0"/>
    <x v="13"/>
    <x v="2"/>
    <n v="9"/>
    <x v="1"/>
  </r>
  <r>
    <s v="TX501448"/>
    <x v="6"/>
    <x v="9"/>
    <n v="61"/>
    <n v="305"/>
    <x v="53"/>
    <x v="54"/>
    <x v="0"/>
    <x v="0"/>
    <x v="2"/>
    <x v="0"/>
    <x v="21"/>
    <x v="3"/>
    <n v="9"/>
    <x v="0"/>
  </r>
  <r>
    <s v="TX501449"/>
    <x v="8"/>
    <x v="5"/>
    <n v="15.1"/>
    <n v="166.1"/>
    <x v="54"/>
    <x v="59"/>
    <x v="1"/>
    <x v="3"/>
    <x v="2"/>
    <x v="0"/>
    <x v="2"/>
    <x v="0"/>
    <n v="9"/>
    <x v="1"/>
  </r>
  <r>
    <s v="TX501450"/>
    <x v="1"/>
    <x v="3"/>
    <n v="71.3"/>
    <n v="499.09999999999997"/>
    <x v="54"/>
    <x v="51"/>
    <x v="1"/>
    <x v="4"/>
    <x v="0"/>
    <x v="0"/>
    <x v="3"/>
    <x v="3"/>
    <n v="9"/>
    <x v="1"/>
  </r>
  <r>
    <s v="TX501451"/>
    <x v="10"/>
    <x v="0"/>
    <n v="25.8"/>
    <n v="25.8"/>
    <x v="54"/>
    <x v="52"/>
    <x v="2"/>
    <x v="0"/>
    <x v="2"/>
    <x v="0"/>
    <x v="3"/>
    <x v="1"/>
    <n v="9"/>
    <x v="2"/>
  </r>
  <r>
    <s v="TX501452"/>
    <x v="8"/>
    <x v="9"/>
    <n v="39.6"/>
    <n v="198"/>
    <x v="54"/>
    <x v="52"/>
    <x v="1"/>
    <x v="1"/>
    <x v="2"/>
    <x v="0"/>
    <x v="3"/>
    <x v="1"/>
    <n v="9"/>
    <x v="1"/>
  </r>
  <r>
    <s v="TX501453"/>
    <x v="5"/>
    <x v="1"/>
    <n v="64"/>
    <n v="128"/>
    <x v="54"/>
    <x v="54"/>
    <x v="1"/>
    <x v="1"/>
    <x v="1"/>
    <x v="0"/>
    <x v="3"/>
    <x v="7"/>
    <n v="9"/>
    <x v="1"/>
  </r>
  <r>
    <s v="TX501454"/>
    <x v="8"/>
    <x v="1"/>
    <n v="30.6"/>
    <n v="61.2"/>
    <x v="54"/>
    <x v="53"/>
    <x v="1"/>
    <x v="0"/>
    <x v="2"/>
    <x v="0"/>
    <x v="3"/>
    <x v="2"/>
    <n v="9"/>
    <x v="1"/>
  </r>
  <r>
    <s v="TX501455"/>
    <x v="8"/>
    <x v="1"/>
    <n v="21.3"/>
    <n v="42.6"/>
    <x v="54"/>
    <x v="51"/>
    <x v="1"/>
    <x v="0"/>
    <x v="1"/>
    <x v="0"/>
    <x v="3"/>
    <x v="3"/>
    <n v="9"/>
    <x v="1"/>
  </r>
  <r>
    <s v="TX501456"/>
    <x v="7"/>
    <x v="0"/>
    <n v="40.799999999999997"/>
    <n v="40.799999999999997"/>
    <x v="54"/>
    <x v="52"/>
    <x v="2"/>
    <x v="4"/>
    <x v="0"/>
    <x v="0"/>
    <x v="3"/>
    <x v="1"/>
    <n v="9"/>
    <x v="2"/>
  </r>
  <r>
    <s v="TX501457"/>
    <x v="9"/>
    <x v="12"/>
    <n v="27.7"/>
    <n v="110.8"/>
    <x v="54"/>
    <x v="51"/>
    <x v="2"/>
    <x v="0"/>
    <x v="1"/>
    <x v="0"/>
    <x v="3"/>
    <x v="3"/>
    <n v="9"/>
    <x v="2"/>
  </r>
  <r>
    <s v="TX501458"/>
    <x v="6"/>
    <x v="1"/>
    <n v="64.599999999999994"/>
    <n v="129.19999999999999"/>
    <x v="54"/>
    <x v="51"/>
    <x v="1"/>
    <x v="0"/>
    <x v="1"/>
    <x v="0"/>
    <x v="3"/>
    <x v="3"/>
    <n v="9"/>
    <x v="1"/>
  </r>
  <r>
    <s v="TX501459"/>
    <x v="6"/>
    <x v="27"/>
    <n v="91.1"/>
    <n v="1457.6"/>
    <x v="54"/>
    <x v="51"/>
    <x v="2"/>
    <x v="1"/>
    <x v="2"/>
    <x v="0"/>
    <x v="3"/>
    <x v="3"/>
    <n v="9"/>
    <x v="2"/>
  </r>
  <r>
    <s v="TX501460"/>
    <x v="1"/>
    <x v="0"/>
    <n v="39.5"/>
    <n v="39.5"/>
    <x v="54"/>
    <x v="61"/>
    <x v="2"/>
    <x v="0"/>
    <x v="0"/>
    <x v="0"/>
    <x v="3"/>
    <x v="9"/>
    <n v="9"/>
    <x v="2"/>
  </r>
  <r>
    <s v="TX501461"/>
    <x v="9"/>
    <x v="1"/>
    <n v="21.8"/>
    <n v="43.6"/>
    <x v="54"/>
    <x v="58"/>
    <x v="1"/>
    <x v="4"/>
    <x v="2"/>
    <x v="0"/>
    <x v="3"/>
    <x v="5"/>
    <n v="9"/>
    <x v="1"/>
  </r>
  <r>
    <s v="TX501462"/>
    <x v="8"/>
    <x v="1"/>
    <n v="51"/>
    <n v="102"/>
    <x v="54"/>
    <x v="53"/>
    <x v="1"/>
    <x v="3"/>
    <x v="2"/>
    <x v="0"/>
    <x v="3"/>
    <x v="2"/>
    <n v="9"/>
    <x v="1"/>
  </r>
  <r>
    <s v="TX501463"/>
    <x v="2"/>
    <x v="0"/>
    <n v="92.6"/>
    <n v="92.6"/>
    <x v="54"/>
    <x v="53"/>
    <x v="2"/>
    <x v="0"/>
    <x v="2"/>
    <x v="0"/>
    <x v="35"/>
    <x v="2"/>
    <n v="9"/>
    <x v="2"/>
  </r>
  <r>
    <s v="TX501464"/>
    <x v="9"/>
    <x v="1"/>
    <n v="31.1"/>
    <n v="62.2"/>
    <x v="54"/>
    <x v="59"/>
    <x v="0"/>
    <x v="1"/>
    <x v="3"/>
    <x v="0"/>
    <x v="23"/>
    <x v="0"/>
    <n v="9"/>
    <x v="0"/>
  </r>
  <r>
    <s v="TX501465"/>
    <x v="5"/>
    <x v="2"/>
    <n v="56.4"/>
    <n v="169.2"/>
    <x v="54"/>
    <x v="51"/>
    <x v="0"/>
    <x v="1"/>
    <x v="0"/>
    <x v="0"/>
    <x v="6"/>
    <x v="3"/>
    <n v="9"/>
    <x v="0"/>
  </r>
  <r>
    <s v="TX501466"/>
    <x v="9"/>
    <x v="0"/>
    <n v="41.9"/>
    <n v="41.9"/>
    <x v="54"/>
    <x v="54"/>
    <x v="1"/>
    <x v="1"/>
    <x v="0"/>
    <x v="0"/>
    <x v="6"/>
    <x v="7"/>
    <n v="9"/>
    <x v="1"/>
  </r>
  <r>
    <s v="TX501467"/>
    <x v="10"/>
    <x v="3"/>
    <n v="45.9"/>
    <n v="321.3"/>
    <x v="54"/>
    <x v="51"/>
    <x v="1"/>
    <x v="3"/>
    <x v="2"/>
    <x v="0"/>
    <x v="8"/>
    <x v="3"/>
    <n v="9"/>
    <x v="1"/>
  </r>
  <r>
    <s v="TX501468"/>
    <x v="14"/>
    <x v="11"/>
    <n v="24.4"/>
    <n v="219.6"/>
    <x v="54"/>
    <x v="58"/>
    <x v="1"/>
    <x v="3"/>
    <x v="2"/>
    <x v="0"/>
    <x v="8"/>
    <x v="5"/>
    <n v="9"/>
    <x v="1"/>
  </r>
  <r>
    <s v="TX501469"/>
    <x v="8"/>
    <x v="0"/>
    <n v="18.2"/>
    <n v="18.2"/>
    <x v="54"/>
    <x v="51"/>
    <x v="2"/>
    <x v="2"/>
    <x v="2"/>
    <x v="0"/>
    <x v="8"/>
    <x v="3"/>
    <n v="9"/>
    <x v="2"/>
  </r>
  <r>
    <s v="TX501470"/>
    <x v="8"/>
    <x v="12"/>
    <n v="51.2"/>
    <n v="204.8"/>
    <x v="54"/>
    <x v="51"/>
    <x v="2"/>
    <x v="0"/>
    <x v="0"/>
    <x v="0"/>
    <x v="8"/>
    <x v="3"/>
    <n v="9"/>
    <x v="2"/>
  </r>
  <r>
    <s v="TX501471"/>
    <x v="6"/>
    <x v="0"/>
    <n v="59.7"/>
    <n v="59.7"/>
    <x v="54"/>
    <x v="53"/>
    <x v="1"/>
    <x v="0"/>
    <x v="2"/>
    <x v="0"/>
    <x v="8"/>
    <x v="2"/>
    <n v="9"/>
    <x v="1"/>
  </r>
  <r>
    <s v="TX501472"/>
    <x v="4"/>
    <x v="1"/>
    <n v="33.6"/>
    <n v="67.2"/>
    <x v="54"/>
    <x v="52"/>
    <x v="2"/>
    <x v="0"/>
    <x v="0"/>
    <x v="0"/>
    <x v="17"/>
    <x v="1"/>
    <n v="9"/>
    <x v="2"/>
  </r>
  <r>
    <s v="TX501473"/>
    <x v="12"/>
    <x v="0"/>
    <n v="90.4"/>
    <n v="90.4"/>
    <x v="54"/>
    <x v="58"/>
    <x v="1"/>
    <x v="1"/>
    <x v="2"/>
    <x v="0"/>
    <x v="10"/>
    <x v="5"/>
    <n v="9"/>
    <x v="1"/>
  </r>
  <r>
    <s v="TX501474"/>
    <x v="11"/>
    <x v="2"/>
    <n v="70.3"/>
    <n v="210.89999999999998"/>
    <x v="54"/>
    <x v="54"/>
    <x v="1"/>
    <x v="1"/>
    <x v="2"/>
    <x v="0"/>
    <x v="11"/>
    <x v="7"/>
    <n v="9"/>
    <x v="1"/>
  </r>
  <r>
    <s v="TX501475"/>
    <x v="4"/>
    <x v="1"/>
    <n v="20.5"/>
    <n v="41"/>
    <x v="54"/>
    <x v="53"/>
    <x v="2"/>
    <x v="0"/>
    <x v="1"/>
    <x v="0"/>
    <x v="11"/>
    <x v="2"/>
    <n v="9"/>
    <x v="2"/>
  </r>
  <r>
    <s v="TX501476"/>
    <x v="5"/>
    <x v="5"/>
    <n v="37.6"/>
    <n v="413.6"/>
    <x v="54"/>
    <x v="51"/>
    <x v="1"/>
    <x v="0"/>
    <x v="0"/>
    <x v="0"/>
    <x v="38"/>
    <x v="3"/>
    <n v="9"/>
    <x v="1"/>
  </r>
  <r>
    <s v="TX501477"/>
    <x v="5"/>
    <x v="12"/>
    <n v="61.5"/>
    <n v="246"/>
    <x v="54"/>
    <x v="62"/>
    <x v="2"/>
    <x v="1"/>
    <x v="4"/>
    <x v="0"/>
    <x v="13"/>
    <x v="6"/>
    <n v="9"/>
    <x v="2"/>
  </r>
  <r>
    <s v="TX501478"/>
    <x v="9"/>
    <x v="0"/>
    <n v="33.5"/>
    <n v="33.5"/>
    <x v="55"/>
    <x v="59"/>
    <x v="1"/>
    <x v="4"/>
    <x v="1"/>
    <x v="0"/>
    <x v="21"/>
    <x v="5"/>
    <n v="9"/>
    <x v="1"/>
  </r>
  <r>
    <s v="TX501479"/>
    <x v="4"/>
    <x v="2"/>
    <n v="29.3"/>
    <n v="87.9"/>
    <x v="55"/>
    <x v="53"/>
    <x v="2"/>
    <x v="1"/>
    <x v="2"/>
    <x v="0"/>
    <x v="1"/>
    <x v="1"/>
    <n v="9"/>
    <x v="2"/>
  </r>
  <r>
    <s v="TX501480"/>
    <x v="2"/>
    <x v="1"/>
    <n v="125.9"/>
    <n v="251.8"/>
    <x v="55"/>
    <x v="57"/>
    <x v="2"/>
    <x v="4"/>
    <x v="1"/>
    <x v="0"/>
    <x v="1"/>
    <x v="0"/>
    <n v="9"/>
    <x v="2"/>
  </r>
  <r>
    <s v="TX501481"/>
    <x v="5"/>
    <x v="9"/>
    <n v="29.3"/>
    <n v="146.5"/>
    <x v="55"/>
    <x v="51"/>
    <x v="1"/>
    <x v="2"/>
    <x v="0"/>
    <x v="0"/>
    <x v="44"/>
    <x v="7"/>
    <n v="9"/>
    <x v="1"/>
  </r>
  <r>
    <s v="TX501482"/>
    <x v="9"/>
    <x v="0"/>
    <n v="37.799999999999997"/>
    <n v="37.799999999999997"/>
    <x v="55"/>
    <x v="58"/>
    <x v="2"/>
    <x v="0"/>
    <x v="2"/>
    <x v="0"/>
    <x v="3"/>
    <x v="2"/>
    <n v="9"/>
    <x v="2"/>
  </r>
  <r>
    <s v="TX501483"/>
    <x v="0"/>
    <x v="12"/>
    <n v="31.7"/>
    <n v="126.8"/>
    <x v="55"/>
    <x v="52"/>
    <x v="1"/>
    <x v="2"/>
    <x v="2"/>
    <x v="0"/>
    <x v="3"/>
    <x v="3"/>
    <n v="9"/>
    <x v="1"/>
  </r>
  <r>
    <s v="TX501484"/>
    <x v="8"/>
    <x v="9"/>
    <n v="26.3"/>
    <n v="131.5"/>
    <x v="55"/>
    <x v="52"/>
    <x v="2"/>
    <x v="3"/>
    <x v="2"/>
    <x v="0"/>
    <x v="3"/>
    <x v="3"/>
    <n v="9"/>
    <x v="2"/>
  </r>
  <r>
    <s v="TX501485"/>
    <x v="8"/>
    <x v="2"/>
    <n v="23.1"/>
    <n v="69.300000000000011"/>
    <x v="55"/>
    <x v="52"/>
    <x v="3"/>
    <x v="2"/>
    <x v="1"/>
    <x v="0"/>
    <x v="3"/>
    <x v="3"/>
    <n v="9"/>
    <x v="3"/>
  </r>
  <r>
    <s v="TX501486"/>
    <x v="4"/>
    <x v="0"/>
    <n v="22.3"/>
    <n v="22.3"/>
    <x v="55"/>
    <x v="53"/>
    <x v="2"/>
    <x v="2"/>
    <x v="0"/>
    <x v="0"/>
    <x v="3"/>
    <x v="1"/>
    <n v="9"/>
    <x v="2"/>
  </r>
  <r>
    <s v="TX501487"/>
    <x v="12"/>
    <x v="1"/>
    <n v="99.5"/>
    <n v="199"/>
    <x v="55"/>
    <x v="53"/>
    <x v="2"/>
    <x v="2"/>
    <x v="0"/>
    <x v="0"/>
    <x v="3"/>
    <x v="1"/>
    <n v="9"/>
    <x v="2"/>
  </r>
  <r>
    <s v="TX501488"/>
    <x v="12"/>
    <x v="12"/>
    <n v="47.4"/>
    <n v="189.6"/>
    <x v="55"/>
    <x v="58"/>
    <x v="2"/>
    <x v="1"/>
    <x v="0"/>
    <x v="0"/>
    <x v="3"/>
    <x v="2"/>
    <n v="9"/>
    <x v="2"/>
  </r>
  <r>
    <s v="TX501489"/>
    <x v="0"/>
    <x v="5"/>
    <n v="37.5"/>
    <n v="412.5"/>
    <x v="55"/>
    <x v="53"/>
    <x v="2"/>
    <x v="0"/>
    <x v="3"/>
    <x v="0"/>
    <x v="3"/>
    <x v="1"/>
    <n v="9"/>
    <x v="2"/>
  </r>
  <r>
    <s v="TX501490"/>
    <x v="10"/>
    <x v="0"/>
    <n v="45.1"/>
    <n v="45.1"/>
    <x v="55"/>
    <x v="57"/>
    <x v="1"/>
    <x v="3"/>
    <x v="2"/>
    <x v="0"/>
    <x v="24"/>
    <x v="0"/>
    <n v="9"/>
    <x v="1"/>
  </r>
  <r>
    <s v="TX501491"/>
    <x v="5"/>
    <x v="7"/>
    <n v="34.4"/>
    <n v="344"/>
    <x v="55"/>
    <x v="58"/>
    <x v="1"/>
    <x v="2"/>
    <x v="0"/>
    <x v="0"/>
    <x v="16"/>
    <x v="2"/>
    <n v="9"/>
    <x v="1"/>
  </r>
  <r>
    <s v="TX501492"/>
    <x v="4"/>
    <x v="1"/>
    <n v="38"/>
    <n v="76"/>
    <x v="55"/>
    <x v="53"/>
    <x v="2"/>
    <x v="1"/>
    <x v="0"/>
    <x v="0"/>
    <x v="5"/>
    <x v="1"/>
    <n v="9"/>
    <x v="2"/>
  </r>
  <r>
    <s v="TX501493"/>
    <x v="3"/>
    <x v="21"/>
    <n v="32.4"/>
    <n v="453.59999999999997"/>
    <x v="55"/>
    <x v="58"/>
    <x v="1"/>
    <x v="4"/>
    <x v="0"/>
    <x v="0"/>
    <x v="6"/>
    <x v="2"/>
    <n v="9"/>
    <x v="1"/>
  </r>
  <r>
    <s v="TX501494"/>
    <x v="6"/>
    <x v="2"/>
    <n v="40.9"/>
    <n v="122.69999999999999"/>
    <x v="55"/>
    <x v="51"/>
    <x v="0"/>
    <x v="1"/>
    <x v="0"/>
    <x v="0"/>
    <x v="8"/>
    <x v="7"/>
    <n v="9"/>
    <x v="0"/>
  </r>
  <r>
    <s v="TX501495"/>
    <x v="7"/>
    <x v="3"/>
    <n v="76.2"/>
    <n v="533.4"/>
    <x v="55"/>
    <x v="53"/>
    <x v="2"/>
    <x v="2"/>
    <x v="1"/>
    <x v="0"/>
    <x v="8"/>
    <x v="1"/>
    <n v="9"/>
    <x v="2"/>
  </r>
  <r>
    <s v="TX501496"/>
    <x v="2"/>
    <x v="0"/>
    <n v="85.6"/>
    <n v="85.6"/>
    <x v="55"/>
    <x v="53"/>
    <x v="1"/>
    <x v="2"/>
    <x v="0"/>
    <x v="0"/>
    <x v="8"/>
    <x v="1"/>
    <n v="9"/>
    <x v="1"/>
  </r>
  <r>
    <s v="TX501497"/>
    <x v="4"/>
    <x v="12"/>
    <n v="25"/>
    <n v="100"/>
    <x v="55"/>
    <x v="53"/>
    <x v="2"/>
    <x v="2"/>
    <x v="2"/>
    <x v="0"/>
    <x v="8"/>
    <x v="1"/>
    <n v="9"/>
    <x v="2"/>
  </r>
  <r>
    <s v="TX501498"/>
    <x v="2"/>
    <x v="9"/>
    <n v="150.69999999999999"/>
    <n v="753.5"/>
    <x v="55"/>
    <x v="52"/>
    <x v="0"/>
    <x v="0"/>
    <x v="2"/>
    <x v="0"/>
    <x v="8"/>
    <x v="3"/>
    <n v="9"/>
    <x v="0"/>
  </r>
  <r>
    <s v="TX501499"/>
    <x v="8"/>
    <x v="0"/>
    <n v="19.600000000000001"/>
    <n v="19.600000000000001"/>
    <x v="55"/>
    <x v="52"/>
    <x v="1"/>
    <x v="1"/>
    <x v="4"/>
    <x v="0"/>
    <x v="8"/>
    <x v="3"/>
    <n v="9"/>
    <x v="1"/>
  </r>
  <r>
    <s v="TX501500"/>
    <x v="13"/>
    <x v="1"/>
    <n v="37.5"/>
    <n v="75"/>
    <x v="55"/>
    <x v="58"/>
    <x v="2"/>
    <x v="1"/>
    <x v="2"/>
    <x v="0"/>
    <x v="17"/>
    <x v="2"/>
    <n v="9"/>
    <x v="2"/>
  </r>
  <r>
    <s v="TX501501"/>
    <x v="9"/>
    <x v="2"/>
    <n v="51.9"/>
    <n v="155.69999999999999"/>
    <x v="55"/>
    <x v="62"/>
    <x v="2"/>
    <x v="0"/>
    <x v="4"/>
    <x v="0"/>
    <x v="11"/>
    <x v="4"/>
    <n v="9"/>
    <x v="2"/>
  </r>
  <r>
    <s v="TX501502"/>
    <x v="1"/>
    <x v="1"/>
    <n v="30.9"/>
    <n v="61.8"/>
    <x v="55"/>
    <x v="53"/>
    <x v="2"/>
    <x v="1"/>
    <x v="0"/>
    <x v="0"/>
    <x v="18"/>
    <x v="1"/>
    <n v="9"/>
    <x v="2"/>
  </r>
  <r>
    <s v="TX501503"/>
    <x v="4"/>
    <x v="2"/>
    <n v="21.2"/>
    <n v="63.599999999999994"/>
    <x v="55"/>
    <x v="58"/>
    <x v="2"/>
    <x v="1"/>
    <x v="0"/>
    <x v="0"/>
    <x v="19"/>
    <x v="2"/>
    <n v="9"/>
    <x v="2"/>
  </r>
  <r>
    <s v="TX501504"/>
    <x v="13"/>
    <x v="14"/>
    <n v="17.5"/>
    <n v="297.5"/>
    <x v="55"/>
    <x v="52"/>
    <x v="1"/>
    <x v="1"/>
    <x v="1"/>
    <x v="0"/>
    <x v="13"/>
    <x v="3"/>
    <n v="9"/>
    <x v="1"/>
  </r>
  <r>
    <s v="TX501505"/>
    <x v="12"/>
    <x v="1"/>
    <n v="53.8"/>
    <n v="107.6"/>
    <x v="55"/>
    <x v="57"/>
    <x v="2"/>
    <x v="0"/>
    <x v="2"/>
    <x v="0"/>
    <x v="21"/>
    <x v="0"/>
    <n v="9"/>
    <x v="2"/>
  </r>
  <r>
    <s v="TX501506"/>
    <x v="19"/>
    <x v="1"/>
    <n v="17"/>
    <n v="34"/>
    <x v="55"/>
    <x v="52"/>
    <x v="1"/>
    <x v="3"/>
    <x v="0"/>
    <x v="0"/>
    <x v="21"/>
    <x v="3"/>
    <n v="9"/>
    <x v="1"/>
  </r>
  <r>
    <s v="TX501507"/>
    <x v="6"/>
    <x v="0"/>
    <n v="103.2"/>
    <n v="103.2"/>
    <x v="55"/>
    <x v="63"/>
    <x v="1"/>
    <x v="2"/>
    <x v="1"/>
    <x v="0"/>
    <x v="1"/>
    <x v="9"/>
    <n v="9"/>
    <x v="1"/>
  </r>
  <r>
    <s v="TX501508"/>
    <x v="6"/>
    <x v="12"/>
    <n v="70.3"/>
    <n v="281.2"/>
    <x v="55"/>
    <x v="52"/>
    <x v="1"/>
    <x v="0"/>
    <x v="0"/>
    <x v="0"/>
    <x v="3"/>
    <x v="3"/>
    <n v="9"/>
    <x v="1"/>
  </r>
  <r>
    <s v="TX501509"/>
    <x v="2"/>
    <x v="1"/>
    <n v="73.8"/>
    <n v="147.6"/>
    <x v="55"/>
    <x v="51"/>
    <x v="1"/>
    <x v="3"/>
    <x v="2"/>
    <x v="0"/>
    <x v="3"/>
    <x v="7"/>
    <n v="9"/>
    <x v="1"/>
  </r>
  <r>
    <s v="TX501510"/>
    <x v="1"/>
    <x v="4"/>
    <n v="67.7"/>
    <n v="812.40000000000009"/>
    <x v="55"/>
    <x v="59"/>
    <x v="1"/>
    <x v="1"/>
    <x v="1"/>
    <x v="0"/>
    <x v="3"/>
    <x v="5"/>
    <n v="9"/>
    <x v="1"/>
  </r>
  <r>
    <s v="TX501511"/>
    <x v="13"/>
    <x v="3"/>
    <n v="43.8"/>
    <n v="306.59999999999997"/>
    <x v="55"/>
    <x v="53"/>
    <x v="1"/>
    <x v="1"/>
    <x v="0"/>
    <x v="0"/>
    <x v="3"/>
    <x v="1"/>
    <n v="9"/>
    <x v="1"/>
  </r>
  <r>
    <s v="TX501512"/>
    <x v="17"/>
    <x v="13"/>
    <n v="71.900000000000006"/>
    <n v="431.40000000000003"/>
    <x v="55"/>
    <x v="52"/>
    <x v="2"/>
    <x v="2"/>
    <x v="0"/>
    <x v="0"/>
    <x v="3"/>
    <x v="3"/>
    <n v="9"/>
    <x v="2"/>
  </r>
  <r>
    <s v="TX501513"/>
    <x v="8"/>
    <x v="1"/>
    <n v="26.3"/>
    <n v="52.6"/>
    <x v="56"/>
    <x v="58"/>
    <x v="2"/>
    <x v="0"/>
    <x v="1"/>
    <x v="0"/>
    <x v="3"/>
    <x v="1"/>
    <n v="9"/>
    <x v="2"/>
  </r>
  <r>
    <s v="TX501514"/>
    <x v="6"/>
    <x v="12"/>
    <n v="52.6"/>
    <n v="210.4"/>
    <x v="56"/>
    <x v="58"/>
    <x v="2"/>
    <x v="2"/>
    <x v="1"/>
    <x v="0"/>
    <x v="3"/>
    <x v="1"/>
    <n v="9"/>
    <x v="2"/>
  </r>
  <r>
    <s v="TX501515"/>
    <x v="10"/>
    <x v="0"/>
    <n v="32.700000000000003"/>
    <n v="32.700000000000003"/>
    <x v="56"/>
    <x v="63"/>
    <x v="2"/>
    <x v="0"/>
    <x v="2"/>
    <x v="0"/>
    <x v="3"/>
    <x v="6"/>
    <n v="9"/>
    <x v="2"/>
  </r>
  <r>
    <s v="TX501516"/>
    <x v="5"/>
    <x v="12"/>
    <n v="38.9"/>
    <n v="155.6"/>
    <x v="56"/>
    <x v="53"/>
    <x v="2"/>
    <x v="0"/>
    <x v="0"/>
    <x v="0"/>
    <x v="3"/>
    <x v="3"/>
    <n v="9"/>
    <x v="2"/>
  </r>
  <r>
    <s v="TX501517"/>
    <x v="9"/>
    <x v="9"/>
    <n v="35"/>
    <n v="175"/>
    <x v="56"/>
    <x v="58"/>
    <x v="1"/>
    <x v="0"/>
    <x v="0"/>
    <x v="0"/>
    <x v="3"/>
    <x v="1"/>
    <n v="9"/>
    <x v="1"/>
  </r>
  <r>
    <s v="TX501518"/>
    <x v="2"/>
    <x v="1"/>
    <n v="121"/>
    <n v="242"/>
    <x v="56"/>
    <x v="53"/>
    <x v="2"/>
    <x v="1"/>
    <x v="1"/>
    <x v="0"/>
    <x v="3"/>
    <x v="3"/>
    <n v="9"/>
    <x v="2"/>
  </r>
  <r>
    <s v="TX501519"/>
    <x v="6"/>
    <x v="2"/>
    <n v="65.099999999999994"/>
    <n v="195.29999999999998"/>
    <x v="56"/>
    <x v="57"/>
    <x v="1"/>
    <x v="2"/>
    <x v="0"/>
    <x v="0"/>
    <x v="36"/>
    <x v="5"/>
    <n v="9"/>
    <x v="1"/>
  </r>
  <r>
    <s v="TX501520"/>
    <x v="1"/>
    <x v="38"/>
    <n v="63.8"/>
    <n v="1339.8"/>
    <x v="56"/>
    <x v="58"/>
    <x v="2"/>
    <x v="0"/>
    <x v="0"/>
    <x v="0"/>
    <x v="8"/>
    <x v="1"/>
    <n v="9"/>
    <x v="2"/>
  </r>
  <r>
    <s v="TX501521"/>
    <x v="7"/>
    <x v="0"/>
    <n v="77.7"/>
    <n v="77.7"/>
    <x v="56"/>
    <x v="58"/>
    <x v="1"/>
    <x v="0"/>
    <x v="0"/>
    <x v="0"/>
    <x v="8"/>
    <x v="1"/>
    <n v="9"/>
    <x v="1"/>
  </r>
  <r>
    <s v="TX501522"/>
    <x v="5"/>
    <x v="12"/>
    <n v="60.3"/>
    <n v="241.2"/>
    <x v="56"/>
    <x v="52"/>
    <x v="1"/>
    <x v="0"/>
    <x v="2"/>
    <x v="0"/>
    <x v="8"/>
    <x v="7"/>
    <n v="9"/>
    <x v="1"/>
  </r>
  <r>
    <s v="TX501523"/>
    <x v="5"/>
    <x v="1"/>
    <n v="124.1"/>
    <n v="248.2"/>
    <x v="56"/>
    <x v="59"/>
    <x v="2"/>
    <x v="0"/>
    <x v="2"/>
    <x v="0"/>
    <x v="8"/>
    <x v="2"/>
    <n v="9"/>
    <x v="2"/>
  </r>
  <r>
    <s v="TX501524"/>
    <x v="16"/>
    <x v="3"/>
    <n v="66"/>
    <n v="462"/>
    <x v="56"/>
    <x v="52"/>
    <x v="0"/>
    <x v="3"/>
    <x v="0"/>
    <x v="0"/>
    <x v="17"/>
    <x v="7"/>
    <n v="9"/>
    <x v="0"/>
  </r>
  <r>
    <s v="TX501525"/>
    <x v="2"/>
    <x v="42"/>
    <n v="118.2"/>
    <n v="7446.6"/>
    <x v="56"/>
    <x v="62"/>
    <x v="0"/>
    <x v="0"/>
    <x v="0"/>
    <x v="0"/>
    <x v="17"/>
    <x v="0"/>
    <n v="9"/>
    <x v="0"/>
  </r>
  <r>
    <s v="TX501526"/>
    <x v="5"/>
    <x v="9"/>
    <n v="64.3"/>
    <n v="321.5"/>
    <x v="56"/>
    <x v="53"/>
    <x v="1"/>
    <x v="4"/>
    <x v="4"/>
    <x v="0"/>
    <x v="26"/>
    <x v="3"/>
    <n v="9"/>
    <x v="1"/>
  </r>
  <r>
    <s v="TX501527"/>
    <x v="1"/>
    <x v="1"/>
    <n v="54.8"/>
    <n v="109.6"/>
    <x v="56"/>
    <x v="52"/>
    <x v="1"/>
    <x v="0"/>
    <x v="1"/>
    <x v="0"/>
    <x v="26"/>
    <x v="7"/>
    <n v="9"/>
    <x v="1"/>
  </r>
  <r>
    <s v="TX501528"/>
    <x v="7"/>
    <x v="1"/>
    <n v="78.599999999999994"/>
    <n v="157.19999999999999"/>
    <x v="56"/>
    <x v="53"/>
    <x v="1"/>
    <x v="0"/>
    <x v="2"/>
    <x v="0"/>
    <x v="9"/>
    <x v="3"/>
    <n v="9"/>
    <x v="1"/>
  </r>
  <r>
    <s v="TX501529"/>
    <x v="2"/>
    <x v="9"/>
    <n v="158.5"/>
    <n v="792.5"/>
    <x v="56"/>
    <x v="58"/>
    <x v="0"/>
    <x v="2"/>
    <x v="2"/>
    <x v="0"/>
    <x v="9"/>
    <x v="1"/>
    <n v="9"/>
    <x v="0"/>
  </r>
  <r>
    <s v="TX501530"/>
    <x v="4"/>
    <x v="7"/>
    <n v="23.5"/>
    <n v="235"/>
    <x v="56"/>
    <x v="59"/>
    <x v="1"/>
    <x v="0"/>
    <x v="4"/>
    <x v="0"/>
    <x v="10"/>
    <x v="2"/>
    <n v="9"/>
    <x v="1"/>
  </r>
  <r>
    <s v="TX501531"/>
    <x v="5"/>
    <x v="1"/>
    <n v="32.1"/>
    <n v="64.2"/>
    <x v="56"/>
    <x v="58"/>
    <x v="0"/>
    <x v="3"/>
    <x v="0"/>
    <x v="0"/>
    <x v="10"/>
    <x v="1"/>
    <n v="9"/>
    <x v="0"/>
  </r>
  <r>
    <s v="TX501532"/>
    <x v="17"/>
    <x v="12"/>
    <n v="71.900000000000006"/>
    <n v="287.60000000000002"/>
    <x v="56"/>
    <x v="52"/>
    <x v="1"/>
    <x v="2"/>
    <x v="0"/>
    <x v="0"/>
    <x v="19"/>
    <x v="7"/>
    <n v="9"/>
    <x v="1"/>
  </r>
  <r>
    <s v="TX501533"/>
    <x v="4"/>
    <x v="13"/>
    <n v="22.3"/>
    <n v="133.80000000000001"/>
    <x v="56"/>
    <x v="53"/>
    <x v="0"/>
    <x v="3"/>
    <x v="2"/>
    <x v="0"/>
    <x v="13"/>
    <x v="3"/>
    <n v="9"/>
    <x v="0"/>
  </r>
  <r>
    <s v="TX501534"/>
    <x v="11"/>
    <x v="1"/>
    <n v="29.5"/>
    <n v="59"/>
    <x v="56"/>
    <x v="53"/>
    <x v="2"/>
    <x v="0"/>
    <x v="2"/>
    <x v="0"/>
    <x v="13"/>
    <x v="3"/>
    <n v="9"/>
    <x v="2"/>
  </r>
  <r>
    <s v="TX501535"/>
    <x v="6"/>
    <x v="12"/>
    <n v="41.9"/>
    <n v="167.6"/>
    <x v="56"/>
    <x v="57"/>
    <x v="2"/>
    <x v="0"/>
    <x v="1"/>
    <x v="0"/>
    <x v="21"/>
    <x v="5"/>
    <n v="9"/>
    <x v="2"/>
  </r>
  <r>
    <s v="TX501536"/>
    <x v="6"/>
    <x v="2"/>
    <n v="107.8"/>
    <n v="323.39999999999998"/>
    <x v="56"/>
    <x v="53"/>
    <x v="1"/>
    <x v="1"/>
    <x v="2"/>
    <x v="0"/>
    <x v="46"/>
    <x v="3"/>
    <n v="9"/>
    <x v="1"/>
  </r>
  <r>
    <s v="TX501537"/>
    <x v="4"/>
    <x v="9"/>
    <n v="18.100000000000001"/>
    <n v="90.5"/>
    <x v="56"/>
    <x v="59"/>
    <x v="1"/>
    <x v="0"/>
    <x v="2"/>
    <x v="0"/>
    <x v="2"/>
    <x v="2"/>
    <n v="9"/>
    <x v="1"/>
  </r>
  <r>
    <s v="TX501538"/>
    <x v="12"/>
    <x v="11"/>
    <n v="79.8"/>
    <n v="718.19999999999993"/>
    <x v="56"/>
    <x v="53"/>
    <x v="2"/>
    <x v="1"/>
    <x v="1"/>
    <x v="0"/>
    <x v="22"/>
    <x v="3"/>
    <n v="9"/>
    <x v="2"/>
  </r>
  <r>
    <s v="TX501539"/>
    <x v="0"/>
    <x v="2"/>
    <n v="22.3"/>
    <n v="66.900000000000006"/>
    <x v="56"/>
    <x v="59"/>
    <x v="2"/>
    <x v="0"/>
    <x v="2"/>
    <x v="0"/>
    <x v="22"/>
    <x v="2"/>
    <n v="9"/>
    <x v="2"/>
  </r>
  <r>
    <s v="TX501540"/>
    <x v="8"/>
    <x v="0"/>
    <n v="22.9"/>
    <n v="22.9"/>
    <x v="56"/>
    <x v="52"/>
    <x v="2"/>
    <x v="1"/>
    <x v="0"/>
    <x v="0"/>
    <x v="22"/>
    <x v="7"/>
    <n v="9"/>
    <x v="2"/>
  </r>
  <r>
    <s v="TX501541"/>
    <x v="0"/>
    <x v="2"/>
    <n v="16.2"/>
    <n v="48.599999999999994"/>
    <x v="57"/>
    <x v="53"/>
    <x v="1"/>
    <x v="4"/>
    <x v="2"/>
    <x v="0"/>
    <x v="3"/>
    <x v="7"/>
    <n v="9"/>
    <x v="1"/>
  </r>
  <r>
    <s v="TX501542"/>
    <x v="10"/>
    <x v="12"/>
    <n v="59.5"/>
    <n v="238"/>
    <x v="57"/>
    <x v="58"/>
    <x v="1"/>
    <x v="1"/>
    <x v="2"/>
    <x v="0"/>
    <x v="3"/>
    <x v="3"/>
    <n v="9"/>
    <x v="1"/>
  </r>
  <r>
    <s v="TX501543"/>
    <x v="18"/>
    <x v="9"/>
    <n v="26.2"/>
    <n v="131"/>
    <x v="57"/>
    <x v="57"/>
    <x v="1"/>
    <x v="3"/>
    <x v="4"/>
    <x v="0"/>
    <x v="3"/>
    <x v="2"/>
    <n v="9"/>
    <x v="1"/>
  </r>
  <r>
    <s v="TX501544"/>
    <x v="3"/>
    <x v="0"/>
    <n v="44.2"/>
    <n v="44.2"/>
    <x v="57"/>
    <x v="57"/>
    <x v="2"/>
    <x v="1"/>
    <x v="0"/>
    <x v="0"/>
    <x v="3"/>
    <x v="2"/>
    <n v="9"/>
    <x v="2"/>
  </r>
  <r>
    <s v="TX501545"/>
    <x v="9"/>
    <x v="1"/>
    <n v="59.2"/>
    <n v="118.4"/>
    <x v="57"/>
    <x v="53"/>
    <x v="2"/>
    <x v="1"/>
    <x v="4"/>
    <x v="0"/>
    <x v="3"/>
    <x v="7"/>
    <n v="9"/>
    <x v="2"/>
  </r>
  <r>
    <s v="TX501546"/>
    <x v="15"/>
    <x v="12"/>
    <n v="41.5"/>
    <n v="166"/>
    <x v="57"/>
    <x v="59"/>
    <x v="2"/>
    <x v="0"/>
    <x v="0"/>
    <x v="0"/>
    <x v="16"/>
    <x v="1"/>
    <n v="9"/>
    <x v="2"/>
  </r>
  <r>
    <s v="TX501547"/>
    <x v="6"/>
    <x v="4"/>
    <n v="67.099999999999994"/>
    <n v="805.19999999999993"/>
    <x v="57"/>
    <x v="64"/>
    <x v="2"/>
    <x v="0"/>
    <x v="2"/>
    <x v="0"/>
    <x v="23"/>
    <x v="12"/>
    <n v="9"/>
    <x v="2"/>
  </r>
  <r>
    <s v="TX501548"/>
    <x v="8"/>
    <x v="1"/>
    <n v="28.7"/>
    <n v="57.4"/>
    <x v="57"/>
    <x v="62"/>
    <x v="2"/>
    <x v="1"/>
    <x v="0"/>
    <x v="0"/>
    <x v="6"/>
    <x v="5"/>
    <n v="9"/>
    <x v="2"/>
  </r>
  <r>
    <s v="TX501549"/>
    <x v="2"/>
    <x v="12"/>
    <n v="132.1"/>
    <n v="528.4"/>
    <x v="57"/>
    <x v="58"/>
    <x v="2"/>
    <x v="0"/>
    <x v="1"/>
    <x v="0"/>
    <x v="6"/>
    <x v="3"/>
    <n v="9"/>
    <x v="2"/>
  </r>
  <r>
    <s v="TX501550"/>
    <x v="18"/>
    <x v="1"/>
    <n v="47"/>
    <n v="94"/>
    <x v="57"/>
    <x v="59"/>
    <x v="1"/>
    <x v="4"/>
    <x v="0"/>
    <x v="0"/>
    <x v="8"/>
    <x v="1"/>
    <n v="9"/>
    <x v="1"/>
  </r>
  <r>
    <s v="TX501551"/>
    <x v="8"/>
    <x v="1"/>
    <n v="41.6"/>
    <n v="83.2"/>
    <x v="57"/>
    <x v="62"/>
    <x v="1"/>
    <x v="1"/>
    <x v="2"/>
    <x v="0"/>
    <x v="8"/>
    <x v="5"/>
    <n v="9"/>
    <x v="1"/>
  </r>
  <r>
    <s v="TX501552"/>
    <x v="8"/>
    <x v="43"/>
    <n v="17.3"/>
    <n v="657.4"/>
    <x v="57"/>
    <x v="59"/>
    <x v="1"/>
    <x v="2"/>
    <x v="2"/>
    <x v="0"/>
    <x v="8"/>
    <x v="1"/>
    <n v="9"/>
    <x v="1"/>
  </r>
  <r>
    <s v="TX501553"/>
    <x v="13"/>
    <x v="2"/>
    <n v="41.8"/>
    <n v="125.39999999999999"/>
    <x v="57"/>
    <x v="57"/>
    <x v="1"/>
    <x v="0"/>
    <x v="2"/>
    <x v="0"/>
    <x v="8"/>
    <x v="2"/>
    <n v="9"/>
    <x v="1"/>
  </r>
  <r>
    <s v="TX501554"/>
    <x v="10"/>
    <x v="0"/>
    <n v="24"/>
    <n v="24"/>
    <x v="57"/>
    <x v="58"/>
    <x v="2"/>
    <x v="0"/>
    <x v="0"/>
    <x v="0"/>
    <x v="17"/>
    <x v="3"/>
    <n v="9"/>
    <x v="2"/>
  </r>
  <r>
    <s v="TX501555"/>
    <x v="14"/>
    <x v="11"/>
    <n v="18.5"/>
    <n v="166.5"/>
    <x v="57"/>
    <x v="59"/>
    <x v="2"/>
    <x v="0"/>
    <x v="0"/>
    <x v="0"/>
    <x v="9"/>
    <x v="1"/>
    <n v="9"/>
    <x v="2"/>
  </r>
  <r>
    <s v="TX501556"/>
    <x v="3"/>
    <x v="4"/>
    <n v="66.7"/>
    <n v="800.40000000000009"/>
    <x v="57"/>
    <x v="57"/>
    <x v="0"/>
    <x v="0"/>
    <x v="2"/>
    <x v="0"/>
    <x v="11"/>
    <x v="2"/>
    <n v="9"/>
    <x v="0"/>
  </r>
  <r>
    <s v="TX501557"/>
    <x v="1"/>
    <x v="12"/>
    <n v="33.1"/>
    <n v="132.4"/>
    <x v="57"/>
    <x v="61"/>
    <x v="1"/>
    <x v="3"/>
    <x v="0"/>
    <x v="0"/>
    <x v="11"/>
    <x v="0"/>
    <n v="9"/>
    <x v="1"/>
  </r>
  <r>
    <s v="TX501558"/>
    <x v="19"/>
    <x v="11"/>
    <n v="42.1"/>
    <n v="378.90000000000003"/>
    <x v="57"/>
    <x v="65"/>
    <x v="1"/>
    <x v="1"/>
    <x v="0"/>
    <x v="0"/>
    <x v="18"/>
    <x v="11"/>
    <n v="9"/>
    <x v="1"/>
  </r>
  <r>
    <s v="TX501559"/>
    <x v="18"/>
    <x v="3"/>
    <n v="58.7"/>
    <n v="410.90000000000003"/>
    <x v="57"/>
    <x v="53"/>
    <x v="3"/>
    <x v="3"/>
    <x v="0"/>
    <x v="0"/>
    <x v="31"/>
    <x v="7"/>
    <n v="9"/>
    <x v="3"/>
  </r>
  <r>
    <s v="TX501560"/>
    <x v="6"/>
    <x v="12"/>
    <n v="54"/>
    <n v="216"/>
    <x v="57"/>
    <x v="59"/>
    <x v="2"/>
    <x v="1"/>
    <x v="0"/>
    <x v="0"/>
    <x v="1"/>
    <x v="1"/>
    <n v="9"/>
    <x v="2"/>
  </r>
  <r>
    <s v="TX501561"/>
    <x v="8"/>
    <x v="0"/>
    <n v="52.1"/>
    <n v="52.1"/>
    <x v="57"/>
    <x v="58"/>
    <x v="2"/>
    <x v="2"/>
    <x v="2"/>
    <x v="0"/>
    <x v="2"/>
    <x v="3"/>
    <n v="9"/>
    <x v="2"/>
  </r>
  <r>
    <s v="TX501562"/>
    <x v="19"/>
    <x v="1"/>
    <n v="27"/>
    <n v="54"/>
    <x v="57"/>
    <x v="57"/>
    <x v="3"/>
    <x v="2"/>
    <x v="0"/>
    <x v="0"/>
    <x v="22"/>
    <x v="2"/>
    <n v="9"/>
    <x v="3"/>
  </r>
  <r>
    <s v="TX501563"/>
    <x v="12"/>
    <x v="7"/>
    <n v="31"/>
    <n v="310"/>
    <x v="58"/>
    <x v="59"/>
    <x v="2"/>
    <x v="3"/>
    <x v="2"/>
    <x v="0"/>
    <x v="22"/>
    <x v="3"/>
    <n v="9"/>
    <x v="2"/>
  </r>
  <r>
    <s v="TX501564"/>
    <x v="10"/>
    <x v="1"/>
    <n v="46.7"/>
    <n v="93.4"/>
    <x v="58"/>
    <x v="58"/>
    <x v="2"/>
    <x v="0"/>
    <x v="0"/>
    <x v="0"/>
    <x v="34"/>
    <x v="7"/>
    <n v="9"/>
    <x v="2"/>
  </r>
  <r>
    <s v="TX501565"/>
    <x v="6"/>
    <x v="0"/>
    <n v="144.69999999999999"/>
    <n v="144.69999999999999"/>
    <x v="58"/>
    <x v="62"/>
    <x v="1"/>
    <x v="0"/>
    <x v="2"/>
    <x v="0"/>
    <x v="3"/>
    <x v="2"/>
    <n v="9"/>
    <x v="1"/>
  </r>
  <r>
    <s v="TX501566"/>
    <x v="2"/>
    <x v="11"/>
    <n v="90.9"/>
    <n v="818.1"/>
    <x v="58"/>
    <x v="59"/>
    <x v="1"/>
    <x v="0"/>
    <x v="2"/>
    <x v="0"/>
    <x v="3"/>
    <x v="3"/>
    <n v="9"/>
    <x v="1"/>
  </r>
  <r>
    <s v="TX501567"/>
    <x v="1"/>
    <x v="1"/>
    <n v="75.8"/>
    <n v="151.6"/>
    <x v="58"/>
    <x v="59"/>
    <x v="2"/>
    <x v="2"/>
    <x v="1"/>
    <x v="0"/>
    <x v="3"/>
    <x v="3"/>
    <n v="9"/>
    <x v="2"/>
  </r>
  <r>
    <s v="TX501568"/>
    <x v="7"/>
    <x v="9"/>
    <n v="57.9"/>
    <n v="289.5"/>
    <x v="58"/>
    <x v="57"/>
    <x v="1"/>
    <x v="2"/>
    <x v="2"/>
    <x v="0"/>
    <x v="3"/>
    <x v="1"/>
    <n v="9"/>
    <x v="1"/>
  </r>
  <r>
    <s v="TX501569"/>
    <x v="8"/>
    <x v="9"/>
    <n v="44.8"/>
    <n v="224"/>
    <x v="58"/>
    <x v="59"/>
    <x v="2"/>
    <x v="3"/>
    <x v="2"/>
    <x v="0"/>
    <x v="3"/>
    <x v="3"/>
    <n v="9"/>
    <x v="2"/>
  </r>
  <r>
    <s v="TX501570"/>
    <x v="9"/>
    <x v="2"/>
    <n v="44.2"/>
    <n v="132.60000000000002"/>
    <x v="58"/>
    <x v="61"/>
    <x v="1"/>
    <x v="2"/>
    <x v="2"/>
    <x v="0"/>
    <x v="3"/>
    <x v="5"/>
    <n v="9"/>
    <x v="1"/>
  </r>
  <r>
    <s v="TX501571"/>
    <x v="5"/>
    <x v="9"/>
    <n v="53.5"/>
    <n v="267.5"/>
    <x v="58"/>
    <x v="57"/>
    <x v="1"/>
    <x v="0"/>
    <x v="0"/>
    <x v="0"/>
    <x v="37"/>
    <x v="1"/>
    <n v="9"/>
    <x v="1"/>
  </r>
  <r>
    <s v="TX501572"/>
    <x v="6"/>
    <x v="1"/>
    <n v="72.2"/>
    <n v="144.4"/>
    <x v="58"/>
    <x v="59"/>
    <x v="1"/>
    <x v="0"/>
    <x v="2"/>
    <x v="0"/>
    <x v="25"/>
    <x v="3"/>
    <n v="9"/>
    <x v="1"/>
  </r>
  <r>
    <s v="TX501573"/>
    <x v="6"/>
    <x v="12"/>
    <n v="62.4"/>
    <n v="249.6"/>
    <x v="58"/>
    <x v="62"/>
    <x v="2"/>
    <x v="0"/>
    <x v="1"/>
    <x v="0"/>
    <x v="23"/>
    <x v="2"/>
    <n v="9"/>
    <x v="2"/>
  </r>
  <r>
    <s v="TX501574"/>
    <x v="10"/>
    <x v="9"/>
    <n v="24.7"/>
    <n v="123.5"/>
    <x v="58"/>
    <x v="59"/>
    <x v="2"/>
    <x v="0"/>
    <x v="0"/>
    <x v="0"/>
    <x v="6"/>
    <x v="3"/>
    <n v="9"/>
    <x v="2"/>
  </r>
  <r>
    <s v="TX501575"/>
    <x v="1"/>
    <x v="9"/>
    <n v="61.7"/>
    <n v="308.5"/>
    <x v="58"/>
    <x v="57"/>
    <x v="2"/>
    <x v="2"/>
    <x v="0"/>
    <x v="0"/>
    <x v="8"/>
    <x v="1"/>
    <n v="9"/>
    <x v="2"/>
  </r>
  <r>
    <s v="TX501576"/>
    <x v="8"/>
    <x v="9"/>
    <n v="18.2"/>
    <n v="91"/>
    <x v="58"/>
    <x v="57"/>
    <x v="2"/>
    <x v="3"/>
    <x v="0"/>
    <x v="0"/>
    <x v="8"/>
    <x v="1"/>
    <n v="9"/>
    <x v="2"/>
  </r>
  <r>
    <s v="TX501577"/>
    <x v="10"/>
    <x v="12"/>
    <n v="37.200000000000003"/>
    <n v="148.80000000000001"/>
    <x v="58"/>
    <x v="66"/>
    <x v="2"/>
    <x v="0"/>
    <x v="0"/>
    <x v="0"/>
    <x v="8"/>
    <x v="4"/>
    <n v="9"/>
    <x v="2"/>
  </r>
  <r>
    <s v="TX501578"/>
    <x v="9"/>
    <x v="2"/>
    <n v="53.5"/>
    <n v="160.5"/>
    <x v="58"/>
    <x v="57"/>
    <x v="2"/>
    <x v="1"/>
    <x v="2"/>
    <x v="0"/>
    <x v="9"/>
    <x v="1"/>
    <n v="9"/>
    <x v="2"/>
  </r>
  <r>
    <s v="TX501579"/>
    <x v="8"/>
    <x v="2"/>
    <n v="43.6"/>
    <n v="130.80000000000001"/>
    <x v="58"/>
    <x v="58"/>
    <x v="2"/>
    <x v="0"/>
    <x v="0"/>
    <x v="0"/>
    <x v="9"/>
    <x v="7"/>
    <n v="9"/>
    <x v="2"/>
  </r>
  <r>
    <s v="TX501580"/>
    <x v="1"/>
    <x v="7"/>
    <n v="135"/>
    <n v="1350"/>
    <x v="58"/>
    <x v="57"/>
    <x v="2"/>
    <x v="0"/>
    <x v="2"/>
    <x v="0"/>
    <x v="9"/>
    <x v="1"/>
    <n v="9"/>
    <x v="2"/>
  </r>
  <r>
    <s v="TX501581"/>
    <x v="8"/>
    <x v="9"/>
    <n v="38.5"/>
    <n v="192.5"/>
    <x v="58"/>
    <x v="58"/>
    <x v="1"/>
    <x v="4"/>
    <x v="2"/>
    <x v="0"/>
    <x v="10"/>
    <x v="7"/>
    <n v="9"/>
    <x v="1"/>
  </r>
  <r>
    <s v="TX501582"/>
    <x v="9"/>
    <x v="1"/>
    <n v="24"/>
    <n v="48"/>
    <x v="58"/>
    <x v="63"/>
    <x v="2"/>
    <x v="0"/>
    <x v="0"/>
    <x v="0"/>
    <x v="11"/>
    <x v="0"/>
    <n v="9"/>
    <x v="2"/>
  </r>
  <r>
    <s v="TX501583"/>
    <x v="4"/>
    <x v="2"/>
    <n v="28.2"/>
    <n v="84.6"/>
    <x v="58"/>
    <x v="57"/>
    <x v="1"/>
    <x v="0"/>
    <x v="3"/>
    <x v="0"/>
    <x v="18"/>
    <x v="1"/>
    <n v="9"/>
    <x v="1"/>
  </r>
  <r>
    <s v="TX501584"/>
    <x v="7"/>
    <x v="2"/>
    <n v="37.4"/>
    <n v="112.19999999999999"/>
    <x v="58"/>
    <x v="59"/>
    <x v="2"/>
    <x v="3"/>
    <x v="0"/>
    <x v="0"/>
    <x v="1"/>
    <x v="3"/>
    <n v="9"/>
    <x v="2"/>
  </r>
  <r>
    <s v="TX501585"/>
    <x v="6"/>
    <x v="2"/>
    <n v="53.5"/>
    <n v="160.5"/>
    <x v="58"/>
    <x v="62"/>
    <x v="0"/>
    <x v="4"/>
    <x v="4"/>
    <x v="0"/>
    <x v="1"/>
    <x v="2"/>
    <n v="9"/>
    <x v="0"/>
  </r>
  <r>
    <s v="TX501586"/>
    <x v="11"/>
    <x v="9"/>
    <n v="36.200000000000003"/>
    <n v="181"/>
    <x v="58"/>
    <x v="59"/>
    <x v="1"/>
    <x v="1"/>
    <x v="2"/>
    <x v="0"/>
    <x v="33"/>
    <x v="3"/>
    <n v="9"/>
    <x v="1"/>
  </r>
  <r>
    <s v="TX501587"/>
    <x v="0"/>
    <x v="8"/>
    <n v="31.9"/>
    <n v="255.2"/>
    <x v="58"/>
    <x v="59"/>
    <x v="2"/>
    <x v="4"/>
    <x v="0"/>
    <x v="0"/>
    <x v="3"/>
    <x v="3"/>
    <n v="9"/>
    <x v="2"/>
  </r>
  <r>
    <s v="TX501588"/>
    <x v="8"/>
    <x v="2"/>
    <n v="21.3"/>
    <n v="63.900000000000006"/>
    <x v="58"/>
    <x v="59"/>
    <x v="1"/>
    <x v="0"/>
    <x v="2"/>
    <x v="0"/>
    <x v="3"/>
    <x v="3"/>
    <n v="9"/>
    <x v="1"/>
  </r>
  <r>
    <s v="TX501589"/>
    <x v="8"/>
    <x v="0"/>
    <n v="36.299999999999997"/>
    <n v="36.299999999999997"/>
    <x v="58"/>
    <x v="57"/>
    <x v="3"/>
    <x v="4"/>
    <x v="0"/>
    <x v="0"/>
    <x v="3"/>
    <x v="1"/>
    <n v="9"/>
    <x v="3"/>
  </r>
  <r>
    <s v="TX501590"/>
    <x v="6"/>
    <x v="2"/>
    <n v="110.5"/>
    <n v="331.5"/>
    <x v="58"/>
    <x v="59"/>
    <x v="2"/>
    <x v="0"/>
    <x v="3"/>
    <x v="0"/>
    <x v="3"/>
    <x v="3"/>
    <n v="9"/>
    <x v="2"/>
  </r>
  <r>
    <s v="TX501591"/>
    <x v="10"/>
    <x v="3"/>
    <n v="32.6"/>
    <n v="228.20000000000002"/>
    <x v="58"/>
    <x v="57"/>
    <x v="2"/>
    <x v="0"/>
    <x v="1"/>
    <x v="0"/>
    <x v="3"/>
    <x v="1"/>
    <n v="9"/>
    <x v="2"/>
  </r>
  <r>
    <s v="TX501592"/>
    <x v="5"/>
    <x v="2"/>
    <n v="55.6"/>
    <n v="166.8"/>
    <x v="59"/>
    <x v="67"/>
    <x v="2"/>
    <x v="0"/>
    <x v="0"/>
    <x v="0"/>
    <x v="3"/>
    <x v="10"/>
    <n v="9"/>
    <x v="2"/>
  </r>
  <r>
    <s v="TX501593"/>
    <x v="1"/>
    <x v="12"/>
    <n v="38"/>
    <n v="152"/>
    <x v="59"/>
    <x v="57"/>
    <x v="2"/>
    <x v="3"/>
    <x v="2"/>
    <x v="0"/>
    <x v="5"/>
    <x v="3"/>
    <n v="9"/>
    <x v="2"/>
  </r>
  <r>
    <s v="TX501594"/>
    <x v="10"/>
    <x v="1"/>
    <n v="51.8"/>
    <n v="103.6"/>
    <x v="59"/>
    <x v="68"/>
    <x v="1"/>
    <x v="1"/>
    <x v="4"/>
    <x v="0"/>
    <x v="6"/>
    <x v="4"/>
    <n v="9"/>
    <x v="1"/>
  </r>
  <r>
    <s v="TX501595"/>
    <x v="11"/>
    <x v="8"/>
    <n v="28.7"/>
    <n v="229.6"/>
    <x v="59"/>
    <x v="66"/>
    <x v="2"/>
    <x v="0"/>
    <x v="0"/>
    <x v="0"/>
    <x v="6"/>
    <x v="0"/>
    <n v="9"/>
    <x v="2"/>
  </r>
  <r>
    <s v="TX501596"/>
    <x v="6"/>
    <x v="4"/>
    <n v="52.2"/>
    <n v="626.40000000000009"/>
    <x v="59"/>
    <x v="59"/>
    <x v="1"/>
    <x v="0"/>
    <x v="1"/>
    <x v="0"/>
    <x v="6"/>
    <x v="7"/>
    <n v="9"/>
    <x v="1"/>
  </r>
  <r>
    <s v="TX501597"/>
    <x v="1"/>
    <x v="1"/>
    <n v="68.2"/>
    <n v="136.4"/>
    <x v="59"/>
    <x v="57"/>
    <x v="0"/>
    <x v="2"/>
    <x v="0"/>
    <x v="0"/>
    <x v="7"/>
    <x v="3"/>
    <n v="9"/>
    <x v="0"/>
  </r>
  <r>
    <s v="TX501598"/>
    <x v="0"/>
    <x v="2"/>
    <n v="34"/>
    <n v="102"/>
    <x v="59"/>
    <x v="63"/>
    <x v="2"/>
    <x v="0"/>
    <x v="0"/>
    <x v="0"/>
    <x v="8"/>
    <x v="5"/>
    <n v="9"/>
    <x v="2"/>
  </r>
  <r>
    <s v="TX501599"/>
    <x v="8"/>
    <x v="2"/>
    <n v="19.100000000000001"/>
    <n v="57.300000000000004"/>
    <x v="59"/>
    <x v="57"/>
    <x v="2"/>
    <x v="4"/>
    <x v="0"/>
    <x v="0"/>
    <x v="8"/>
    <x v="3"/>
    <n v="9"/>
    <x v="2"/>
  </r>
  <r>
    <s v="TX501600"/>
    <x v="5"/>
    <x v="8"/>
    <n v="34"/>
    <n v="272"/>
    <x v="59"/>
    <x v="60"/>
    <x v="2"/>
    <x v="4"/>
    <x v="0"/>
    <x v="0"/>
    <x v="8"/>
    <x v="9"/>
    <n v="9"/>
    <x v="2"/>
  </r>
  <r>
    <s v="TX501601"/>
    <x v="12"/>
    <x v="1"/>
    <n v="109.1"/>
    <n v="218.2"/>
    <x v="59"/>
    <x v="62"/>
    <x v="1"/>
    <x v="0"/>
    <x v="2"/>
    <x v="0"/>
    <x v="8"/>
    <x v="1"/>
    <n v="9"/>
    <x v="1"/>
  </r>
  <r>
    <s v="TX501602"/>
    <x v="18"/>
    <x v="1"/>
    <n v="64.8"/>
    <n v="129.6"/>
    <x v="59"/>
    <x v="62"/>
    <x v="1"/>
    <x v="0"/>
    <x v="2"/>
    <x v="0"/>
    <x v="8"/>
    <x v="1"/>
    <n v="9"/>
    <x v="1"/>
  </r>
  <r>
    <s v="TX501603"/>
    <x v="10"/>
    <x v="1"/>
    <n v="21.1"/>
    <n v="42.2"/>
    <x v="59"/>
    <x v="59"/>
    <x v="2"/>
    <x v="1"/>
    <x v="0"/>
    <x v="0"/>
    <x v="11"/>
    <x v="7"/>
    <n v="9"/>
    <x v="2"/>
  </r>
  <r>
    <s v="TX501604"/>
    <x v="0"/>
    <x v="8"/>
    <n v="21.3"/>
    <n v="170.4"/>
    <x v="59"/>
    <x v="62"/>
    <x v="1"/>
    <x v="3"/>
    <x v="1"/>
    <x v="0"/>
    <x v="18"/>
    <x v="1"/>
    <n v="9"/>
    <x v="1"/>
  </r>
  <r>
    <s v="TX501605"/>
    <x v="9"/>
    <x v="2"/>
    <n v="24.3"/>
    <n v="72.900000000000006"/>
    <x v="59"/>
    <x v="57"/>
    <x v="1"/>
    <x v="1"/>
    <x v="0"/>
    <x v="0"/>
    <x v="19"/>
    <x v="3"/>
    <n v="9"/>
    <x v="1"/>
  </r>
  <r>
    <s v="TX501606"/>
    <x v="8"/>
    <x v="0"/>
    <n v="43.3"/>
    <n v="43.3"/>
    <x v="59"/>
    <x v="63"/>
    <x v="1"/>
    <x v="1"/>
    <x v="1"/>
    <x v="0"/>
    <x v="13"/>
    <x v="5"/>
    <n v="9"/>
    <x v="1"/>
  </r>
  <r>
    <s v="TX501607"/>
    <x v="9"/>
    <x v="2"/>
    <n v="41"/>
    <n v="123"/>
    <x v="59"/>
    <x v="57"/>
    <x v="2"/>
    <x v="3"/>
    <x v="4"/>
    <x v="0"/>
    <x v="21"/>
    <x v="3"/>
    <n v="9"/>
    <x v="2"/>
  </r>
  <r>
    <s v="TX501608"/>
    <x v="16"/>
    <x v="2"/>
    <n v="54.1"/>
    <n v="162.30000000000001"/>
    <x v="59"/>
    <x v="62"/>
    <x v="2"/>
    <x v="4"/>
    <x v="0"/>
    <x v="0"/>
    <x v="21"/>
    <x v="1"/>
    <n v="9"/>
    <x v="2"/>
  </r>
  <r>
    <s v="TX501609"/>
    <x v="11"/>
    <x v="1"/>
    <n v="39"/>
    <n v="78"/>
    <x v="59"/>
    <x v="57"/>
    <x v="1"/>
    <x v="1"/>
    <x v="2"/>
    <x v="0"/>
    <x v="1"/>
    <x v="3"/>
    <n v="9"/>
    <x v="1"/>
  </r>
  <r>
    <s v="TX501610"/>
    <x v="8"/>
    <x v="1"/>
    <n v="40.299999999999997"/>
    <n v="80.599999999999994"/>
    <x v="59"/>
    <x v="62"/>
    <x v="1"/>
    <x v="3"/>
    <x v="0"/>
    <x v="0"/>
    <x v="27"/>
    <x v="1"/>
    <n v="9"/>
    <x v="1"/>
  </r>
  <r>
    <s v="TX501611"/>
    <x v="8"/>
    <x v="2"/>
    <n v="24.1"/>
    <n v="72.300000000000011"/>
    <x v="59"/>
    <x v="57"/>
    <x v="1"/>
    <x v="0"/>
    <x v="2"/>
    <x v="0"/>
    <x v="34"/>
    <x v="3"/>
    <n v="9"/>
    <x v="1"/>
  </r>
  <r>
    <s v="TX501612"/>
    <x v="6"/>
    <x v="9"/>
    <n v="52.3"/>
    <n v="261.5"/>
    <x v="59"/>
    <x v="57"/>
    <x v="1"/>
    <x v="2"/>
    <x v="0"/>
    <x v="0"/>
    <x v="3"/>
    <x v="3"/>
    <n v="9"/>
    <x v="1"/>
  </r>
  <r>
    <s v="TX501613"/>
    <x v="12"/>
    <x v="12"/>
    <n v="68.8"/>
    <n v="275.2"/>
    <x v="59"/>
    <x v="63"/>
    <x v="2"/>
    <x v="4"/>
    <x v="2"/>
    <x v="0"/>
    <x v="3"/>
    <x v="5"/>
    <n v="9"/>
    <x v="2"/>
  </r>
  <r>
    <s v="TX501614"/>
    <x v="2"/>
    <x v="1"/>
    <n v="128.80000000000001"/>
    <n v="257.60000000000002"/>
    <x v="60"/>
    <x v="63"/>
    <x v="2"/>
    <x v="1"/>
    <x v="1"/>
    <x v="0"/>
    <x v="3"/>
    <x v="2"/>
    <n v="10"/>
    <x v="2"/>
  </r>
  <r>
    <s v="TX501615"/>
    <x v="15"/>
    <x v="9"/>
    <n v="48.2"/>
    <n v="241"/>
    <x v="60"/>
    <x v="61"/>
    <x v="2"/>
    <x v="3"/>
    <x v="0"/>
    <x v="0"/>
    <x v="3"/>
    <x v="1"/>
    <n v="10"/>
    <x v="2"/>
  </r>
  <r>
    <s v="TX501616"/>
    <x v="10"/>
    <x v="0"/>
    <n v="39.700000000000003"/>
    <n v="39.700000000000003"/>
    <x v="60"/>
    <x v="61"/>
    <x v="2"/>
    <x v="0"/>
    <x v="1"/>
    <x v="0"/>
    <x v="3"/>
    <x v="1"/>
    <n v="10"/>
    <x v="2"/>
  </r>
  <r>
    <s v="TX501617"/>
    <x v="9"/>
    <x v="0"/>
    <n v="59.7"/>
    <n v="59.7"/>
    <x v="60"/>
    <x v="63"/>
    <x v="2"/>
    <x v="4"/>
    <x v="0"/>
    <x v="0"/>
    <x v="3"/>
    <x v="2"/>
    <n v="10"/>
    <x v="2"/>
  </r>
  <r>
    <s v="TX501618"/>
    <x v="6"/>
    <x v="0"/>
    <n v="48.3"/>
    <n v="48.3"/>
    <x v="60"/>
    <x v="69"/>
    <x v="3"/>
    <x v="0"/>
    <x v="2"/>
    <x v="0"/>
    <x v="3"/>
    <x v="12"/>
    <n v="10"/>
    <x v="3"/>
  </r>
  <r>
    <s v="TX501619"/>
    <x v="8"/>
    <x v="2"/>
    <n v="45.5"/>
    <n v="136.5"/>
    <x v="60"/>
    <x v="61"/>
    <x v="1"/>
    <x v="2"/>
    <x v="1"/>
    <x v="0"/>
    <x v="3"/>
    <x v="1"/>
    <n v="10"/>
    <x v="1"/>
  </r>
  <r>
    <s v="TX501620"/>
    <x v="9"/>
    <x v="6"/>
    <n v="51"/>
    <n v="1377"/>
    <x v="60"/>
    <x v="57"/>
    <x v="2"/>
    <x v="2"/>
    <x v="0"/>
    <x v="0"/>
    <x v="3"/>
    <x v="7"/>
    <n v="10"/>
    <x v="2"/>
  </r>
  <r>
    <s v="TX501621"/>
    <x v="4"/>
    <x v="13"/>
    <n v="20.399999999999999"/>
    <n v="122.39999999999999"/>
    <x v="60"/>
    <x v="62"/>
    <x v="1"/>
    <x v="2"/>
    <x v="0"/>
    <x v="0"/>
    <x v="3"/>
    <x v="3"/>
    <n v="10"/>
    <x v="1"/>
  </r>
  <r>
    <s v="TX501622"/>
    <x v="10"/>
    <x v="1"/>
    <n v="30.4"/>
    <n v="60.8"/>
    <x v="60"/>
    <x v="61"/>
    <x v="1"/>
    <x v="2"/>
    <x v="0"/>
    <x v="0"/>
    <x v="3"/>
    <x v="1"/>
    <n v="10"/>
    <x v="1"/>
  </r>
  <r>
    <s v="TX501623"/>
    <x v="7"/>
    <x v="1"/>
    <n v="71.5"/>
    <n v="143"/>
    <x v="60"/>
    <x v="66"/>
    <x v="2"/>
    <x v="0"/>
    <x v="0"/>
    <x v="0"/>
    <x v="3"/>
    <x v="5"/>
    <n v="10"/>
    <x v="2"/>
  </r>
  <r>
    <s v="TX501624"/>
    <x v="8"/>
    <x v="13"/>
    <n v="18"/>
    <n v="108"/>
    <x v="60"/>
    <x v="62"/>
    <x v="3"/>
    <x v="1"/>
    <x v="2"/>
    <x v="0"/>
    <x v="6"/>
    <x v="3"/>
    <n v="10"/>
    <x v="3"/>
  </r>
  <r>
    <s v="TX501625"/>
    <x v="15"/>
    <x v="5"/>
    <n v="45.6"/>
    <n v="501.6"/>
    <x v="60"/>
    <x v="62"/>
    <x v="3"/>
    <x v="1"/>
    <x v="1"/>
    <x v="0"/>
    <x v="7"/>
    <x v="3"/>
    <n v="10"/>
    <x v="3"/>
  </r>
  <r>
    <s v="TX501626"/>
    <x v="9"/>
    <x v="0"/>
    <n v="31.8"/>
    <n v="31.8"/>
    <x v="60"/>
    <x v="66"/>
    <x v="2"/>
    <x v="0"/>
    <x v="2"/>
    <x v="0"/>
    <x v="7"/>
    <x v="5"/>
    <n v="10"/>
    <x v="2"/>
  </r>
  <r>
    <s v="TX501627"/>
    <x v="8"/>
    <x v="9"/>
    <n v="19.899999999999999"/>
    <n v="99.5"/>
    <x v="60"/>
    <x v="62"/>
    <x v="2"/>
    <x v="1"/>
    <x v="0"/>
    <x v="0"/>
    <x v="7"/>
    <x v="3"/>
    <n v="10"/>
    <x v="2"/>
  </r>
  <r>
    <s v="TX501628"/>
    <x v="12"/>
    <x v="11"/>
    <n v="52.1"/>
    <n v="468.90000000000003"/>
    <x v="60"/>
    <x v="61"/>
    <x v="1"/>
    <x v="0"/>
    <x v="0"/>
    <x v="0"/>
    <x v="8"/>
    <x v="1"/>
    <n v="10"/>
    <x v="1"/>
  </r>
  <r>
    <s v="TX501629"/>
    <x v="1"/>
    <x v="3"/>
    <n v="45.9"/>
    <n v="321.3"/>
    <x v="60"/>
    <x v="62"/>
    <x v="1"/>
    <x v="0"/>
    <x v="1"/>
    <x v="0"/>
    <x v="8"/>
    <x v="3"/>
    <n v="10"/>
    <x v="1"/>
  </r>
  <r>
    <s v="TX501630"/>
    <x v="1"/>
    <x v="7"/>
    <n v="115.9"/>
    <n v="1159"/>
    <x v="60"/>
    <x v="63"/>
    <x v="2"/>
    <x v="1"/>
    <x v="0"/>
    <x v="0"/>
    <x v="8"/>
    <x v="2"/>
    <n v="10"/>
    <x v="2"/>
  </r>
  <r>
    <s v="TX501631"/>
    <x v="6"/>
    <x v="11"/>
    <n v="86"/>
    <n v="774"/>
    <x v="60"/>
    <x v="68"/>
    <x v="2"/>
    <x v="0"/>
    <x v="1"/>
    <x v="0"/>
    <x v="8"/>
    <x v="0"/>
    <n v="10"/>
    <x v="2"/>
  </r>
  <r>
    <s v="TX501632"/>
    <x v="7"/>
    <x v="3"/>
    <n v="73.599999999999994"/>
    <n v="515.19999999999993"/>
    <x v="60"/>
    <x v="61"/>
    <x v="2"/>
    <x v="0"/>
    <x v="0"/>
    <x v="0"/>
    <x v="17"/>
    <x v="1"/>
    <n v="10"/>
    <x v="2"/>
  </r>
  <r>
    <s v="TX501633"/>
    <x v="10"/>
    <x v="2"/>
    <n v="26.7"/>
    <n v="80.099999999999994"/>
    <x v="60"/>
    <x v="66"/>
    <x v="2"/>
    <x v="0"/>
    <x v="0"/>
    <x v="0"/>
    <x v="11"/>
    <x v="5"/>
    <n v="10"/>
    <x v="2"/>
  </r>
  <r>
    <s v="TX501634"/>
    <x v="8"/>
    <x v="3"/>
    <n v="46.6"/>
    <n v="326.2"/>
    <x v="60"/>
    <x v="61"/>
    <x v="0"/>
    <x v="3"/>
    <x v="0"/>
    <x v="0"/>
    <x v="11"/>
    <x v="1"/>
    <n v="10"/>
    <x v="0"/>
  </r>
  <r>
    <s v="TX501635"/>
    <x v="3"/>
    <x v="2"/>
    <n v="84.6"/>
    <n v="253.79999999999998"/>
    <x v="60"/>
    <x v="61"/>
    <x v="1"/>
    <x v="4"/>
    <x v="0"/>
    <x v="0"/>
    <x v="11"/>
    <x v="1"/>
    <n v="10"/>
    <x v="1"/>
  </r>
  <r>
    <s v="TX501636"/>
    <x v="7"/>
    <x v="21"/>
    <n v="41.5"/>
    <n v="581"/>
    <x v="60"/>
    <x v="69"/>
    <x v="1"/>
    <x v="1"/>
    <x v="0"/>
    <x v="0"/>
    <x v="53"/>
    <x v="12"/>
    <n v="10"/>
    <x v="1"/>
  </r>
  <r>
    <s v="TX501637"/>
    <x v="8"/>
    <x v="0"/>
    <n v="32.799999999999997"/>
    <n v="32.799999999999997"/>
    <x v="60"/>
    <x v="63"/>
    <x v="1"/>
    <x v="0"/>
    <x v="2"/>
    <x v="0"/>
    <x v="30"/>
    <x v="2"/>
    <n v="10"/>
    <x v="1"/>
  </r>
  <r>
    <s v="TX501638"/>
    <x v="4"/>
    <x v="3"/>
    <n v="46.7"/>
    <n v="326.90000000000003"/>
    <x v="60"/>
    <x v="61"/>
    <x v="3"/>
    <x v="0"/>
    <x v="2"/>
    <x v="0"/>
    <x v="18"/>
    <x v="1"/>
    <n v="10"/>
    <x v="3"/>
  </r>
  <r>
    <s v="TX501639"/>
    <x v="15"/>
    <x v="3"/>
    <n v="21"/>
    <n v="147"/>
    <x v="60"/>
    <x v="63"/>
    <x v="1"/>
    <x v="2"/>
    <x v="1"/>
    <x v="0"/>
    <x v="21"/>
    <x v="2"/>
    <n v="10"/>
    <x v="1"/>
  </r>
  <r>
    <s v="TX501640"/>
    <x v="5"/>
    <x v="3"/>
    <n v="29.4"/>
    <n v="205.79999999999998"/>
    <x v="60"/>
    <x v="57"/>
    <x v="1"/>
    <x v="3"/>
    <x v="2"/>
    <x v="0"/>
    <x v="21"/>
    <x v="7"/>
    <n v="10"/>
    <x v="1"/>
  </r>
  <r>
    <s v="TX501641"/>
    <x v="15"/>
    <x v="1"/>
    <n v="32.299999999999997"/>
    <n v="64.599999999999994"/>
    <x v="60"/>
    <x v="62"/>
    <x v="1"/>
    <x v="0"/>
    <x v="2"/>
    <x v="0"/>
    <x v="21"/>
    <x v="3"/>
    <n v="10"/>
    <x v="1"/>
  </r>
  <r>
    <s v="TX501642"/>
    <x v="6"/>
    <x v="0"/>
    <n v="42.2"/>
    <n v="42.2"/>
    <x v="61"/>
    <x v="63"/>
    <x v="2"/>
    <x v="0"/>
    <x v="2"/>
    <x v="0"/>
    <x v="21"/>
    <x v="1"/>
    <n v="10"/>
    <x v="2"/>
  </r>
  <r>
    <s v="TX501643"/>
    <x v="6"/>
    <x v="0"/>
    <n v="53.7"/>
    <n v="53.7"/>
    <x v="61"/>
    <x v="63"/>
    <x v="1"/>
    <x v="1"/>
    <x v="1"/>
    <x v="0"/>
    <x v="1"/>
    <x v="1"/>
    <n v="10"/>
    <x v="1"/>
  </r>
  <r>
    <s v="TX501644"/>
    <x v="2"/>
    <x v="1"/>
    <n v="123.9"/>
    <n v="247.8"/>
    <x v="61"/>
    <x v="66"/>
    <x v="1"/>
    <x v="2"/>
    <x v="0"/>
    <x v="0"/>
    <x v="1"/>
    <x v="2"/>
    <n v="10"/>
    <x v="1"/>
  </r>
  <r>
    <s v="TX501645"/>
    <x v="4"/>
    <x v="2"/>
    <n v="35.9"/>
    <n v="107.69999999999999"/>
    <x v="61"/>
    <x v="63"/>
    <x v="1"/>
    <x v="2"/>
    <x v="0"/>
    <x v="0"/>
    <x v="22"/>
    <x v="1"/>
    <n v="10"/>
    <x v="1"/>
  </r>
  <r>
    <s v="TX501646"/>
    <x v="4"/>
    <x v="1"/>
    <n v="23.6"/>
    <n v="47.2"/>
    <x v="61"/>
    <x v="66"/>
    <x v="1"/>
    <x v="0"/>
    <x v="2"/>
    <x v="0"/>
    <x v="3"/>
    <x v="2"/>
    <n v="10"/>
    <x v="1"/>
  </r>
  <r>
    <s v="TX501647"/>
    <x v="15"/>
    <x v="36"/>
    <n v="45.7"/>
    <n v="1599.5"/>
    <x v="61"/>
    <x v="61"/>
    <x v="1"/>
    <x v="0"/>
    <x v="1"/>
    <x v="0"/>
    <x v="3"/>
    <x v="3"/>
    <n v="10"/>
    <x v="1"/>
  </r>
  <r>
    <s v="TX501648"/>
    <x v="6"/>
    <x v="5"/>
    <n v="118.3"/>
    <n v="1301.3"/>
    <x v="61"/>
    <x v="63"/>
    <x v="1"/>
    <x v="4"/>
    <x v="2"/>
    <x v="0"/>
    <x v="3"/>
    <x v="1"/>
    <n v="10"/>
    <x v="1"/>
  </r>
  <r>
    <s v="TX501649"/>
    <x v="19"/>
    <x v="0"/>
    <n v="36"/>
    <n v="36"/>
    <x v="61"/>
    <x v="61"/>
    <x v="2"/>
    <x v="0"/>
    <x v="1"/>
    <x v="0"/>
    <x v="3"/>
    <x v="3"/>
    <n v="10"/>
    <x v="2"/>
  </r>
  <r>
    <s v="TX501650"/>
    <x v="8"/>
    <x v="1"/>
    <n v="37.1"/>
    <n v="74.2"/>
    <x v="61"/>
    <x v="66"/>
    <x v="2"/>
    <x v="2"/>
    <x v="0"/>
    <x v="0"/>
    <x v="3"/>
    <x v="2"/>
    <n v="10"/>
    <x v="2"/>
  </r>
  <r>
    <s v="TX501651"/>
    <x v="18"/>
    <x v="2"/>
    <n v="45.1"/>
    <n v="135.30000000000001"/>
    <x v="61"/>
    <x v="63"/>
    <x v="2"/>
    <x v="1"/>
    <x v="2"/>
    <x v="0"/>
    <x v="3"/>
    <x v="1"/>
    <n v="10"/>
    <x v="2"/>
  </r>
  <r>
    <s v="TX501652"/>
    <x v="5"/>
    <x v="27"/>
    <n v="37.9"/>
    <n v="606.4"/>
    <x v="61"/>
    <x v="61"/>
    <x v="2"/>
    <x v="3"/>
    <x v="2"/>
    <x v="0"/>
    <x v="3"/>
    <x v="3"/>
    <n v="10"/>
    <x v="2"/>
  </r>
  <r>
    <s v="TX501653"/>
    <x v="2"/>
    <x v="1"/>
    <n v="121.6"/>
    <n v="243.2"/>
    <x v="61"/>
    <x v="66"/>
    <x v="1"/>
    <x v="3"/>
    <x v="2"/>
    <x v="0"/>
    <x v="3"/>
    <x v="2"/>
    <n v="10"/>
    <x v="1"/>
  </r>
  <r>
    <s v="TX501654"/>
    <x v="5"/>
    <x v="3"/>
    <n v="38.200000000000003"/>
    <n v="267.40000000000003"/>
    <x v="61"/>
    <x v="66"/>
    <x v="2"/>
    <x v="0"/>
    <x v="0"/>
    <x v="0"/>
    <x v="3"/>
    <x v="2"/>
    <n v="10"/>
    <x v="2"/>
  </r>
  <r>
    <s v="TX501655"/>
    <x v="17"/>
    <x v="1"/>
    <n v="37.200000000000003"/>
    <n v="74.400000000000006"/>
    <x v="61"/>
    <x v="66"/>
    <x v="1"/>
    <x v="4"/>
    <x v="0"/>
    <x v="0"/>
    <x v="3"/>
    <x v="2"/>
    <n v="10"/>
    <x v="1"/>
  </r>
  <r>
    <s v="TX501656"/>
    <x v="2"/>
    <x v="12"/>
    <n v="115.7"/>
    <n v="462.8"/>
    <x v="61"/>
    <x v="66"/>
    <x v="2"/>
    <x v="1"/>
    <x v="0"/>
    <x v="0"/>
    <x v="3"/>
    <x v="2"/>
    <n v="10"/>
    <x v="2"/>
  </r>
  <r>
    <s v="TX501657"/>
    <x v="2"/>
    <x v="13"/>
    <n v="99.4"/>
    <n v="596.40000000000009"/>
    <x v="61"/>
    <x v="66"/>
    <x v="1"/>
    <x v="0"/>
    <x v="2"/>
    <x v="0"/>
    <x v="3"/>
    <x v="2"/>
    <n v="10"/>
    <x v="1"/>
  </r>
  <r>
    <s v="TX501658"/>
    <x v="11"/>
    <x v="0"/>
    <n v="38.700000000000003"/>
    <n v="38.700000000000003"/>
    <x v="61"/>
    <x v="61"/>
    <x v="2"/>
    <x v="2"/>
    <x v="0"/>
    <x v="0"/>
    <x v="25"/>
    <x v="3"/>
    <n v="10"/>
    <x v="2"/>
  </r>
  <r>
    <s v="TX501659"/>
    <x v="4"/>
    <x v="1"/>
    <n v="35.5"/>
    <n v="71"/>
    <x v="61"/>
    <x v="66"/>
    <x v="1"/>
    <x v="0"/>
    <x v="2"/>
    <x v="0"/>
    <x v="25"/>
    <x v="2"/>
    <n v="10"/>
    <x v="1"/>
  </r>
  <r>
    <s v="TX501660"/>
    <x v="2"/>
    <x v="12"/>
    <n v="93.3"/>
    <n v="373.2"/>
    <x v="61"/>
    <x v="66"/>
    <x v="2"/>
    <x v="0"/>
    <x v="2"/>
    <x v="0"/>
    <x v="6"/>
    <x v="2"/>
    <n v="10"/>
    <x v="2"/>
  </r>
  <r>
    <s v="TX501661"/>
    <x v="16"/>
    <x v="0"/>
    <n v="31.4"/>
    <n v="31.4"/>
    <x v="61"/>
    <x v="70"/>
    <x v="2"/>
    <x v="2"/>
    <x v="2"/>
    <x v="0"/>
    <x v="6"/>
    <x v="0"/>
    <n v="10"/>
    <x v="2"/>
  </r>
  <r>
    <s v="TX501662"/>
    <x v="1"/>
    <x v="0"/>
    <n v="85.9"/>
    <n v="85.9"/>
    <x v="61"/>
    <x v="66"/>
    <x v="1"/>
    <x v="1"/>
    <x v="0"/>
    <x v="0"/>
    <x v="6"/>
    <x v="2"/>
    <n v="10"/>
    <x v="1"/>
  </r>
  <r>
    <s v="TX501663"/>
    <x v="6"/>
    <x v="8"/>
    <n v="41.7"/>
    <n v="333.6"/>
    <x v="61"/>
    <x v="71"/>
    <x v="1"/>
    <x v="0"/>
    <x v="2"/>
    <x v="0"/>
    <x v="7"/>
    <x v="9"/>
    <n v="10"/>
    <x v="1"/>
  </r>
  <r>
    <s v="TX501664"/>
    <x v="8"/>
    <x v="12"/>
    <n v="31.5"/>
    <n v="126"/>
    <x v="61"/>
    <x v="61"/>
    <x v="2"/>
    <x v="0"/>
    <x v="0"/>
    <x v="0"/>
    <x v="7"/>
    <x v="3"/>
    <n v="10"/>
    <x v="2"/>
  </r>
  <r>
    <s v="TX501665"/>
    <x v="8"/>
    <x v="1"/>
    <n v="36.299999999999997"/>
    <n v="72.599999999999994"/>
    <x v="61"/>
    <x v="61"/>
    <x v="2"/>
    <x v="0"/>
    <x v="4"/>
    <x v="0"/>
    <x v="8"/>
    <x v="3"/>
    <n v="10"/>
    <x v="2"/>
  </r>
  <r>
    <s v="TX501666"/>
    <x v="8"/>
    <x v="2"/>
    <n v="33.4"/>
    <n v="100.19999999999999"/>
    <x v="61"/>
    <x v="61"/>
    <x v="2"/>
    <x v="3"/>
    <x v="0"/>
    <x v="0"/>
    <x v="17"/>
    <x v="3"/>
    <n v="10"/>
    <x v="2"/>
  </r>
  <r>
    <s v="TX501667"/>
    <x v="2"/>
    <x v="2"/>
    <n v="65.2"/>
    <n v="195.60000000000002"/>
    <x v="61"/>
    <x v="61"/>
    <x v="2"/>
    <x v="2"/>
    <x v="2"/>
    <x v="0"/>
    <x v="26"/>
    <x v="3"/>
    <n v="10"/>
    <x v="2"/>
  </r>
  <r>
    <s v="TX501668"/>
    <x v="8"/>
    <x v="11"/>
    <n v="65.5"/>
    <n v="589.5"/>
    <x v="61"/>
    <x v="66"/>
    <x v="2"/>
    <x v="0"/>
    <x v="2"/>
    <x v="0"/>
    <x v="9"/>
    <x v="2"/>
    <n v="10"/>
    <x v="2"/>
  </r>
  <r>
    <s v="TX501669"/>
    <x v="6"/>
    <x v="2"/>
    <n v="52.8"/>
    <n v="158.39999999999998"/>
    <x v="61"/>
    <x v="66"/>
    <x v="1"/>
    <x v="2"/>
    <x v="0"/>
    <x v="0"/>
    <x v="9"/>
    <x v="2"/>
    <n v="10"/>
    <x v="1"/>
  </r>
  <r>
    <s v="TX501670"/>
    <x v="9"/>
    <x v="9"/>
    <n v="24"/>
    <n v="120"/>
    <x v="61"/>
    <x v="68"/>
    <x v="1"/>
    <x v="0"/>
    <x v="1"/>
    <x v="0"/>
    <x v="11"/>
    <x v="5"/>
    <n v="10"/>
    <x v="1"/>
  </r>
  <r>
    <s v="TX501671"/>
    <x v="3"/>
    <x v="2"/>
    <n v="51.2"/>
    <n v="153.60000000000002"/>
    <x v="61"/>
    <x v="61"/>
    <x v="2"/>
    <x v="0"/>
    <x v="0"/>
    <x v="0"/>
    <x v="32"/>
    <x v="3"/>
    <n v="10"/>
    <x v="2"/>
  </r>
  <r>
    <s v="TX501672"/>
    <x v="5"/>
    <x v="2"/>
    <n v="28.3"/>
    <n v="84.9"/>
    <x v="61"/>
    <x v="63"/>
    <x v="1"/>
    <x v="4"/>
    <x v="0"/>
    <x v="0"/>
    <x v="19"/>
    <x v="1"/>
    <n v="10"/>
    <x v="1"/>
  </r>
  <r>
    <s v="TX501673"/>
    <x v="6"/>
    <x v="2"/>
    <n v="42.3"/>
    <n v="126.89999999999999"/>
    <x v="61"/>
    <x v="62"/>
    <x v="2"/>
    <x v="2"/>
    <x v="1"/>
    <x v="0"/>
    <x v="19"/>
    <x v="7"/>
    <n v="10"/>
    <x v="2"/>
  </r>
  <r>
    <s v="TX501674"/>
    <x v="2"/>
    <x v="8"/>
    <n v="163.30000000000001"/>
    <n v="1306.4000000000001"/>
    <x v="62"/>
    <x v="63"/>
    <x v="2"/>
    <x v="1"/>
    <x v="0"/>
    <x v="0"/>
    <x v="13"/>
    <x v="3"/>
    <n v="10"/>
    <x v="2"/>
  </r>
  <r>
    <s v="TX501675"/>
    <x v="6"/>
    <x v="3"/>
    <n v="47.3"/>
    <n v="331.09999999999997"/>
    <x v="62"/>
    <x v="68"/>
    <x v="2"/>
    <x v="4"/>
    <x v="1"/>
    <x v="0"/>
    <x v="21"/>
    <x v="2"/>
    <n v="10"/>
    <x v="2"/>
  </r>
  <r>
    <s v="TX501676"/>
    <x v="8"/>
    <x v="27"/>
    <n v="27.3"/>
    <n v="436.8"/>
    <x v="62"/>
    <x v="63"/>
    <x v="2"/>
    <x v="2"/>
    <x v="0"/>
    <x v="0"/>
    <x v="21"/>
    <x v="3"/>
    <n v="10"/>
    <x v="2"/>
  </r>
  <r>
    <s v="TX501677"/>
    <x v="10"/>
    <x v="13"/>
    <n v="34.9"/>
    <n v="209.39999999999998"/>
    <x v="62"/>
    <x v="72"/>
    <x v="2"/>
    <x v="0"/>
    <x v="0"/>
    <x v="0"/>
    <x v="21"/>
    <x v="11"/>
    <n v="10"/>
    <x v="2"/>
  </r>
  <r>
    <s v="TX501678"/>
    <x v="6"/>
    <x v="1"/>
    <n v="53.9"/>
    <n v="107.8"/>
    <x v="62"/>
    <x v="68"/>
    <x v="3"/>
    <x v="0"/>
    <x v="4"/>
    <x v="0"/>
    <x v="1"/>
    <x v="2"/>
    <n v="10"/>
    <x v="3"/>
  </r>
  <r>
    <s v="TX501679"/>
    <x v="2"/>
    <x v="1"/>
    <n v="87.2"/>
    <n v="174.4"/>
    <x v="62"/>
    <x v="63"/>
    <x v="2"/>
    <x v="0"/>
    <x v="1"/>
    <x v="0"/>
    <x v="1"/>
    <x v="3"/>
    <n v="10"/>
    <x v="2"/>
  </r>
  <r>
    <s v="TX501680"/>
    <x v="15"/>
    <x v="0"/>
    <n v="58.8"/>
    <n v="58.8"/>
    <x v="62"/>
    <x v="66"/>
    <x v="2"/>
    <x v="2"/>
    <x v="0"/>
    <x v="0"/>
    <x v="44"/>
    <x v="1"/>
    <n v="10"/>
    <x v="2"/>
  </r>
  <r>
    <s v="TX501681"/>
    <x v="2"/>
    <x v="3"/>
    <n v="125.5"/>
    <n v="878.5"/>
    <x v="62"/>
    <x v="63"/>
    <x v="1"/>
    <x v="2"/>
    <x v="4"/>
    <x v="0"/>
    <x v="22"/>
    <x v="3"/>
    <n v="10"/>
    <x v="1"/>
  </r>
  <r>
    <s v="TX501682"/>
    <x v="1"/>
    <x v="12"/>
    <n v="124.6"/>
    <n v="498.4"/>
    <x v="62"/>
    <x v="66"/>
    <x v="2"/>
    <x v="0"/>
    <x v="1"/>
    <x v="0"/>
    <x v="22"/>
    <x v="1"/>
    <n v="10"/>
    <x v="2"/>
  </r>
  <r>
    <s v="TX501683"/>
    <x v="1"/>
    <x v="3"/>
    <n v="39.9"/>
    <n v="279.3"/>
    <x v="62"/>
    <x v="63"/>
    <x v="1"/>
    <x v="2"/>
    <x v="1"/>
    <x v="0"/>
    <x v="3"/>
    <x v="3"/>
    <n v="10"/>
    <x v="1"/>
  </r>
  <r>
    <s v="TX501684"/>
    <x v="6"/>
    <x v="0"/>
    <n v="94.6"/>
    <n v="94.6"/>
    <x v="62"/>
    <x v="73"/>
    <x v="2"/>
    <x v="0"/>
    <x v="1"/>
    <x v="0"/>
    <x v="3"/>
    <x v="12"/>
    <n v="10"/>
    <x v="2"/>
  </r>
  <r>
    <s v="TX501685"/>
    <x v="2"/>
    <x v="1"/>
    <n v="149.6"/>
    <n v="299.2"/>
    <x v="62"/>
    <x v="63"/>
    <x v="2"/>
    <x v="0"/>
    <x v="0"/>
    <x v="0"/>
    <x v="3"/>
    <x v="3"/>
    <n v="10"/>
    <x v="2"/>
  </r>
  <r>
    <s v="TX501686"/>
    <x v="8"/>
    <x v="0"/>
    <n v="52.2"/>
    <n v="52.2"/>
    <x v="62"/>
    <x v="63"/>
    <x v="0"/>
    <x v="1"/>
    <x v="0"/>
    <x v="0"/>
    <x v="3"/>
    <x v="3"/>
    <n v="10"/>
    <x v="0"/>
  </r>
  <r>
    <s v="TX501687"/>
    <x v="6"/>
    <x v="1"/>
    <n v="96.5"/>
    <n v="193"/>
    <x v="62"/>
    <x v="63"/>
    <x v="2"/>
    <x v="1"/>
    <x v="1"/>
    <x v="0"/>
    <x v="3"/>
    <x v="3"/>
    <n v="10"/>
    <x v="2"/>
  </r>
  <r>
    <s v="TX501688"/>
    <x v="8"/>
    <x v="1"/>
    <n v="79.8"/>
    <n v="159.6"/>
    <x v="62"/>
    <x v="66"/>
    <x v="2"/>
    <x v="0"/>
    <x v="1"/>
    <x v="0"/>
    <x v="3"/>
    <x v="1"/>
    <n v="10"/>
    <x v="2"/>
  </r>
  <r>
    <s v="TX501689"/>
    <x v="8"/>
    <x v="2"/>
    <n v="35.6"/>
    <n v="106.80000000000001"/>
    <x v="62"/>
    <x v="63"/>
    <x v="2"/>
    <x v="2"/>
    <x v="0"/>
    <x v="0"/>
    <x v="3"/>
    <x v="3"/>
    <n v="10"/>
    <x v="2"/>
  </r>
  <r>
    <s v="TX501690"/>
    <x v="16"/>
    <x v="0"/>
    <n v="50.2"/>
    <n v="50.2"/>
    <x v="62"/>
    <x v="63"/>
    <x v="2"/>
    <x v="1"/>
    <x v="2"/>
    <x v="0"/>
    <x v="3"/>
    <x v="3"/>
    <n v="10"/>
    <x v="2"/>
  </r>
  <r>
    <s v="TX501691"/>
    <x v="1"/>
    <x v="2"/>
    <n v="55.3"/>
    <n v="165.89999999999998"/>
    <x v="62"/>
    <x v="68"/>
    <x v="2"/>
    <x v="0"/>
    <x v="4"/>
    <x v="0"/>
    <x v="40"/>
    <x v="2"/>
    <n v="10"/>
    <x v="2"/>
  </r>
  <r>
    <s v="TX501692"/>
    <x v="6"/>
    <x v="3"/>
    <n v="104.5"/>
    <n v="731.5"/>
    <x v="62"/>
    <x v="70"/>
    <x v="2"/>
    <x v="1"/>
    <x v="0"/>
    <x v="0"/>
    <x v="7"/>
    <x v="5"/>
    <n v="10"/>
    <x v="2"/>
  </r>
  <r>
    <s v="TX501693"/>
    <x v="6"/>
    <x v="12"/>
    <n v="66.5"/>
    <n v="266"/>
    <x v="62"/>
    <x v="66"/>
    <x v="1"/>
    <x v="1"/>
    <x v="0"/>
    <x v="0"/>
    <x v="7"/>
    <x v="1"/>
    <n v="10"/>
    <x v="1"/>
  </r>
  <r>
    <s v="TX501694"/>
    <x v="10"/>
    <x v="8"/>
    <n v="38.299999999999997"/>
    <n v="306.39999999999998"/>
    <x v="62"/>
    <x v="63"/>
    <x v="2"/>
    <x v="0"/>
    <x v="0"/>
    <x v="0"/>
    <x v="7"/>
    <x v="3"/>
    <n v="10"/>
    <x v="2"/>
  </r>
  <r>
    <s v="TX501695"/>
    <x v="6"/>
    <x v="2"/>
    <n v="63.8"/>
    <n v="191.39999999999998"/>
    <x v="62"/>
    <x v="68"/>
    <x v="2"/>
    <x v="1"/>
    <x v="0"/>
    <x v="0"/>
    <x v="8"/>
    <x v="2"/>
    <n v="10"/>
    <x v="2"/>
  </r>
  <r>
    <s v="TX501696"/>
    <x v="15"/>
    <x v="0"/>
    <n v="21.4"/>
    <n v="21.4"/>
    <x v="62"/>
    <x v="61"/>
    <x v="1"/>
    <x v="4"/>
    <x v="0"/>
    <x v="0"/>
    <x v="8"/>
    <x v="7"/>
    <n v="10"/>
    <x v="1"/>
  </r>
  <r>
    <s v="TX501697"/>
    <x v="8"/>
    <x v="12"/>
    <n v="44.1"/>
    <n v="176.4"/>
    <x v="62"/>
    <x v="66"/>
    <x v="2"/>
    <x v="2"/>
    <x v="0"/>
    <x v="0"/>
    <x v="8"/>
    <x v="1"/>
    <n v="10"/>
    <x v="2"/>
  </r>
  <r>
    <s v="TX501698"/>
    <x v="5"/>
    <x v="8"/>
    <n v="57.6"/>
    <n v="460.8"/>
    <x v="62"/>
    <x v="66"/>
    <x v="1"/>
    <x v="1"/>
    <x v="2"/>
    <x v="0"/>
    <x v="8"/>
    <x v="1"/>
    <n v="10"/>
    <x v="1"/>
  </r>
  <r>
    <s v="TX501699"/>
    <x v="9"/>
    <x v="1"/>
    <n v="20.3"/>
    <n v="40.6"/>
    <x v="62"/>
    <x v="65"/>
    <x v="2"/>
    <x v="3"/>
    <x v="0"/>
    <x v="0"/>
    <x v="8"/>
    <x v="4"/>
    <n v="10"/>
    <x v="2"/>
  </r>
  <r>
    <s v="TX501700"/>
    <x v="8"/>
    <x v="0"/>
    <n v="22.9"/>
    <n v="22.9"/>
    <x v="62"/>
    <x v="66"/>
    <x v="2"/>
    <x v="2"/>
    <x v="2"/>
    <x v="0"/>
    <x v="8"/>
    <x v="1"/>
    <n v="10"/>
    <x v="2"/>
  </r>
  <r>
    <s v="TX501701"/>
    <x v="6"/>
    <x v="12"/>
    <n v="105.9"/>
    <n v="423.6"/>
    <x v="62"/>
    <x v="63"/>
    <x v="2"/>
    <x v="1"/>
    <x v="2"/>
    <x v="0"/>
    <x v="17"/>
    <x v="3"/>
    <n v="10"/>
    <x v="2"/>
  </r>
  <r>
    <s v="TX501702"/>
    <x v="1"/>
    <x v="11"/>
    <n v="37.4"/>
    <n v="336.59999999999997"/>
    <x v="62"/>
    <x v="70"/>
    <x v="1"/>
    <x v="1"/>
    <x v="0"/>
    <x v="0"/>
    <x v="11"/>
    <x v="5"/>
    <n v="10"/>
    <x v="1"/>
  </r>
  <r>
    <s v="TX501703"/>
    <x v="18"/>
    <x v="1"/>
    <n v="79"/>
    <n v="158"/>
    <x v="62"/>
    <x v="63"/>
    <x v="1"/>
    <x v="2"/>
    <x v="0"/>
    <x v="0"/>
    <x v="28"/>
    <x v="3"/>
    <n v="10"/>
    <x v="1"/>
  </r>
  <r>
    <s v="TX501704"/>
    <x v="0"/>
    <x v="2"/>
    <n v="19.3"/>
    <n v="57.900000000000006"/>
    <x v="62"/>
    <x v="63"/>
    <x v="2"/>
    <x v="4"/>
    <x v="0"/>
    <x v="0"/>
    <x v="21"/>
    <x v="3"/>
    <n v="10"/>
    <x v="2"/>
  </r>
  <r>
    <s v="TX501705"/>
    <x v="0"/>
    <x v="0"/>
    <n v="24"/>
    <n v="24"/>
    <x v="62"/>
    <x v="63"/>
    <x v="2"/>
    <x v="1"/>
    <x v="0"/>
    <x v="0"/>
    <x v="1"/>
    <x v="3"/>
    <n v="10"/>
    <x v="2"/>
  </r>
  <r>
    <s v="TX501706"/>
    <x v="6"/>
    <x v="9"/>
    <n v="71.3"/>
    <n v="356.5"/>
    <x v="62"/>
    <x v="68"/>
    <x v="2"/>
    <x v="2"/>
    <x v="0"/>
    <x v="0"/>
    <x v="2"/>
    <x v="2"/>
    <n v="10"/>
    <x v="2"/>
  </r>
  <r>
    <s v="TX501707"/>
    <x v="5"/>
    <x v="1"/>
    <n v="166.2"/>
    <n v="332.4"/>
    <x v="62"/>
    <x v="63"/>
    <x v="1"/>
    <x v="0"/>
    <x v="2"/>
    <x v="0"/>
    <x v="50"/>
    <x v="3"/>
    <n v="10"/>
    <x v="1"/>
  </r>
  <r>
    <s v="TX501708"/>
    <x v="6"/>
    <x v="0"/>
    <n v="81"/>
    <n v="81"/>
    <x v="62"/>
    <x v="63"/>
    <x v="2"/>
    <x v="2"/>
    <x v="1"/>
    <x v="0"/>
    <x v="3"/>
    <x v="3"/>
    <n v="10"/>
    <x v="2"/>
  </r>
  <r>
    <s v="TX501709"/>
    <x v="10"/>
    <x v="13"/>
    <n v="38.5"/>
    <n v="231"/>
    <x v="62"/>
    <x v="70"/>
    <x v="2"/>
    <x v="0"/>
    <x v="0"/>
    <x v="0"/>
    <x v="3"/>
    <x v="5"/>
    <n v="10"/>
    <x v="2"/>
  </r>
  <r>
    <s v="TX501710"/>
    <x v="6"/>
    <x v="0"/>
    <n v="86.1"/>
    <n v="86.1"/>
    <x v="62"/>
    <x v="66"/>
    <x v="2"/>
    <x v="3"/>
    <x v="0"/>
    <x v="0"/>
    <x v="3"/>
    <x v="1"/>
    <n v="10"/>
    <x v="2"/>
  </r>
  <r>
    <s v="TX501711"/>
    <x v="2"/>
    <x v="9"/>
    <n v="51"/>
    <n v="255"/>
    <x v="62"/>
    <x v="63"/>
    <x v="1"/>
    <x v="0"/>
    <x v="1"/>
    <x v="0"/>
    <x v="3"/>
    <x v="3"/>
    <n v="10"/>
    <x v="1"/>
  </r>
  <r>
    <s v="TX501712"/>
    <x v="3"/>
    <x v="9"/>
    <n v="115.4"/>
    <n v="577"/>
    <x v="62"/>
    <x v="63"/>
    <x v="1"/>
    <x v="0"/>
    <x v="0"/>
    <x v="0"/>
    <x v="3"/>
    <x v="3"/>
    <n v="10"/>
    <x v="1"/>
  </r>
  <r>
    <s v="TX501713"/>
    <x v="6"/>
    <x v="12"/>
    <n v="176.5"/>
    <n v="706"/>
    <x v="62"/>
    <x v="63"/>
    <x v="2"/>
    <x v="2"/>
    <x v="2"/>
    <x v="0"/>
    <x v="3"/>
    <x v="3"/>
    <n v="10"/>
    <x v="2"/>
  </r>
  <r>
    <s v="TX501714"/>
    <x v="7"/>
    <x v="2"/>
    <n v="48.9"/>
    <n v="146.69999999999999"/>
    <x v="62"/>
    <x v="63"/>
    <x v="1"/>
    <x v="4"/>
    <x v="0"/>
    <x v="0"/>
    <x v="3"/>
    <x v="3"/>
    <n v="10"/>
    <x v="1"/>
  </r>
  <r>
    <s v="TX501715"/>
    <x v="8"/>
    <x v="2"/>
    <n v="18.100000000000001"/>
    <n v="54.300000000000004"/>
    <x v="62"/>
    <x v="71"/>
    <x v="2"/>
    <x v="1"/>
    <x v="2"/>
    <x v="0"/>
    <x v="29"/>
    <x v="6"/>
    <n v="10"/>
    <x v="2"/>
  </r>
  <r>
    <s v="TX501716"/>
    <x v="2"/>
    <x v="1"/>
    <n v="118.5"/>
    <n v="237"/>
    <x v="62"/>
    <x v="68"/>
    <x v="1"/>
    <x v="1"/>
    <x v="2"/>
    <x v="0"/>
    <x v="16"/>
    <x v="2"/>
    <n v="10"/>
    <x v="1"/>
  </r>
  <r>
    <s v="TX501717"/>
    <x v="15"/>
    <x v="3"/>
    <n v="59.1"/>
    <n v="413.7"/>
    <x v="62"/>
    <x v="63"/>
    <x v="2"/>
    <x v="3"/>
    <x v="0"/>
    <x v="0"/>
    <x v="25"/>
    <x v="3"/>
    <n v="10"/>
    <x v="2"/>
  </r>
  <r>
    <s v="TX501718"/>
    <x v="4"/>
    <x v="0"/>
    <n v="21.2"/>
    <n v="21.2"/>
    <x v="62"/>
    <x v="63"/>
    <x v="2"/>
    <x v="0"/>
    <x v="1"/>
    <x v="0"/>
    <x v="6"/>
    <x v="3"/>
    <n v="10"/>
    <x v="2"/>
  </r>
  <r>
    <s v="TX501719"/>
    <x v="6"/>
    <x v="1"/>
    <n v="68.8"/>
    <n v="137.6"/>
    <x v="62"/>
    <x v="60"/>
    <x v="2"/>
    <x v="3"/>
    <x v="2"/>
    <x v="0"/>
    <x v="6"/>
    <x v="0"/>
    <n v="10"/>
    <x v="2"/>
  </r>
  <r>
    <s v="TX501720"/>
    <x v="6"/>
    <x v="1"/>
    <n v="65.400000000000006"/>
    <n v="130.80000000000001"/>
    <x v="62"/>
    <x v="70"/>
    <x v="2"/>
    <x v="0"/>
    <x v="0"/>
    <x v="0"/>
    <x v="6"/>
    <x v="5"/>
    <n v="10"/>
    <x v="2"/>
  </r>
  <r>
    <s v="TX501721"/>
    <x v="12"/>
    <x v="9"/>
    <n v="66.3"/>
    <n v="331.5"/>
    <x v="63"/>
    <x v="70"/>
    <x v="2"/>
    <x v="4"/>
    <x v="0"/>
    <x v="0"/>
    <x v="6"/>
    <x v="2"/>
    <n v="10"/>
    <x v="2"/>
  </r>
  <r>
    <s v="TX501722"/>
    <x v="6"/>
    <x v="2"/>
    <n v="97.5"/>
    <n v="292.5"/>
    <x v="63"/>
    <x v="63"/>
    <x v="1"/>
    <x v="3"/>
    <x v="0"/>
    <x v="0"/>
    <x v="8"/>
    <x v="7"/>
    <n v="10"/>
    <x v="1"/>
  </r>
  <r>
    <s v="TX501723"/>
    <x v="1"/>
    <x v="1"/>
    <n v="44"/>
    <n v="88"/>
    <x v="63"/>
    <x v="70"/>
    <x v="2"/>
    <x v="1"/>
    <x v="2"/>
    <x v="0"/>
    <x v="8"/>
    <x v="2"/>
    <n v="10"/>
    <x v="2"/>
  </r>
  <r>
    <s v="TX501724"/>
    <x v="0"/>
    <x v="0"/>
    <n v="21.9"/>
    <n v="21.9"/>
    <x v="63"/>
    <x v="66"/>
    <x v="1"/>
    <x v="0"/>
    <x v="0"/>
    <x v="0"/>
    <x v="8"/>
    <x v="3"/>
    <n v="10"/>
    <x v="1"/>
  </r>
  <r>
    <s v="TX501725"/>
    <x v="4"/>
    <x v="3"/>
    <n v="21.5"/>
    <n v="150.5"/>
    <x v="63"/>
    <x v="68"/>
    <x v="2"/>
    <x v="1"/>
    <x v="2"/>
    <x v="0"/>
    <x v="9"/>
    <x v="1"/>
    <n v="10"/>
    <x v="2"/>
  </r>
  <r>
    <s v="TX501726"/>
    <x v="12"/>
    <x v="13"/>
    <n v="133"/>
    <n v="798"/>
    <x v="63"/>
    <x v="66"/>
    <x v="3"/>
    <x v="0"/>
    <x v="2"/>
    <x v="0"/>
    <x v="10"/>
    <x v="3"/>
    <n v="10"/>
    <x v="3"/>
  </r>
  <r>
    <s v="TX501727"/>
    <x v="8"/>
    <x v="1"/>
    <n v="47.7"/>
    <n v="95.4"/>
    <x v="63"/>
    <x v="60"/>
    <x v="1"/>
    <x v="0"/>
    <x v="2"/>
    <x v="0"/>
    <x v="10"/>
    <x v="5"/>
    <n v="10"/>
    <x v="1"/>
  </r>
  <r>
    <s v="TX501728"/>
    <x v="16"/>
    <x v="2"/>
    <n v="58.1"/>
    <n v="174.3"/>
    <x v="63"/>
    <x v="66"/>
    <x v="2"/>
    <x v="0"/>
    <x v="0"/>
    <x v="0"/>
    <x v="11"/>
    <x v="3"/>
    <n v="10"/>
    <x v="2"/>
  </r>
  <r>
    <s v="TX501729"/>
    <x v="12"/>
    <x v="12"/>
    <n v="66.599999999999994"/>
    <n v="266.39999999999998"/>
    <x v="63"/>
    <x v="66"/>
    <x v="0"/>
    <x v="0"/>
    <x v="0"/>
    <x v="0"/>
    <x v="11"/>
    <x v="3"/>
    <n v="10"/>
    <x v="0"/>
  </r>
  <r>
    <s v="TX501730"/>
    <x v="9"/>
    <x v="0"/>
    <n v="24.1"/>
    <n v="24.1"/>
    <x v="63"/>
    <x v="70"/>
    <x v="1"/>
    <x v="2"/>
    <x v="1"/>
    <x v="0"/>
    <x v="19"/>
    <x v="2"/>
    <n v="10"/>
    <x v="1"/>
  </r>
  <r>
    <s v="TX501731"/>
    <x v="10"/>
    <x v="9"/>
    <n v="51.5"/>
    <n v="257.5"/>
    <x v="63"/>
    <x v="65"/>
    <x v="2"/>
    <x v="0"/>
    <x v="0"/>
    <x v="0"/>
    <x v="13"/>
    <x v="0"/>
    <n v="10"/>
    <x v="2"/>
  </r>
  <r>
    <s v="TX501732"/>
    <x v="0"/>
    <x v="5"/>
    <n v="25.8"/>
    <n v="283.8"/>
    <x v="63"/>
    <x v="60"/>
    <x v="2"/>
    <x v="3"/>
    <x v="4"/>
    <x v="0"/>
    <x v="21"/>
    <x v="5"/>
    <n v="10"/>
    <x v="2"/>
  </r>
  <r>
    <s v="TX501733"/>
    <x v="9"/>
    <x v="12"/>
    <n v="47.7"/>
    <n v="190.8"/>
    <x v="63"/>
    <x v="63"/>
    <x v="2"/>
    <x v="0"/>
    <x v="1"/>
    <x v="0"/>
    <x v="21"/>
    <x v="7"/>
    <n v="10"/>
    <x v="2"/>
  </r>
  <r>
    <s v="TX501734"/>
    <x v="7"/>
    <x v="9"/>
    <n v="73.599999999999994"/>
    <n v="368"/>
    <x v="63"/>
    <x v="60"/>
    <x v="1"/>
    <x v="1"/>
    <x v="0"/>
    <x v="0"/>
    <x v="21"/>
    <x v="5"/>
    <n v="10"/>
    <x v="1"/>
  </r>
  <r>
    <s v="TX501735"/>
    <x v="5"/>
    <x v="3"/>
    <n v="91.2"/>
    <n v="638.4"/>
    <x v="63"/>
    <x v="66"/>
    <x v="1"/>
    <x v="1"/>
    <x v="2"/>
    <x v="0"/>
    <x v="21"/>
    <x v="3"/>
    <n v="10"/>
    <x v="1"/>
  </r>
  <r>
    <s v="TX501736"/>
    <x v="1"/>
    <x v="8"/>
    <n v="36.200000000000003"/>
    <n v="289.60000000000002"/>
    <x v="63"/>
    <x v="63"/>
    <x v="1"/>
    <x v="2"/>
    <x v="2"/>
    <x v="0"/>
    <x v="1"/>
    <x v="7"/>
    <n v="10"/>
    <x v="1"/>
  </r>
  <r>
    <s v="TX501737"/>
    <x v="9"/>
    <x v="8"/>
    <n v="98"/>
    <n v="784"/>
    <x v="63"/>
    <x v="60"/>
    <x v="2"/>
    <x v="2"/>
    <x v="0"/>
    <x v="0"/>
    <x v="2"/>
    <x v="5"/>
    <n v="10"/>
    <x v="2"/>
  </r>
  <r>
    <s v="TX501738"/>
    <x v="1"/>
    <x v="8"/>
    <n v="43.6"/>
    <n v="348.8"/>
    <x v="63"/>
    <x v="66"/>
    <x v="2"/>
    <x v="2"/>
    <x v="0"/>
    <x v="0"/>
    <x v="22"/>
    <x v="3"/>
    <n v="10"/>
    <x v="2"/>
  </r>
  <r>
    <s v="TX501739"/>
    <x v="8"/>
    <x v="7"/>
    <n v="37.799999999999997"/>
    <n v="378"/>
    <x v="63"/>
    <x v="63"/>
    <x v="3"/>
    <x v="0"/>
    <x v="0"/>
    <x v="0"/>
    <x v="50"/>
    <x v="7"/>
    <n v="10"/>
    <x v="3"/>
  </r>
  <r>
    <s v="TX501740"/>
    <x v="17"/>
    <x v="9"/>
    <n v="63.7"/>
    <n v="318.5"/>
    <x v="63"/>
    <x v="70"/>
    <x v="2"/>
    <x v="2"/>
    <x v="1"/>
    <x v="0"/>
    <x v="3"/>
    <x v="2"/>
    <n v="10"/>
    <x v="2"/>
  </r>
  <r>
    <s v="TX501741"/>
    <x v="5"/>
    <x v="11"/>
    <n v="62.9"/>
    <n v="566.1"/>
    <x v="63"/>
    <x v="65"/>
    <x v="1"/>
    <x v="3"/>
    <x v="2"/>
    <x v="0"/>
    <x v="3"/>
    <x v="0"/>
    <n v="10"/>
    <x v="1"/>
  </r>
  <r>
    <s v="TX501742"/>
    <x v="6"/>
    <x v="3"/>
    <n v="61.7"/>
    <n v="431.90000000000003"/>
    <x v="63"/>
    <x v="70"/>
    <x v="2"/>
    <x v="2"/>
    <x v="2"/>
    <x v="0"/>
    <x v="3"/>
    <x v="2"/>
    <n v="10"/>
    <x v="2"/>
  </r>
  <r>
    <s v="TX501743"/>
    <x v="18"/>
    <x v="21"/>
    <n v="36.5"/>
    <n v="511"/>
    <x v="63"/>
    <x v="66"/>
    <x v="1"/>
    <x v="0"/>
    <x v="2"/>
    <x v="0"/>
    <x v="3"/>
    <x v="3"/>
    <n v="10"/>
    <x v="1"/>
  </r>
  <r>
    <s v="TX501744"/>
    <x v="11"/>
    <x v="2"/>
    <n v="98.6"/>
    <n v="295.79999999999995"/>
    <x v="63"/>
    <x v="70"/>
    <x v="3"/>
    <x v="0"/>
    <x v="4"/>
    <x v="0"/>
    <x v="3"/>
    <x v="2"/>
    <n v="10"/>
    <x v="3"/>
  </r>
  <r>
    <s v="TX501745"/>
    <x v="8"/>
    <x v="1"/>
    <n v="19.2"/>
    <n v="38.4"/>
    <x v="63"/>
    <x v="72"/>
    <x v="1"/>
    <x v="0"/>
    <x v="0"/>
    <x v="0"/>
    <x v="3"/>
    <x v="14"/>
    <n v="10"/>
    <x v="1"/>
  </r>
  <r>
    <s v="TX501746"/>
    <x v="3"/>
    <x v="13"/>
    <n v="55.6"/>
    <n v="333.6"/>
    <x v="63"/>
    <x v="60"/>
    <x v="2"/>
    <x v="0"/>
    <x v="2"/>
    <x v="0"/>
    <x v="3"/>
    <x v="5"/>
    <n v="10"/>
    <x v="2"/>
  </r>
  <r>
    <s v="TX501747"/>
    <x v="5"/>
    <x v="13"/>
    <n v="56.4"/>
    <n v="338.4"/>
    <x v="63"/>
    <x v="66"/>
    <x v="2"/>
    <x v="1"/>
    <x v="0"/>
    <x v="0"/>
    <x v="3"/>
    <x v="3"/>
    <n v="10"/>
    <x v="2"/>
  </r>
  <r>
    <s v="TX501748"/>
    <x v="4"/>
    <x v="8"/>
    <n v="43.1"/>
    <n v="344.8"/>
    <x v="63"/>
    <x v="60"/>
    <x v="2"/>
    <x v="4"/>
    <x v="0"/>
    <x v="0"/>
    <x v="3"/>
    <x v="5"/>
    <n v="10"/>
    <x v="2"/>
  </r>
  <r>
    <s v="TX501749"/>
    <x v="1"/>
    <x v="1"/>
    <n v="77.3"/>
    <n v="154.6"/>
    <x v="63"/>
    <x v="68"/>
    <x v="1"/>
    <x v="0"/>
    <x v="0"/>
    <x v="0"/>
    <x v="6"/>
    <x v="1"/>
    <n v="10"/>
    <x v="1"/>
  </r>
  <r>
    <s v="TX501750"/>
    <x v="9"/>
    <x v="8"/>
    <n v="38.299999999999997"/>
    <n v="306.39999999999998"/>
    <x v="63"/>
    <x v="66"/>
    <x v="1"/>
    <x v="0"/>
    <x v="0"/>
    <x v="0"/>
    <x v="7"/>
    <x v="3"/>
    <n v="10"/>
    <x v="1"/>
  </r>
  <r>
    <s v="TX501751"/>
    <x v="0"/>
    <x v="3"/>
    <n v="16.8"/>
    <n v="117.60000000000001"/>
    <x v="63"/>
    <x v="70"/>
    <x v="1"/>
    <x v="2"/>
    <x v="1"/>
    <x v="0"/>
    <x v="8"/>
    <x v="2"/>
    <n v="10"/>
    <x v="1"/>
  </r>
  <r>
    <s v="TX501752"/>
    <x v="2"/>
    <x v="2"/>
    <n v="63.2"/>
    <n v="189.60000000000002"/>
    <x v="63"/>
    <x v="66"/>
    <x v="2"/>
    <x v="0"/>
    <x v="2"/>
    <x v="0"/>
    <x v="8"/>
    <x v="3"/>
    <n v="10"/>
    <x v="2"/>
  </r>
  <r>
    <s v="TX501753"/>
    <x v="14"/>
    <x v="44"/>
    <n v="39.700000000000003"/>
    <n v="913.1"/>
    <x v="63"/>
    <x v="66"/>
    <x v="1"/>
    <x v="0"/>
    <x v="0"/>
    <x v="0"/>
    <x v="8"/>
    <x v="3"/>
    <n v="10"/>
    <x v="1"/>
  </r>
  <r>
    <s v="TX501754"/>
    <x v="10"/>
    <x v="2"/>
    <n v="45.8"/>
    <n v="137.39999999999998"/>
    <x v="63"/>
    <x v="66"/>
    <x v="2"/>
    <x v="1"/>
    <x v="2"/>
    <x v="0"/>
    <x v="8"/>
    <x v="3"/>
    <n v="10"/>
    <x v="2"/>
  </r>
  <r>
    <s v="TX501755"/>
    <x v="0"/>
    <x v="13"/>
    <n v="12.4"/>
    <n v="74.400000000000006"/>
    <x v="63"/>
    <x v="70"/>
    <x v="1"/>
    <x v="0"/>
    <x v="0"/>
    <x v="0"/>
    <x v="8"/>
    <x v="2"/>
    <n v="10"/>
    <x v="1"/>
  </r>
  <r>
    <s v="TX501756"/>
    <x v="14"/>
    <x v="2"/>
    <n v="50.8"/>
    <n v="152.39999999999998"/>
    <x v="64"/>
    <x v="66"/>
    <x v="2"/>
    <x v="4"/>
    <x v="0"/>
    <x v="0"/>
    <x v="17"/>
    <x v="7"/>
    <n v="10"/>
    <x v="2"/>
  </r>
  <r>
    <s v="TX501757"/>
    <x v="9"/>
    <x v="0"/>
    <n v="76"/>
    <n v="76"/>
    <x v="64"/>
    <x v="65"/>
    <x v="3"/>
    <x v="2"/>
    <x v="2"/>
    <x v="0"/>
    <x v="17"/>
    <x v="5"/>
    <n v="10"/>
    <x v="3"/>
  </r>
  <r>
    <s v="TX501758"/>
    <x v="1"/>
    <x v="1"/>
    <n v="51.9"/>
    <n v="103.8"/>
    <x v="64"/>
    <x v="68"/>
    <x v="1"/>
    <x v="1"/>
    <x v="2"/>
    <x v="0"/>
    <x v="26"/>
    <x v="3"/>
    <n v="10"/>
    <x v="1"/>
  </r>
  <r>
    <s v="TX501759"/>
    <x v="2"/>
    <x v="1"/>
    <n v="93.4"/>
    <n v="186.8"/>
    <x v="64"/>
    <x v="64"/>
    <x v="1"/>
    <x v="0"/>
    <x v="3"/>
    <x v="0"/>
    <x v="11"/>
    <x v="6"/>
    <n v="10"/>
    <x v="1"/>
  </r>
  <r>
    <s v="TX501760"/>
    <x v="7"/>
    <x v="13"/>
    <n v="30.8"/>
    <n v="184.8"/>
    <x v="64"/>
    <x v="60"/>
    <x v="2"/>
    <x v="1"/>
    <x v="0"/>
    <x v="0"/>
    <x v="11"/>
    <x v="2"/>
    <n v="10"/>
    <x v="2"/>
  </r>
  <r>
    <s v="TX501761"/>
    <x v="2"/>
    <x v="0"/>
    <n v="143.19999999999999"/>
    <n v="143.19999999999999"/>
    <x v="64"/>
    <x v="60"/>
    <x v="1"/>
    <x v="2"/>
    <x v="0"/>
    <x v="0"/>
    <x v="11"/>
    <x v="2"/>
    <n v="10"/>
    <x v="1"/>
  </r>
  <r>
    <s v="TX501762"/>
    <x v="6"/>
    <x v="5"/>
    <n v="40.4"/>
    <n v="444.4"/>
    <x v="64"/>
    <x v="70"/>
    <x v="1"/>
    <x v="2"/>
    <x v="2"/>
    <x v="0"/>
    <x v="18"/>
    <x v="1"/>
    <n v="10"/>
    <x v="1"/>
  </r>
  <r>
    <s v="TX501763"/>
    <x v="2"/>
    <x v="10"/>
    <n v="131.5"/>
    <n v="2498.5"/>
    <x v="64"/>
    <x v="70"/>
    <x v="1"/>
    <x v="1"/>
    <x v="1"/>
    <x v="0"/>
    <x v="18"/>
    <x v="1"/>
    <n v="10"/>
    <x v="1"/>
  </r>
  <r>
    <s v="TX501764"/>
    <x v="18"/>
    <x v="3"/>
    <n v="61.6"/>
    <n v="431.2"/>
    <x v="64"/>
    <x v="68"/>
    <x v="1"/>
    <x v="2"/>
    <x v="0"/>
    <x v="0"/>
    <x v="21"/>
    <x v="3"/>
    <n v="10"/>
    <x v="1"/>
  </r>
  <r>
    <s v="TX501765"/>
    <x v="9"/>
    <x v="9"/>
    <n v="32.700000000000003"/>
    <n v="163.5"/>
    <x v="64"/>
    <x v="70"/>
    <x v="1"/>
    <x v="2"/>
    <x v="0"/>
    <x v="0"/>
    <x v="1"/>
    <x v="1"/>
    <n v="10"/>
    <x v="1"/>
  </r>
  <r>
    <s v="TX501766"/>
    <x v="0"/>
    <x v="7"/>
    <n v="13.7"/>
    <n v="137"/>
    <x v="64"/>
    <x v="68"/>
    <x v="1"/>
    <x v="0"/>
    <x v="2"/>
    <x v="0"/>
    <x v="3"/>
    <x v="3"/>
    <n v="10"/>
    <x v="1"/>
  </r>
  <r>
    <s v="TX501767"/>
    <x v="0"/>
    <x v="12"/>
    <n v="32.1"/>
    <n v="128.4"/>
    <x v="64"/>
    <x v="68"/>
    <x v="1"/>
    <x v="4"/>
    <x v="1"/>
    <x v="0"/>
    <x v="3"/>
    <x v="3"/>
    <n v="10"/>
    <x v="1"/>
  </r>
  <r>
    <s v="TX501768"/>
    <x v="14"/>
    <x v="8"/>
    <n v="12"/>
    <n v="96"/>
    <x v="64"/>
    <x v="68"/>
    <x v="1"/>
    <x v="1"/>
    <x v="0"/>
    <x v="0"/>
    <x v="24"/>
    <x v="3"/>
    <n v="10"/>
    <x v="1"/>
  </r>
  <r>
    <s v="TX501769"/>
    <x v="12"/>
    <x v="0"/>
    <n v="64.3"/>
    <n v="64.3"/>
    <x v="64"/>
    <x v="70"/>
    <x v="2"/>
    <x v="2"/>
    <x v="2"/>
    <x v="0"/>
    <x v="6"/>
    <x v="1"/>
    <n v="10"/>
    <x v="2"/>
  </r>
  <r>
    <s v="TX501770"/>
    <x v="1"/>
    <x v="2"/>
    <n v="58.2"/>
    <n v="174.60000000000002"/>
    <x v="64"/>
    <x v="70"/>
    <x v="2"/>
    <x v="1"/>
    <x v="2"/>
    <x v="0"/>
    <x v="6"/>
    <x v="1"/>
    <n v="10"/>
    <x v="2"/>
  </r>
  <r>
    <s v="TX501771"/>
    <x v="6"/>
    <x v="12"/>
    <n v="59.2"/>
    <n v="236.8"/>
    <x v="64"/>
    <x v="66"/>
    <x v="1"/>
    <x v="1"/>
    <x v="2"/>
    <x v="0"/>
    <x v="6"/>
    <x v="7"/>
    <n v="10"/>
    <x v="1"/>
  </r>
  <r>
    <s v="TX501772"/>
    <x v="10"/>
    <x v="5"/>
    <n v="35.6"/>
    <n v="391.6"/>
    <x v="64"/>
    <x v="64"/>
    <x v="1"/>
    <x v="0"/>
    <x v="2"/>
    <x v="0"/>
    <x v="8"/>
    <x v="6"/>
    <n v="10"/>
    <x v="1"/>
  </r>
  <r>
    <s v="TX501773"/>
    <x v="16"/>
    <x v="8"/>
    <n v="37"/>
    <n v="296"/>
    <x v="64"/>
    <x v="65"/>
    <x v="2"/>
    <x v="2"/>
    <x v="1"/>
    <x v="0"/>
    <x v="8"/>
    <x v="5"/>
    <n v="10"/>
    <x v="2"/>
  </r>
  <r>
    <s v="TX501774"/>
    <x v="1"/>
    <x v="15"/>
    <n v="80.8"/>
    <n v="1050.3999999999999"/>
    <x v="64"/>
    <x v="70"/>
    <x v="2"/>
    <x v="0"/>
    <x v="0"/>
    <x v="0"/>
    <x v="8"/>
    <x v="1"/>
    <n v="10"/>
    <x v="2"/>
  </r>
  <r>
    <s v="TX501775"/>
    <x v="8"/>
    <x v="1"/>
    <n v="63.2"/>
    <n v="126.4"/>
    <x v="64"/>
    <x v="68"/>
    <x v="1"/>
    <x v="0"/>
    <x v="1"/>
    <x v="0"/>
    <x v="8"/>
    <x v="3"/>
    <n v="10"/>
    <x v="1"/>
  </r>
  <r>
    <s v="TX501776"/>
    <x v="3"/>
    <x v="1"/>
    <n v="40.799999999999997"/>
    <n v="81.599999999999994"/>
    <x v="64"/>
    <x v="70"/>
    <x v="1"/>
    <x v="0"/>
    <x v="1"/>
    <x v="0"/>
    <x v="17"/>
    <x v="1"/>
    <n v="10"/>
    <x v="1"/>
  </r>
  <r>
    <s v="TX501777"/>
    <x v="13"/>
    <x v="13"/>
    <n v="25.7"/>
    <n v="154.19999999999999"/>
    <x v="64"/>
    <x v="70"/>
    <x v="1"/>
    <x v="4"/>
    <x v="0"/>
    <x v="0"/>
    <x v="18"/>
    <x v="1"/>
    <n v="10"/>
    <x v="1"/>
  </r>
  <r>
    <s v="TX501778"/>
    <x v="16"/>
    <x v="1"/>
    <n v="49.9"/>
    <n v="99.8"/>
    <x v="64"/>
    <x v="60"/>
    <x v="1"/>
    <x v="0"/>
    <x v="0"/>
    <x v="0"/>
    <x v="20"/>
    <x v="2"/>
    <n v="10"/>
    <x v="1"/>
  </r>
  <r>
    <s v="TX501779"/>
    <x v="8"/>
    <x v="1"/>
    <n v="20.2"/>
    <n v="40.4"/>
    <x v="64"/>
    <x v="70"/>
    <x v="2"/>
    <x v="3"/>
    <x v="0"/>
    <x v="0"/>
    <x v="21"/>
    <x v="1"/>
    <n v="10"/>
    <x v="2"/>
  </r>
  <r>
    <s v="TX501780"/>
    <x v="6"/>
    <x v="2"/>
    <n v="48.4"/>
    <n v="145.19999999999999"/>
    <x v="64"/>
    <x v="71"/>
    <x v="2"/>
    <x v="0"/>
    <x v="2"/>
    <x v="0"/>
    <x v="21"/>
    <x v="0"/>
    <n v="10"/>
    <x v="2"/>
  </r>
  <r>
    <s v="TX501781"/>
    <x v="6"/>
    <x v="1"/>
    <n v="81"/>
    <n v="162"/>
    <x v="64"/>
    <x v="68"/>
    <x v="2"/>
    <x v="1"/>
    <x v="2"/>
    <x v="0"/>
    <x v="21"/>
    <x v="3"/>
    <n v="10"/>
    <x v="2"/>
  </r>
  <r>
    <s v="TX501782"/>
    <x v="8"/>
    <x v="13"/>
    <n v="19.899999999999999"/>
    <n v="119.39999999999999"/>
    <x v="64"/>
    <x v="60"/>
    <x v="2"/>
    <x v="0"/>
    <x v="1"/>
    <x v="0"/>
    <x v="22"/>
    <x v="2"/>
    <n v="10"/>
    <x v="2"/>
  </r>
  <r>
    <s v="TX501783"/>
    <x v="4"/>
    <x v="12"/>
    <n v="32.200000000000003"/>
    <n v="128.80000000000001"/>
    <x v="64"/>
    <x v="69"/>
    <x v="1"/>
    <x v="0"/>
    <x v="0"/>
    <x v="0"/>
    <x v="22"/>
    <x v="14"/>
    <n v="10"/>
    <x v="1"/>
  </r>
  <r>
    <s v="TX501784"/>
    <x v="5"/>
    <x v="2"/>
    <n v="76.8"/>
    <n v="230.39999999999998"/>
    <x v="64"/>
    <x v="68"/>
    <x v="2"/>
    <x v="0"/>
    <x v="1"/>
    <x v="0"/>
    <x v="3"/>
    <x v="3"/>
    <n v="10"/>
    <x v="2"/>
  </r>
  <r>
    <s v="TX501785"/>
    <x v="6"/>
    <x v="1"/>
    <n v="41.9"/>
    <n v="83.8"/>
    <x v="64"/>
    <x v="70"/>
    <x v="2"/>
    <x v="0"/>
    <x v="0"/>
    <x v="0"/>
    <x v="3"/>
    <x v="1"/>
    <n v="10"/>
    <x v="2"/>
  </r>
  <r>
    <s v="TX501786"/>
    <x v="0"/>
    <x v="3"/>
    <n v="34"/>
    <n v="238"/>
    <x v="64"/>
    <x v="70"/>
    <x v="2"/>
    <x v="1"/>
    <x v="2"/>
    <x v="0"/>
    <x v="3"/>
    <x v="1"/>
    <n v="10"/>
    <x v="2"/>
  </r>
  <r>
    <s v="TX501787"/>
    <x v="7"/>
    <x v="3"/>
    <n v="61.3"/>
    <n v="429.09999999999997"/>
    <x v="64"/>
    <x v="66"/>
    <x v="2"/>
    <x v="4"/>
    <x v="2"/>
    <x v="0"/>
    <x v="3"/>
    <x v="7"/>
    <n v="10"/>
    <x v="2"/>
  </r>
  <r>
    <s v="TX501788"/>
    <x v="9"/>
    <x v="0"/>
    <n v="54.7"/>
    <n v="54.7"/>
    <x v="65"/>
    <x v="70"/>
    <x v="1"/>
    <x v="0"/>
    <x v="1"/>
    <x v="0"/>
    <x v="3"/>
    <x v="3"/>
    <n v="10"/>
    <x v="1"/>
  </r>
  <r>
    <s v="TX501789"/>
    <x v="6"/>
    <x v="7"/>
    <n v="84.7"/>
    <n v="847"/>
    <x v="65"/>
    <x v="71"/>
    <x v="2"/>
    <x v="0"/>
    <x v="0"/>
    <x v="0"/>
    <x v="3"/>
    <x v="5"/>
    <n v="10"/>
    <x v="2"/>
  </r>
  <r>
    <s v="TX501790"/>
    <x v="1"/>
    <x v="2"/>
    <n v="93.4"/>
    <n v="280.20000000000005"/>
    <x v="65"/>
    <x v="71"/>
    <x v="2"/>
    <x v="3"/>
    <x v="0"/>
    <x v="0"/>
    <x v="3"/>
    <x v="5"/>
    <n v="10"/>
    <x v="2"/>
  </r>
  <r>
    <s v="TX501791"/>
    <x v="8"/>
    <x v="9"/>
    <n v="27"/>
    <n v="135"/>
    <x v="65"/>
    <x v="65"/>
    <x v="1"/>
    <x v="0"/>
    <x v="1"/>
    <x v="0"/>
    <x v="3"/>
    <x v="2"/>
    <n v="10"/>
    <x v="1"/>
  </r>
  <r>
    <s v="TX501792"/>
    <x v="0"/>
    <x v="12"/>
    <n v="10.9"/>
    <n v="43.6"/>
    <x v="65"/>
    <x v="70"/>
    <x v="1"/>
    <x v="2"/>
    <x v="0"/>
    <x v="0"/>
    <x v="3"/>
    <x v="3"/>
    <n v="10"/>
    <x v="1"/>
  </r>
  <r>
    <s v="TX501793"/>
    <x v="16"/>
    <x v="2"/>
    <n v="48"/>
    <n v="144"/>
    <x v="65"/>
    <x v="74"/>
    <x v="2"/>
    <x v="4"/>
    <x v="0"/>
    <x v="0"/>
    <x v="3"/>
    <x v="0"/>
    <n v="10"/>
    <x v="2"/>
  </r>
  <r>
    <s v="TX501794"/>
    <x v="5"/>
    <x v="1"/>
    <n v="67.900000000000006"/>
    <n v="135.80000000000001"/>
    <x v="65"/>
    <x v="70"/>
    <x v="1"/>
    <x v="0"/>
    <x v="2"/>
    <x v="0"/>
    <x v="23"/>
    <x v="3"/>
    <n v="10"/>
    <x v="1"/>
  </r>
  <r>
    <s v="TX501795"/>
    <x v="4"/>
    <x v="2"/>
    <n v="36"/>
    <n v="108"/>
    <x v="65"/>
    <x v="70"/>
    <x v="1"/>
    <x v="1"/>
    <x v="0"/>
    <x v="0"/>
    <x v="6"/>
    <x v="3"/>
    <n v="10"/>
    <x v="1"/>
  </r>
  <r>
    <s v="TX501796"/>
    <x v="2"/>
    <x v="0"/>
    <n v="128.80000000000001"/>
    <n v="128.80000000000001"/>
    <x v="65"/>
    <x v="70"/>
    <x v="1"/>
    <x v="4"/>
    <x v="2"/>
    <x v="0"/>
    <x v="6"/>
    <x v="3"/>
    <n v="10"/>
    <x v="1"/>
  </r>
  <r>
    <s v="TX501797"/>
    <x v="18"/>
    <x v="3"/>
    <n v="33.299999999999997"/>
    <n v="233.09999999999997"/>
    <x v="65"/>
    <x v="70"/>
    <x v="2"/>
    <x v="3"/>
    <x v="0"/>
    <x v="0"/>
    <x v="8"/>
    <x v="3"/>
    <n v="10"/>
    <x v="2"/>
  </r>
  <r>
    <s v="TX501798"/>
    <x v="10"/>
    <x v="2"/>
    <n v="37.799999999999997"/>
    <n v="113.39999999999999"/>
    <x v="65"/>
    <x v="60"/>
    <x v="1"/>
    <x v="1"/>
    <x v="2"/>
    <x v="0"/>
    <x v="8"/>
    <x v="1"/>
    <n v="10"/>
    <x v="1"/>
  </r>
  <r>
    <s v="TX501799"/>
    <x v="5"/>
    <x v="2"/>
    <n v="26"/>
    <n v="78"/>
    <x v="65"/>
    <x v="74"/>
    <x v="2"/>
    <x v="0"/>
    <x v="0"/>
    <x v="0"/>
    <x v="8"/>
    <x v="0"/>
    <n v="10"/>
    <x v="2"/>
  </r>
  <r>
    <s v="TX501800"/>
    <x v="8"/>
    <x v="10"/>
    <n v="28.3"/>
    <n v="537.70000000000005"/>
    <x v="65"/>
    <x v="70"/>
    <x v="2"/>
    <x v="3"/>
    <x v="4"/>
    <x v="0"/>
    <x v="8"/>
    <x v="3"/>
    <n v="10"/>
    <x v="2"/>
  </r>
  <r>
    <s v="TX501801"/>
    <x v="8"/>
    <x v="12"/>
    <n v="31.3"/>
    <n v="125.2"/>
    <x v="65"/>
    <x v="68"/>
    <x v="2"/>
    <x v="0"/>
    <x v="0"/>
    <x v="0"/>
    <x v="8"/>
    <x v="7"/>
    <n v="10"/>
    <x v="2"/>
  </r>
  <r>
    <s v="TX501802"/>
    <x v="7"/>
    <x v="2"/>
    <n v="69.5"/>
    <n v="208.5"/>
    <x v="65"/>
    <x v="70"/>
    <x v="2"/>
    <x v="3"/>
    <x v="2"/>
    <x v="0"/>
    <x v="8"/>
    <x v="3"/>
    <n v="10"/>
    <x v="2"/>
  </r>
  <r>
    <s v="TX501803"/>
    <x v="0"/>
    <x v="1"/>
    <n v="16.7"/>
    <n v="33.4"/>
    <x v="65"/>
    <x v="70"/>
    <x v="2"/>
    <x v="3"/>
    <x v="1"/>
    <x v="0"/>
    <x v="8"/>
    <x v="3"/>
    <n v="10"/>
    <x v="2"/>
  </r>
  <r>
    <s v="TX501804"/>
    <x v="9"/>
    <x v="1"/>
    <n v="62.6"/>
    <n v="125.2"/>
    <x v="65"/>
    <x v="70"/>
    <x v="1"/>
    <x v="2"/>
    <x v="2"/>
    <x v="0"/>
    <x v="9"/>
    <x v="3"/>
    <n v="10"/>
    <x v="1"/>
  </r>
  <r>
    <s v="TX501805"/>
    <x v="7"/>
    <x v="0"/>
    <n v="81.2"/>
    <n v="81.2"/>
    <x v="65"/>
    <x v="64"/>
    <x v="1"/>
    <x v="4"/>
    <x v="4"/>
    <x v="0"/>
    <x v="9"/>
    <x v="4"/>
    <n v="10"/>
    <x v="1"/>
  </r>
  <r>
    <s v="TX501806"/>
    <x v="0"/>
    <x v="7"/>
    <n v="12.7"/>
    <n v="127"/>
    <x v="65"/>
    <x v="70"/>
    <x v="2"/>
    <x v="0"/>
    <x v="2"/>
    <x v="0"/>
    <x v="9"/>
    <x v="3"/>
    <n v="10"/>
    <x v="2"/>
  </r>
  <r>
    <s v="TX501807"/>
    <x v="7"/>
    <x v="12"/>
    <n v="77.7"/>
    <n v="310.8"/>
    <x v="66"/>
    <x v="74"/>
    <x v="1"/>
    <x v="1"/>
    <x v="0"/>
    <x v="0"/>
    <x v="11"/>
    <x v="5"/>
    <n v="10"/>
    <x v="1"/>
  </r>
  <r>
    <s v="TX501808"/>
    <x v="5"/>
    <x v="1"/>
    <n v="37.299999999999997"/>
    <n v="74.599999999999994"/>
    <x v="66"/>
    <x v="60"/>
    <x v="2"/>
    <x v="0"/>
    <x v="2"/>
    <x v="0"/>
    <x v="18"/>
    <x v="3"/>
    <n v="10"/>
    <x v="2"/>
  </r>
  <r>
    <s v="TX501809"/>
    <x v="10"/>
    <x v="12"/>
    <n v="35.6"/>
    <n v="142.4"/>
    <x v="66"/>
    <x v="65"/>
    <x v="2"/>
    <x v="1"/>
    <x v="1"/>
    <x v="0"/>
    <x v="19"/>
    <x v="1"/>
    <n v="10"/>
    <x v="2"/>
  </r>
  <r>
    <s v="TX501810"/>
    <x v="2"/>
    <x v="2"/>
    <n v="95"/>
    <n v="285"/>
    <x v="66"/>
    <x v="74"/>
    <x v="2"/>
    <x v="2"/>
    <x v="2"/>
    <x v="0"/>
    <x v="56"/>
    <x v="5"/>
    <n v="10"/>
    <x v="2"/>
  </r>
  <r>
    <s v="TX501811"/>
    <x v="2"/>
    <x v="12"/>
    <n v="172.1"/>
    <n v="688.4"/>
    <x v="66"/>
    <x v="74"/>
    <x v="3"/>
    <x v="2"/>
    <x v="2"/>
    <x v="0"/>
    <x v="21"/>
    <x v="5"/>
    <n v="10"/>
    <x v="3"/>
  </r>
  <r>
    <s v="TX501812"/>
    <x v="2"/>
    <x v="1"/>
    <n v="233"/>
    <n v="466"/>
    <x v="66"/>
    <x v="71"/>
    <x v="2"/>
    <x v="1"/>
    <x v="0"/>
    <x v="0"/>
    <x v="21"/>
    <x v="2"/>
    <n v="10"/>
    <x v="2"/>
  </r>
  <r>
    <s v="TX501813"/>
    <x v="0"/>
    <x v="0"/>
    <n v="43.5"/>
    <n v="43.5"/>
    <x v="66"/>
    <x v="60"/>
    <x v="2"/>
    <x v="2"/>
    <x v="2"/>
    <x v="0"/>
    <x v="21"/>
    <x v="3"/>
    <n v="10"/>
    <x v="2"/>
  </r>
  <r>
    <s v="TX501814"/>
    <x v="9"/>
    <x v="1"/>
    <n v="47.8"/>
    <n v="95.6"/>
    <x v="66"/>
    <x v="71"/>
    <x v="1"/>
    <x v="4"/>
    <x v="2"/>
    <x v="0"/>
    <x v="1"/>
    <x v="2"/>
    <n v="10"/>
    <x v="1"/>
  </r>
  <r>
    <s v="TX501815"/>
    <x v="12"/>
    <x v="1"/>
    <n v="65.8"/>
    <n v="131.6"/>
    <x v="66"/>
    <x v="65"/>
    <x v="2"/>
    <x v="0"/>
    <x v="3"/>
    <x v="0"/>
    <x v="33"/>
    <x v="1"/>
    <n v="10"/>
    <x v="2"/>
  </r>
  <r>
    <s v="TX501816"/>
    <x v="15"/>
    <x v="5"/>
    <n v="38.700000000000003"/>
    <n v="425.70000000000005"/>
    <x v="66"/>
    <x v="70"/>
    <x v="1"/>
    <x v="0"/>
    <x v="0"/>
    <x v="0"/>
    <x v="22"/>
    <x v="7"/>
    <n v="10"/>
    <x v="1"/>
  </r>
  <r>
    <s v="TX501817"/>
    <x v="3"/>
    <x v="12"/>
    <n v="55.7"/>
    <n v="222.8"/>
    <x v="66"/>
    <x v="65"/>
    <x v="3"/>
    <x v="0"/>
    <x v="1"/>
    <x v="0"/>
    <x v="22"/>
    <x v="1"/>
    <n v="10"/>
    <x v="3"/>
  </r>
  <r>
    <s v="TX501818"/>
    <x v="7"/>
    <x v="1"/>
    <n v="102.4"/>
    <n v="204.8"/>
    <x v="66"/>
    <x v="70"/>
    <x v="2"/>
    <x v="1"/>
    <x v="0"/>
    <x v="0"/>
    <x v="3"/>
    <x v="7"/>
    <n v="10"/>
    <x v="2"/>
  </r>
  <r>
    <s v="TX501819"/>
    <x v="1"/>
    <x v="0"/>
    <n v="92"/>
    <n v="92"/>
    <x v="66"/>
    <x v="74"/>
    <x v="0"/>
    <x v="2"/>
    <x v="0"/>
    <x v="0"/>
    <x v="3"/>
    <x v="5"/>
    <n v="10"/>
    <x v="0"/>
  </r>
  <r>
    <s v="TX501820"/>
    <x v="6"/>
    <x v="12"/>
    <n v="75.900000000000006"/>
    <n v="303.60000000000002"/>
    <x v="66"/>
    <x v="65"/>
    <x v="2"/>
    <x v="1"/>
    <x v="0"/>
    <x v="0"/>
    <x v="3"/>
    <x v="1"/>
    <n v="10"/>
    <x v="2"/>
  </r>
  <r>
    <s v="TX501821"/>
    <x v="1"/>
    <x v="12"/>
    <n v="36.200000000000003"/>
    <n v="144.80000000000001"/>
    <x v="66"/>
    <x v="60"/>
    <x v="2"/>
    <x v="1"/>
    <x v="0"/>
    <x v="0"/>
    <x v="3"/>
    <x v="3"/>
    <n v="10"/>
    <x v="2"/>
  </r>
  <r>
    <s v="TX501822"/>
    <x v="6"/>
    <x v="45"/>
    <n v="83.5"/>
    <n v="7264.5"/>
    <x v="66"/>
    <x v="65"/>
    <x v="0"/>
    <x v="3"/>
    <x v="0"/>
    <x v="0"/>
    <x v="3"/>
    <x v="1"/>
    <n v="10"/>
    <x v="0"/>
  </r>
  <r>
    <s v="TX501823"/>
    <x v="19"/>
    <x v="4"/>
    <n v="52.4"/>
    <n v="628.79999999999995"/>
    <x v="66"/>
    <x v="70"/>
    <x v="1"/>
    <x v="2"/>
    <x v="0"/>
    <x v="0"/>
    <x v="3"/>
    <x v="7"/>
    <n v="10"/>
    <x v="1"/>
  </r>
  <r>
    <s v="TX501824"/>
    <x v="12"/>
    <x v="2"/>
    <n v="69.5"/>
    <n v="208.5"/>
    <x v="66"/>
    <x v="60"/>
    <x v="3"/>
    <x v="4"/>
    <x v="0"/>
    <x v="0"/>
    <x v="3"/>
    <x v="3"/>
    <n v="10"/>
    <x v="3"/>
  </r>
  <r>
    <s v="TX501825"/>
    <x v="0"/>
    <x v="0"/>
    <n v="15.5"/>
    <n v="15.5"/>
    <x v="66"/>
    <x v="65"/>
    <x v="1"/>
    <x v="0"/>
    <x v="0"/>
    <x v="0"/>
    <x v="3"/>
    <x v="1"/>
    <n v="10"/>
    <x v="1"/>
  </r>
  <r>
    <s v="TX501826"/>
    <x v="4"/>
    <x v="12"/>
    <n v="35.200000000000003"/>
    <n v="140.80000000000001"/>
    <x v="66"/>
    <x v="60"/>
    <x v="2"/>
    <x v="2"/>
    <x v="2"/>
    <x v="0"/>
    <x v="3"/>
    <x v="3"/>
    <n v="10"/>
    <x v="2"/>
  </r>
  <r>
    <s v="TX501827"/>
    <x v="8"/>
    <x v="13"/>
    <n v="34.6"/>
    <n v="207.60000000000002"/>
    <x v="66"/>
    <x v="60"/>
    <x v="0"/>
    <x v="0"/>
    <x v="1"/>
    <x v="0"/>
    <x v="3"/>
    <x v="3"/>
    <n v="10"/>
    <x v="0"/>
  </r>
  <r>
    <s v="TX501828"/>
    <x v="4"/>
    <x v="0"/>
    <n v="21.3"/>
    <n v="21.3"/>
    <x v="67"/>
    <x v="65"/>
    <x v="1"/>
    <x v="2"/>
    <x v="1"/>
    <x v="0"/>
    <x v="3"/>
    <x v="3"/>
    <n v="11"/>
    <x v="1"/>
  </r>
  <r>
    <s v="TX501829"/>
    <x v="6"/>
    <x v="1"/>
    <n v="136.5"/>
    <n v="273"/>
    <x v="67"/>
    <x v="72"/>
    <x v="2"/>
    <x v="0"/>
    <x v="0"/>
    <x v="0"/>
    <x v="37"/>
    <x v="4"/>
    <n v="11"/>
    <x v="2"/>
  </r>
  <r>
    <s v="TX501830"/>
    <x v="9"/>
    <x v="3"/>
    <n v="30.7"/>
    <n v="214.9"/>
    <x v="67"/>
    <x v="65"/>
    <x v="1"/>
    <x v="2"/>
    <x v="2"/>
    <x v="0"/>
    <x v="25"/>
    <x v="3"/>
    <n v="11"/>
    <x v="1"/>
  </r>
  <r>
    <s v="TX501831"/>
    <x v="1"/>
    <x v="1"/>
    <n v="61.6"/>
    <n v="123.2"/>
    <x v="67"/>
    <x v="65"/>
    <x v="2"/>
    <x v="2"/>
    <x v="2"/>
    <x v="0"/>
    <x v="23"/>
    <x v="3"/>
    <n v="11"/>
    <x v="2"/>
  </r>
  <r>
    <s v="TX501832"/>
    <x v="6"/>
    <x v="12"/>
    <n v="54.3"/>
    <n v="217.2"/>
    <x v="67"/>
    <x v="71"/>
    <x v="0"/>
    <x v="4"/>
    <x v="0"/>
    <x v="0"/>
    <x v="7"/>
    <x v="1"/>
    <n v="11"/>
    <x v="0"/>
  </r>
  <r>
    <s v="TX501833"/>
    <x v="1"/>
    <x v="1"/>
    <n v="44.1"/>
    <n v="88.2"/>
    <x v="67"/>
    <x v="75"/>
    <x v="2"/>
    <x v="0"/>
    <x v="2"/>
    <x v="0"/>
    <x v="8"/>
    <x v="13"/>
    <n v="11"/>
    <x v="2"/>
  </r>
  <r>
    <s v="TX501834"/>
    <x v="8"/>
    <x v="12"/>
    <n v="43.5"/>
    <n v="174"/>
    <x v="67"/>
    <x v="72"/>
    <x v="1"/>
    <x v="3"/>
    <x v="0"/>
    <x v="0"/>
    <x v="8"/>
    <x v="4"/>
    <n v="11"/>
    <x v="1"/>
  </r>
  <r>
    <s v="TX501835"/>
    <x v="8"/>
    <x v="2"/>
    <n v="48.2"/>
    <n v="144.60000000000002"/>
    <x v="67"/>
    <x v="64"/>
    <x v="1"/>
    <x v="3"/>
    <x v="1"/>
    <x v="0"/>
    <x v="8"/>
    <x v="5"/>
    <n v="11"/>
    <x v="1"/>
  </r>
  <r>
    <s v="TX501836"/>
    <x v="19"/>
    <x v="0"/>
    <n v="13.7"/>
    <n v="13.7"/>
    <x v="67"/>
    <x v="65"/>
    <x v="2"/>
    <x v="2"/>
    <x v="2"/>
    <x v="0"/>
    <x v="8"/>
    <x v="3"/>
    <n v="11"/>
    <x v="2"/>
  </r>
  <r>
    <s v="TX501837"/>
    <x v="2"/>
    <x v="1"/>
    <n v="110.5"/>
    <n v="221"/>
    <x v="67"/>
    <x v="65"/>
    <x v="2"/>
    <x v="0"/>
    <x v="1"/>
    <x v="0"/>
    <x v="8"/>
    <x v="3"/>
    <n v="11"/>
    <x v="2"/>
  </r>
  <r>
    <s v="TX501838"/>
    <x v="8"/>
    <x v="2"/>
    <n v="26"/>
    <n v="78"/>
    <x v="67"/>
    <x v="67"/>
    <x v="2"/>
    <x v="1"/>
    <x v="1"/>
    <x v="0"/>
    <x v="8"/>
    <x v="0"/>
    <n v="11"/>
    <x v="2"/>
  </r>
  <r>
    <s v="TX501839"/>
    <x v="2"/>
    <x v="7"/>
    <n v="140.69999999999999"/>
    <n v="1407"/>
    <x v="67"/>
    <x v="72"/>
    <x v="1"/>
    <x v="3"/>
    <x v="1"/>
    <x v="0"/>
    <x v="8"/>
    <x v="4"/>
    <n v="11"/>
    <x v="1"/>
  </r>
  <r>
    <s v="TX501840"/>
    <x v="17"/>
    <x v="1"/>
    <n v="41.7"/>
    <n v="83.4"/>
    <x v="67"/>
    <x v="76"/>
    <x v="2"/>
    <x v="0"/>
    <x v="4"/>
    <x v="0"/>
    <x v="8"/>
    <x v="9"/>
    <n v="11"/>
    <x v="2"/>
  </r>
  <r>
    <s v="TX501841"/>
    <x v="2"/>
    <x v="1"/>
    <n v="135.1"/>
    <n v="270.2"/>
    <x v="67"/>
    <x v="65"/>
    <x v="1"/>
    <x v="0"/>
    <x v="2"/>
    <x v="0"/>
    <x v="17"/>
    <x v="3"/>
    <n v="11"/>
    <x v="1"/>
  </r>
  <r>
    <s v="TX501842"/>
    <x v="12"/>
    <x v="32"/>
    <n v="95.5"/>
    <n v="2101"/>
    <x v="67"/>
    <x v="65"/>
    <x v="2"/>
    <x v="4"/>
    <x v="4"/>
    <x v="0"/>
    <x v="26"/>
    <x v="3"/>
    <n v="11"/>
    <x v="2"/>
  </r>
  <r>
    <s v="TX501843"/>
    <x v="15"/>
    <x v="0"/>
    <n v="25.5"/>
    <n v="25.5"/>
    <x v="67"/>
    <x v="74"/>
    <x v="0"/>
    <x v="2"/>
    <x v="2"/>
    <x v="0"/>
    <x v="11"/>
    <x v="2"/>
    <n v="11"/>
    <x v="0"/>
  </r>
  <r>
    <s v="TX501844"/>
    <x v="1"/>
    <x v="0"/>
    <n v="42.6"/>
    <n v="42.6"/>
    <x v="67"/>
    <x v="64"/>
    <x v="2"/>
    <x v="0"/>
    <x v="0"/>
    <x v="0"/>
    <x v="11"/>
    <x v="5"/>
    <n v="11"/>
    <x v="2"/>
  </r>
  <r>
    <s v="TX501845"/>
    <x v="8"/>
    <x v="20"/>
    <n v="32.4"/>
    <n v="486"/>
    <x v="67"/>
    <x v="65"/>
    <x v="1"/>
    <x v="1"/>
    <x v="1"/>
    <x v="0"/>
    <x v="11"/>
    <x v="3"/>
    <n v="11"/>
    <x v="1"/>
  </r>
  <r>
    <s v="TX501846"/>
    <x v="4"/>
    <x v="12"/>
    <n v="20.2"/>
    <n v="80.8"/>
    <x v="67"/>
    <x v="65"/>
    <x v="3"/>
    <x v="2"/>
    <x v="0"/>
    <x v="0"/>
    <x v="11"/>
    <x v="3"/>
    <n v="11"/>
    <x v="3"/>
  </r>
  <r>
    <s v="TX501847"/>
    <x v="16"/>
    <x v="2"/>
    <n v="52.5"/>
    <n v="157.5"/>
    <x v="67"/>
    <x v="67"/>
    <x v="2"/>
    <x v="4"/>
    <x v="0"/>
    <x v="0"/>
    <x v="18"/>
    <x v="0"/>
    <n v="11"/>
    <x v="2"/>
  </r>
  <r>
    <s v="TX501848"/>
    <x v="2"/>
    <x v="9"/>
    <n v="59.9"/>
    <n v="299.5"/>
    <x v="67"/>
    <x v="71"/>
    <x v="2"/>
    <x v="2"/>
    <x v="0"/>
    <x v="0"/>
    <x v="19"/>
    <x v="1"/>
    <n v="11"/>
    <x v="2"/>
  </r>
  <r>
    <s v="TX501849"/>
    <x v="4"/>
    <x v="1"/>
    <n v="53.2"/>
    <n v="106.4"/>
    <x v="67"/>
    <x v="65"/>
    <x v="2"/>
    <x v="1"/>
    <x v="3"/>
    <x v="0"/>
    <x v="20"/>
    <x v="3"/>
    <n v="11"/>
    <x v="2"/>
  </r>
  <r>
    <s v="TX501850"/>
    <x v="2"/>
    <x v="1"/>
    <n v="60"/>
    <n v="120"/>
    <x v="67"/>
    <x v="72"/>
    <x v="1"/>
    <x v="1"/>
    <x v="2"/>
    <x v="0"/>
    <x v="20"/>
    <x v="4"/>
    <n v="11"/>
    <x v="1"/>
  </r>
  <r>
    <s v="TX501851"/>
    <x v="8"/>
    <x v="2"/>
    <n v="29.3"/>
    <n v="87.9"/>
    <x v="67"/>
    <x v="65"/>
    <x v="2"/>
    <x v="4"/>
    <x v="0"/>
    <x v="0"/>
    <x v="13"/>
    <x v="3"/>
    <n v="11"/>
    <x v="2"/>
  </r>
  <r>
    <s v="TX501852"/>
    <x v="12"/>
    <x v="1"/>
    <n v="55.4"/>
    <n v="110.8"/>
    <x v="67"/>
    <x v="65"/>
    <x v="2"/>
    <x v="0"/>
    <x v="2"/>
    <x v="0"/>
    <x v="21"/>
    <x v="3"/>
    <n v="11"/>
    <x v="2"/>
  </r>
  <r>
    <s v="TX501853"/>
    <x v="0"/>
    <x v="9"/>
    <n v="20.100000000000001"/>
    <n v="100.5"/>
    <x v="67"/>
    <x v="71"/>
    <x v="2"/>
    <x v="1"/>
    <x v="2"/>
    <x v="0"/>
    <x v="21"/>
    <x v="1"/>
    <n v="11"/>
    <x v="2"/>
  </r>
  <r>
    <s v="TX501854"/>
    <x v="14"/>
    <x v="9"/>
    <n v="24"/>
    <n v="120"/>
    <x v="67"/>
    <x v="74"/>
    <x v="1"/>
    <x v="2"/>
    <x v="0"/>
    <x v="0"/>
    <x v="1"/>
    <x v="2"/>
    <n v="11"/>
    <x v="1"/>
  </r>
  <r>
    <s v="TX501855"/>
    <x v="8"/>
    <x v="1"/>
    <n v="30.6"/>
    <n v="61.2"/>
    <x v="68"/>
    <x v="74"/>
    <x v="2"/>
    <x v="0"/>
    <x v="0"/>
    <x v="0"/>
    <x v="1"/>
    <x v="1"/>
    <n v="11"/>
    <x v="2"/>
  </r>
  <r>
    <s v="TX501856"/>
    <x v="10"/>
    <x v="9"/>
    <n v="33"/>
    <n v="165"/>
    <x v="68"/>
    <x v="71"/>
    <x v="1"/>
    <x v="1"/>
    <x v="1"/>
    <x v="0"/>
    <x v="27"/>
    <x v="3"/>
    <n v="11"/>
    <x v="1"/>
  </r>
  <r>
    <s v="TX501857"/>
    <x v="17"/>
    <x v="11"/>
    <n v="42.1"/>
    <n v="378.90000000000003"/>
    <x v="68"/>
    <x v="69"/>
    <x v="2"/>
    <x v="2"/>
    <x v="0"/>
    <x v="0"/>
    <x v="44"/>
    <x v="4"/>
    <n v="11"/>
    <x v="2"/>
  </r>
  <r>
    <s v="TX501858"/>
    <x v="6"/>
    <x v="3"/>
    <n v="77.7"/>
    <n v="543.9"/>
    <x v="68"/>
    <x v="72"/>
    <x v="2"/>
    <x v="1"/>
    <x v="2"/>
    <x v="0"/>
    <x v="50"/>
    <x v="0"/>
    <n v="11"/>
    <x v="2"/>
  </r>
  <r>
    <s v="TX501859"/>
    <x v="17"/>
    <x v="13"/>
    <n v="22.7"/>
    <n v="136.19999999999999"/>
    <x v="68"/>
    <x v="64"/>
    <x v="2"/>
    <x v="2"/>
    <x v="0"/>
    <x v="0"/>
    <x v="3"/>
    <x v="2"/>
    <n v="11"/>
    <x v="2"/>
  </r>
  <r>
    <s v="TX501860"/>
    <x v="2"/>
    <x v="1"/>
    <n v="133"/>
    <n v="266"/>
    <x v="68"/>
    <x v="65"/>
    <x v="1"/>
    <x v="2"/>
    <x v="2"/>
    <x v="0"/>
    <x v="3"/>
    <x v="7"/>
    <n v="11"/>
    <x v="1"/>
  </r>
  <r>
    <s v="TX501861"/>
    <x v="0"/>
    <x v="1"/>
    <n v="23.3"/>
    <n v="46.6"/>
    <x v="68"/>
    <x v="71"/>
    <x v="1"/>
    <x v="1"/>
    <x v="2"/>
    <x v="0"/>
    <x v="3"/>
    <x v="3"/>
    <n v="11"/>
    <x v="1"/>
  </r>
  <r>
    <s v="TX501862"/>
    <x v="8"/>
    <x v="2"/>
    <n v="20.7"/>
    <n v="62.099999999999994"/>
    <x v="68"/>
    <x v="74"/>
    <x v="3"/>
    <x v="0"/>
    <x v="2"/>
    <x v="0"/>
    <x v="3"/>
    <x v="1"/>
    <n v="11"/>
    <x v="3"/>
  </r>
  <r>
    <s v="TX501863"/>
    <x v="12"/>
    <x v="1"/>
    <n v="47"/>
    <n v="94"/>
    <x v="68"/>
    <x v="71"/>
    <x v="1"/>
    <x v="1"/>
    <x v="2"/>
    <x v="0"/>
    <x v="3"/>
    <x v="3"/>
    <n v="11"/>
    <x v="1"/>
  </r>
  <r>
    <s v="TX501864"/>
    <x v="12"/>
    <x v="2"/>
    <n v="38.200000000000003"/>
    <n v="114.60000000000001"/>
    <x v="68"/>
    <x v="74"/>
    <x v="2"/>
    <x v="2"/>
    <x v="4"/>
    <x v="0"/>
    <x v="3"/>
    <x v="1"/>
    <n v="11"/>
    <x v="2"/>
  </r>
  <r>
    <s v="TX501865"/>
    <x v="9"/>
    <x v="0"/>
    <n v="39.1"/>
    <n v="39.1"/>
    <x v="68"/>
    <x v="74"/>
    <x v="2"/>
    <x v="0"/>
    <x v="0"/>
    <x v="0"/>
    <x v="3"/>
    <x v="1"/>
    <n v="11"/>
    <x v="2"/>
  </r>
  <r>
    <s v="TX501866"/>
    <x v="7"/>
    <x v="30"/>
    <n v="55.6"/>
    <n v="1390"/>
    <x v="68"/>
    <x v="74"/>
    <x v="1"/>
    <x v="0"/>
    <x v="2"/>
    <x v="0"/>
    <x v="3"/>
    <x v="1"/>
    <n v="11"/>
    <x v="1"/>
  </r>
  <r>
    <s v="TX501867"/>
    <x v="15"/>
    <x v="0"/>
    <n v="43.1"/>
    <n v="43.1"/>
    <x v="68"/>
    <x v="65"/>
    <x v="3"/>
    <x v="1"/>
    <x v="2"/>
    <x v="0"/>
    <x v="3"/>
    <x v="7"/>
    <n v="11"/>
    <x v="3"/>
  </r>
  <r>
    <s v="TX501868"/>
    <x v="6"/>
    <x v="12"/>
    <n v="48.1"/>
    <n v="192.4"/>
    <x v="68"/>
    <x v="71"/>
    <x v="2"/>
    <x v="4"/>
    <x v="2"/>
    <x v="0"/>
    <x v="3"/>
    <x v="3"/>
    <n v="11"/>
    <x v="2"/>
  </r>
  <r>
    <s v="TX501869"/>
    <x v="4"/>
    <x v="0"/>
    <n v="42"/>
    <n v="42"/>
    <x v="68"/>
    <x v="71"/>
    <x v="3"/>
    <x v="0"/>
    <x v="0"/>
    <x v="0"/>
    <x v="3"/>
    <x v="3"/>
    <n v="11"/>
    <x v="3"/>
  </r>
  <r>
    <s v="TX501870"/>
    <x v="8"/>
    <x v="9"/>
    <n v="18.3"/>
    <n v="91.5"/>
    <x v="68"/>
    <x v="65"/>
    <x v="2"/>
    <x v="2"/>
    <x v="0"/>
    <x v="0"/>
    <x v="3"/>
    <x v="7"/>
    <n v="11"/>
    <x v="2"/>
  </r>
  <r>
    <s v="TX501871"/>
    <x v="10"/>
    <x v="12"/>
    <n v="45.3"/>
    <n v="181.2"/>
    <x v="68"/>
    <x v="64"/>
    <x v="2"/>
    <x v="0"/>
    <x v="2"/>
    <x v="0"/>
    <x v="3"/>
    <x v="2"/>
    <n v="11"/>
    <x v="2"/>
  </r>
  <r>
    <s v="TX501872"/>
    <x v="0"/>
    <x v="1"/>
    <n v="27.6"/>
    <n v="55.2"/>
    <x v="68"/>
    <x v="74"/>
    <x v="1"/>
    <x v="0"/>
    <x v="2"/>
    <x v="0"/>
    <x v="37"/>
    <x v="1"/>
    <n v="11"/>
    <x v="1"/>
  </r>
  <r>
    <s v="TX501873"/>
    <x v="4"/>
    <x v="9"/>
    <n v="26.9"/>
    <n v="134.5"/>
    <x v="68"/>
    <x v="71"/>
    <x v="2"/>
    <x v="2"/>
    <x v="0"/>
    <x v="0"/>
    <x v="25"/>
    <x v="3"/>
    <n v="11"/>
    <x v="2"/>
  </r>
  <r>
    <s v="TX501874"/>
    <x v="2"/>
    <x v="11"/>
    <n v="82.4"/>
    <n v="741.6"/>
    <x v="68"/>
    <x v="74"/>
    <x v="3"/>
    <x v="2"/>
    <x v="0"/>
    <x v="0"/>
    <x v="5"/>
    <x v="1"/>
    <n v="11"/>
    <x v="3"/>
  </r>
  <r>
    <s v="TX501875"/>
    <x v="6"/>
    <x v="0"/>
    <n v="103.7"/>
    <n v="103.7"/>
    <x v="68"/>
    <x v="74"/>
    <x v="2"/>
    <x v="1"/>
    <x v="0"/>
    <x v="0"/>
    <x v="5"/>
    <x v="1"/>
    <n v="11"/>
    <x v="2"/>
  </r>
  <r>
    <s v="TX501876"/>
    <x v="2"/>
    <x v="1"/>
    <n v="58.8"/>
    <n v="117.6"/>
    <x v="68"/>
    <x v="72"/>
    <x v="2"/>
    <x v="1"/>
    <x v="2"/>
    <x v="0"/>
    <x v="6"/>
    <x v="0"/>
    <n v="11"/>
    <x v="2"/>
  </r>
  <r>
    <s v="TX501877"/>
    <x v="13"/>
    <x v="0"/>
    <n v="31.5"/>
    <n v="31.5"/>
    <x v="68"/>
    <x v="71"/>
    <x v="2"/>
    <x v="1"/>
    <x v="1"/>
    <x v="0"/>
    <x v="6"/>
    <x v="3"/>
    <n v="11"/>
    <x v="2"/>
  </r>
  <r>
    <s v="TX501878"/>
    <x v="7"/>
    <x v="9"/>
    <n v="36.799999999999997"/>
    <n v="184"/>
    <x v="68"/>
    <x v="74"/>
    <x v="2"/>
    <x v="0"/>
    <x v="0"/>
    <x v="0"/>
    <x v="8"/>
    <x v="1"/>
    <n v="11"/>
    <x v="2"/>
  </r>
  <r>
    <s v="TX501879"/>
    <x v="3"/>
    <x v="0"/>
    <n v="84.4"/>
    <n v="84.4"/>
    <x v="68"/>
    <x v="71"/>
    <x v="2"/>
    <x v="0"/>
    <x v="0"/>
    <x v="0"/>
    <x v="8"/>
    <x v="3"/>
    <n v="11"/>
    <x v="2"/>
  </r>
  <r>
    <s v="TX501880"/>
    <x v="14"/>
    <x v="0"/>
    <n v="44.7"/>
    <n v="44.7"/>
    <x v="68"/>
    <x v="71"/>
    <x v="1"/>
    <x v="0"/>
    <x v="1"/>
    <x v="0"/>
    <x v="8"/>
    <x v="3"/>
    <n v="11"/>
    <x v="1"/>
  </r>
  <r>
    <s v="TX501881"/>
    <x v="9"/>
    <x v="8"/>
    <n v="39.4"/>
    <n v="315.2"/>
    <x v="68"/>
    <x v="71"/>
    <x v="2"/>
    <x v="1"/>
    <x v="2"/>
    <x v="0"/>
    <x v="8"/>
    <x v="3"/>
    <n v="11"/>
    <x v="2"/>
  </r>
  <r>
    <s v="TX501882"/>
    <x v="11"/>
    <x v="12"/>
    <n v="34.9"/>
    <n v="139.6"/>
    <x v="68"/>
    <x v="74"/>
    <x v="2"/>
    <x v="0"/>
    <x v="2"/>
    <x v="0"/>
    <x v="8"/>
    <x v="1"/>
    <n v="11"/>
    <x v="2"/>
  </r>
  <r>
    <s v="TX501883"/>
    <x v="1"/>
    <x v="2"/>
    <n v="62.3"/>
    <n v="186.89999999999998"/>
    <x v="68"/>
    <x v="74"/>
    <x v="1"/>
    <x v="4"/>
    <x v="2"/>
    <x v="0"/>
    <x v="8"/>
    <x v="1"/>
    <n v="11"/>
    <x v="1"/>
  </r>
  <r>
    <s v="TX501884"/>
    <x v="8"/>
    <x v="12"/>
    <n v="21.1"/>
    <n v="84.4"/>
    <x v="68"/>
    <x v="64"/>
    <x v="1"/>
    <x v="3"/>
    <x v="0"/>
    <x v="0"/>
    <x v="8"/>
    <x v="2"/>
    <n v="11"/>
    <x v="1"/>
  </r>
  <r>
    <s v="TX501885"/>
    <x v="8"/>
    <x v="2"/>
    <n v="33.200000000000003"/>
    <n v="99.600000000000009"/>
    <x v="68"/>
    <x v="77"/>
    <x v="0"/>
    <x v="0"/>
    <x v="4"/>
    <x v="0"/>
    <x v="8"/>
    <x v="12"/>
    <n v="11"/>
    <x v="0"/>
  </r>
  <r>
    <s v="TX501886"/>
    <x v="1"/>
    <x v="12"/>
    <n v="74.5"/>
    <n v="298"/>
    <x v="68"/>
    <x v="71"/>
    <x v="1"/>
    <x v="4"/>
    <x v="0"/>
    <x v="0"/>
    <x v="8"/>
    <x v="3"/>
    <n v="11"/>
    <x v="1"/>
  </r>
  <r>
    <s v="TX501887"/>
    <x v="10"/>
    <x v="4"/>
    <n v="68.599999999999994"/>
    <n v="823.19999999999993"/>
    <x v="68"/>
    <x v="64"/>
    <x v="2"/>
    <x v="0"/>
    <x v="2"/>
    <x v="0"/>
    <x v="8"/>
    <x v="2"/>
    <n v="11"/>
    <x v="2"/>
  </r>
  <r>
    <s v="TX501888"/>
    <x v="5"/>
    <x v="21"/>
    <n v="36.4"/>
    <n v="509.59999999999997"/>
    <x v="68"/>
    <x v="74"/>
    <x v="2"/>
    <x v="0"/>
    <x v="1"/>
    <x v="0"/>
    <x v="9"/>
    <x v="1"/>
    <n v="11"/>
    <x v="2"/>
  </r>
  <r>
    <s v="TX501889"/>
    <x v="16"/>
    <x v="9"/>
    <n v="67.599999999999994"/>
    <n v="338"/>
    <x v="69"/>
    <x v="67"/>
    <x v="2"/>
    <x v="4"/>
    <x v="1"/>
    <x v="0"/>
    <x v="9"/>
    <x v="2"/>
    <n v="11"/>
    <x v="2"/>
  </r>
  <r>
    <s v="TX501890"/>
    <x v="15"/>
    <x v="0"/>
    <n v="46.3"/>
    <n v="46.3"/>
    <x v="69"/>
    <x v="74"/>
    <x v="1"/>
    <x v="2"/>
    <x v="0"/>
    <x v="0"/>
    <x v="9"/>
    <x v="3"/>
    <n v="11"/>
    <x v="1"/>
  </r>
  <r>
    <s v="TX501891"/>
    <x v="1"/>
    <x v="2"/>
    <n v="124.2"/>
    <n v="372.6"/>
    <x v="69"/>
    <x v="64"/>
    <x v="2"/>
    <x v="1"/>
    <x v="2"/>
    <x v="0"/>
    <x v="11"/>
    <x v="1"/>
    <n v="11"/>
    <x v="2"/>
  </r>
  <r>
    <s v="TX501892"/>
    <x v="10"/>
    <x v="1"/>
    <n v="37"/>
    <n v="74"/>
    <x v="69"/>
    <x v="76"/>
    <x v="1"/>
    <x v="0"/>
    <x v="0"/>
    <x v="0"/>
    <x v="11"/>
    <x v="4"/>
    <n v="11"/>
    <x v="1"/>
  </r>
  <r>
    <s v="TX501893"/>
    <x v="5"/>
    <x v="0"/>
    <n v="41.8"/>
    <n v="41.8"/>
    <x v="69"/>
    <x v="74"/>
    <x v="1"/>
    <x v="2"/>
    <x v="0"/>
    <x v="0"/>
    <x v="31"/>
    <x v="3"/>
    <n v="11"/>
    <x v="1"/>
  </r>
  <r>
    <s v="TX501894"/>
    <x v="9"/>
    <x v="1"/>
    <n v="57.2"/>
    <n v="114.4"/>
    <x v="69"/>
    <x v="64"/>
    <x v="1"/>
    <x v="2"/>
    <x v="1"/>
    <x v="0"/>
    <x v="20"/>
    <x v="1"/>
    <n v="11"/>
    <x v="1"/>
  </r>
  <r>
    <s v="TX501895"/>
    <x v="6"/>
    <x v="1"/>
    <n v="47.1"/>
    <n v="94.2"/>
    <x v="69"/>
    <x v="64"/>
    <x v="2"/>
    <x v="0"/>
    <x v="4"/>
    <x v="0"/>
    <x v="20"/>
    <x v="1"/>
    <n v="11"/>
    <x v="2"/>
  </r>
  <r>
    <s v="TX501896"/>
    <x v="5"/>
    <x v="2"/>
    <n v="86.4"/>
    <n v="259.20000000000005"/>
    <x v="69"/>
    <x v="74"/>
    <x v="1"/>
    <x v="2"/>
    <x v="1"/>
    <x v="0"/>
    <x v="52"/>
    <x v="3"/>
    <n v="11"/>
    <x v="1"/>
  </r>
  <r>
    <s v="TX501897"/>
    <x v="6"/>
    <x v="9"/>
    <n v="105"/>
    <n v="525"/>
    <x v="69"/>
    <x v="67"/>
    <x v="1"/>
    <x v="0"/>
    <x v="0"/>
    <x v="0"/>
    <x v="13"/>
    <x v="2"/>
    <n v="11"/>
    <x v="1"/>
  </r>
  <r>
    <s v="TX501898"/>
    <x v="18"/>
    <x v="0"/>
    <n v="33"/>
    <n v="33"/>
    <x v="69"/>
    <x v="67"/>
    <x v="1"/>
    <x v="4"/>
    <x v="0"/>
    <x v="0"/>
    <x v="21"/>
    <x v="2"/>
    <n v="11"/>
    <x v="1"/>
  </r>
  <r>
    <s v="TX501899"/>
    <x v="6"/>
    <x v="9"/>
    <n v="106.6"/>
    <n v="533"/>
    <x v="69"/>
    <x v="77"/>
    <x v="2"/>
    <x v="2"/>
    <x v="0"/>
    <x v="0"/>
    <x v="1"/>
    <x v="10"/>
    <n v="11"/>
    <x v="2"/>
  </r>
  <r>
    <s v="TX501900"/>
    <x v="10"/>
    <x v="46"/>
    <n v="26.8"/>
    <n v="857.6"/>
    <x v="69"/>
    <x v="74"/>
    <x v="2"/>
    <x v="2"/>
    <x v="0"/>
    <x v="0"/>
    <x v="1"/>
    <x v="3"/>
    <n v="11"/>
    <x v="2"/>
  </r>
  <r>
    <s v="TX501901"/>
    <x v="17"/>
    <x v="9"/>
    <n v="25.8"/>
    <n v="129"/>
    <x v="69"/>
    <x v="71"/>
    <x v="2"/>
    <x v="1"/>
    <x v="2"/>
    <x v="0"/>
    <x v="3"/>
    <x v="7"/>
    <n v="11"/>
    <x v="2"/>
  </r>
  <r>
    <s v="TX501902"/>
    <x v="2"/>
    <x v="2"/>
    <n v="217"/>
    <n v="651"/>
    <x v="69"/>
    <x v="74"/>
    <x v="2"/>
    <x v="1"/>
    <x v="1"/>
    <x v="0"/>
    <x v="3"/>
    <x v="3"/>
    <n v="11"/>
    <x v="2"/>
  </r>
  <r>
    <s v="TX501903"/>
    <x v="2"/>
    <x v="1"/>
    <n v="97.3"/>
    <n v="194.6"/>
    <x v="69"/>
    <x v="74"/>
    <x v="1"/>
    <x v="2"/>
    <x v="4"/>
    <x v="0"/>
    <x v="3"/>
    <x v="3"/>
    <n v="11"/>
    <x v="1"/>
  </r>
  <r>
    <s v="TX501904"/>
    <x v="1"/>
    <x v="0"/>
    <n v="49.8"/>
    <n v="49.8"/>
    <x v="69"/>
    <x v="74"/>
    <x v="2"/>
    <x v="0"/>
    <x v="0"/>
    <x v="0"/>
    <x v="3"/>
    <x v="3"/>
    <n v="11"/>
    <x v="2"/>
  </r>
  <r>
    <s v="TX501905"/>
    <x v="12"/>
    <x v="9"/>
    <n v="32.6"/>
    <n v="163"/>
    <x v="69"/>
    <x v="74"/>
    <x v="2"/>
    <x v="0"/>
    <x v="0"/>
    <x v="0"/>
    <x v="3"/>
    <x v="3"/>
    <n v="11"/>
    <x v="2"/>
  </r>
  <r>
    <s v="TX501906"/>
    <x v="9"/>
    <x v="1"/>
    <n v="40.1"/>
    <n v="80.2"/>
    <x v="69"/>
    <x v="67"/>
    <x v="1"/>
    <x v="1"/>
    <x v="2"/>
    <x v="0"/>
    <x v="3"/>
    <x v="2"/>
    <n v="11"/>
    <x v="1"/>
  </r>
  <r>
    <s v="TX501907"/>
    <x v="10"/>
    <x v="1"/>
    <n v="49.4"/>
    <n v="98.8"/>
    <x v="69"/>
    <x v="64"/>
    <x v="1"/>
    <x v="1"/>
    <x v="0"/>
    <x v="0"/>
    <x v="3"/>
    <x v="1"/>
    <n v="11"/>
    <x v="1"/>
  </r>
  <r>
    <s v="TX501908"/>
    <x v="2"/>
    <x v="0"/>
    <n v="67.3"/>
    <n v="67.3"/>
    <x v="69"/>
    <x v="74"/>
    <x v="2"/>
    <x v="0"/>
    <x v="2"/>
    <x v="0"/>
    <x v="3"/>
    <x v="3"/>
    <n v="11"/>
    <x v="2"/>
  </r>
  <r>
    <s v="TX501909"/>
    <x v="18"/>
    <x v="12"/>
    <n v="44.5"/>
    <n v="178"/>
    <x v="69"/>
    <x v="67"/>
    <x v="0"/>
    <x v="1"/>
    <x v="0"/>
    <x v="0"/>
    <x v="3"/>
    <x v="2"/>
    <n v="11"/>
    <x v="0"/>
  </r>
  <r>
    <s v="TX501910"/>
    <x v="6"/>
    <x v="5"/>
    <n v="111.1"/>
    <n v="1222.0999999999999"/>
    <x v="69"/>
    <x v="74"/>
    <x v="2"/>
    <x v="4"/>
    <x v="0"/>
    <x v="0"/>
    <x v="3"/>
    <x v="3"/>
    <n v="11"/>
    <x v="2"/>
  </r>
  <r>
    <s v="TX501911"/>
    <x v="8"/>
    <x v="2"/>
    <n v="19.7"/>
    <n v="59.099999999999994"/>
    <x v="69"/>
    <x v="74"/>
    <x v="2"/>
    <x v="4"/>
    <x v="4"/>
    <x v="0"/>
    <x v="3"/>
    <x v="3"/>
    <n v="11"/>
    <x v="2"/>
  </r>
  <r>
    <s v="TX501912"/>
    <x v="1"/>
    <x v="0"/>
    <n v="40.299999999999997"/>
    <n v="40.299999999999997"/>
    <x v="69"/>
    <x v="74"/>
    <x v="3"/>
    <x v="1"/>
    <x v="0"/>
    <x v="0"/>
    <x v="3"/>
    <x v="3"/>
    <n v="11"/>
    <x v="3"/>
  </r>
  <r>
    <s v="TX501913"/>
    <x v="6"/>
    <x v="1"/>
    <n v="108.8"/>
    <n v="217.6"/>
    <x v="69"/>
    <x v="69"/>
    <x v="1"/>
    <x v="0"/>
    <x v="2"/>
    <x v="0"/>
    <x v="6"/>
    <x v="0"/>
    <n v="11"/>
    <x v="1"/>
  </r>
  <r>
    <s v="TX501914"/>
    <x v="8"/>
    <x v="2"/>
    <n v="48.2"/>
    <n v="144.60000000000002"/>
    <x v="69"/>
    <x v="69"/>
    <x v="2"/>
    <x v="4"/>
    <x v="0"/>
    <x v="0"/>
    <x v="7"/>
    <x v="0"/>
    <n v="11"/>
    <x v="2"/>
  </r>
  <r>
    <s v="TX501915"/>
    <x v="2"/>
    <x v="2"/>
    <n v="104.7"/>
    <n v="314.10000000000002"/>
    <x v="69"/>
    <x v="64"/>
    <x v="2"/>
    <x v="0"/>
    <x v="1"/>
    <x v="0"/>
    <x v="7"/>
    <x v="1"/>
    <n v="11"/>
    <x v="2"/>
  </r>
  <r>
    <s v="TX501916"/>
    <x v="1"/>
    <x v="1"/>
    <n v="80.599999999999994"/>
    <n v="161.19999999999999"/>
    <x v="69"/>
    <x v="71"/>
    <x v="2"/>
    <x v="1"/>
    <x v="0"/>
    <x v="0"/>
    <x v="8"/>
    <x v="7"/>
    <n v="11"/>
    <x v="2"/>
  </r>
  <r>
    <s v="TX501917"/>
    <x v="6"/>
    <x v="0"/>
    <n v="65.5"/>
    <n v="65.5"/>
    <x v="69"/>
    <x v="64"/>
    <x v="3"/>
    <x v="1"/>
    <x v="0"/>
    <x v="0"/>
    <x v="8"/>
    <x v="1"/>
    <n v="11"/>
    <x v="3"/>
  </r>
  <r>
    <s v="TX501918"/>
    <x v="9"/>
    <x v="2"/>
    <n v="61.4"/>
    <n v="184.2"/>
    <x v="69"/>
    <x v="64"/>
    <x v="2"/>
    <x v="4"/>
    <x v="2"/>
    <x v="0"/>
    <x v="8"/>
    <x v="1"/>
    <n v="11"/>
    <x v="2"/>
  </r>
  <r>
    <s v="TX501919"/>
    <x v="0"/>
    <x v="0"/>
    <n v="12.5"/>
    <n v="12.5"/>
    <x v="70"/>
    <x v="72"/>
    <x v="2"/>
    <x v="0"/>
    <x v="1"/>
    <x v="0"/>
    <x v="8"/>
    <x v="2"/>
    <n v="11"/>
    <x v="2"/>
  </r>
  <r>
    <s v="TX501920"/>
    <x v="4"/>
    <x v="12"/>
    <n v="35.1"/>
    <n v="140.4"/>
    <x v="70"/>
    <x v="64"/>
    <x v="1"/>
    <x v="2"/>
    <x v="1"/>
    <x v="0"/>
    <x v="17"/>
    <x v="3"/>
    <n v="11"/>
    <x v="1"/>
  </r>
  <r>
    <s v="TX501921"/>
    <x v="5"/>
    <x v="1"/>
    <n v="55.7"/>
    <n v="111.4"/>
    <x v="70"/>
    <x v="64"/>
    <x v="1"/>
    <x v="0"/>
    <x v="1"/>
    <x v="0"/>
    <x v="26"/>
    <x v="3"/>
    <n v="11"/>
    <x v="1"/>
  </r>
  <r>
    <s v="TX501922"/>
    <x v="7"/>
    <x v="1"/>
    <n v="57.7"/>
    <n v="115.4"/>
    <x v="70"/>
    <x v="67"/>
    <x v="1"/>
    <x v="4"/>
    <x v="1"/>
    <x v="0"/>
    <x v="9"/>
    <x v="1"/>
    <n v="11"/>
    <x v="1"/>
  </r>
  <r>
    <s v="TX501923"/>
    <x v="2"/>
    <x v="13"/>
    <n v="85.7"/>
    <n v="514.20000000000005"/>
    <x v="70"/>
    <x v="64"/>
    <x v="1"/>
    <x v="3"/>
    <x v="2"/>
    <x v="0"/>
    <x v="9"/>
    <x v="3"/>
    <n v="11"/>
    <x v="1"/>
  </r>
  <r>
    <s v="TX501924"/>
    <x v="2"/>
    <x v="2"/>
    <n v="86.9"/>
    <n v="260.70000000000005"/>
    <x v="70"/>
    <x v="67"/>
    <x v="2"/>
    <x v="1"/>
    <x v="0"/>
    <x v="0"/>
    <x v="11"/>
    <x v="1"/>
    <n v="11"/>
    <x v="2"/>
  </r>
  <r>
    <s v="TX501925"/>
    <x v="18"/>
    <x v="1"/>
    <n v="46.4"/>
    <n v="92.8"/>
    <x v="70"/>
    <x v="72"/>
    <x v="2"/>
    <x v="4"/>
    <x v="0"/>
    <x v="0"/>
    <x v="11"/>
    <x v="2"/>
    <n v="11"/>
    <x v="2"/>
  </r>
  <r>
    <s v="TX501926"/>
    <x v="5"/>
    <x v="2"/>
    <n v="25.4"/>
    <n v="76.199999999999989"/>
    <x v="70"/>
    <x v="74"/>
    <x v="2"/>
    <x v="2"/>
    <x v="2"/>
    <x v="0"/>
    <x v="18"/>
    <x v="7"/>
    <n v="11"/>
    <x v="2"/>
  </r>
  <r>
    <s v="TX501927"/>
    <x v="10"/>
    <x v="2"/>
    <n v="47.8"/>
    <n v="143.39999999999998"/>
    <x v="70"/>
    <x v="74"/>
    <x v="0"/>
    <x v="2"/>
    <x v="2"/>
    <x v="0"/>
    <x v="19"/>
    <x v="7"/>
    <n v="11"/>
    <x v="0"/>
  </r>
  <r>
    <s v="TX501928"/>
    <x v="8"/>
    <x v="10"/>
    <n v="18.399999999999999"/>
    <n v="349.59999999999997"/>
    <x v="70"/>
    <x v="67"/>
    <x v="3"/>
    <x v="2"/>
    <x v="0"/>
    <x v="0"/>
    <x v="20"/>
    <x v="1"/>
    <n v="11"/>
    <x v="3"/>
  </r>
  <r>
    <s v="TX501929"/>
    <x v="12"/>
    <x v="2"/>
    <n v="65.5"/>
    <n v="196.5"/>
    <x v="70"/>
    <x v="78"/>
    <x v="2"/>
    <x v="0"/>
    <x v="0"/>
    <x v="0"/>
    <x v="21"/>
    <x v="9"/>
    <n v="11"/>
    <x v="2"/>
  </r>
  <r>
    <s v="TX501930"/>
    <x v="10"/>
    <x v="1"/>
    <n v="50.6"/>
    <n v="101.2"/>
    <x v="70"/>
    <x v="72"/>
    <x v="1"/>
    <x v="2"/>
    <x v="4"/>
    <x v="0"/>
    <x v="21"/>
    <x v="2"/>
    <n v="11"/>
    <x v="1"/>
  </r>
  <r>
    <s v="TX501931"/>
    <x v="3"/>
    <x v="9"/>
    <n v="69"/>
    <n v="345"/>
    <x v="70"/>
    <x v="69"/>
    <x v="1"/>
    <x v="3"/>
    <x v="0"/>
    <x v="0"/>
    <x v="21"/>
    <x v="5"/>
    <n v="11"/>
    <x v="1"/>
  </r>
  <r>
    <s v="TX501932"/>
    <x v="9"/>
    <x v="8"/>
    <n v="51.1"/>
    <n v="408.8"/>
    <x v="70"/>
    <x v="67"/>
    <x v="2"/>
    <x v="0"/>
    <x v="0"/>
    <x v="0"/>
    <x v="1"/>
    <x v="1"/>
    <n v="11"/>
    <x v="2"/>
  </r>
  <r>
    <s v="TX501933"/>
    <x v="9"/>
    <x v="0"/>
    <n v="36.1"/>
    <n v="36.1"/>
    <x v="70"/>
    <x v="64"/>
    <x v="2"/>
    <x v="0"/>
    <x v="2"/>
    <x v="0"/>
    <x v="34"/>
    <x v="3"/>
    <n v="11"/>
    <x v="2"/>
  </r>
  <r>
    <s v="TX501934"/>
    <x v="14"/>
    <x v="0"/>
    <n v="18.7"/>
    <n v="18.7"/>
    <x v="70"/>
    <x v="64"/>
    <x v="1"/>
    <x v="0"/>
    <x v="0"/>
    <x v="0"/>
    <x v="3"/>
    <x v="3"/>
    <n v="11"/>
    <x v="1"/>
  </r>
  <r>
    <s v="TX501935"/>
    <x v="17"/>
    <x v="0"/>
    <n v="30.1"/>
    <n v="30.1"/>
    <x v="70"/>
    <x v="72"/>
    <x v="2"/>
    <x v="3"/>
    <x v="1"/>
    <x v="0"/>
    <x v="3"/>
    <x v="2"/>
    <n v="11"/>
    <x v="2"/>
  </r>
  <r>
    <s v="TX501936"/>
    <x v="8"/>
    <x v="0"/>
    <n v="16.3"/>
    <n v="16.3"/>
    <x v="70"/>
    <x v="64"/>
    <x v="1"/>
    <x v="3"/>
    <x v="0"/>
    <x v="0"/>
    <x v="3"/>
    <x v="3"/>
    <n v="11"/>
    <x v="1"/>
  </r>
  <r>
    <s v="TX501937"/>
    <x v="1"/>
    <x v="2"/>
    <n v="63.8"/>
    <n v="191.39999999999998"/>
    <x v="70"/>
    <x v="76"/>
    <x v="2"/>
    <x v="2"/>
    <x v="1"/>
    <x v="0"/>
    <x v="3"/>
    <x v="0"/>
    <n v="11"/>
    <x v="2"/>
  </r>
  <r>
    <s v="TX501938"/>
    <x v="1"/>
    <x v="3"/>
    <n v="73.900000000000006"/>
    <n v="517.30000000000007"/>
    <x v="70"/>
    <x v="74"/>
    <x v="2"/>
    <x v="0"/>
    <x v="1"/>
    <x v="0"/>
    <x v="3"/>
    <x v="7"/>
    <n v="11"/>
    <x v="2"/>
  </r>
  <r>
    <s v="TX501939"/>
    <x v="0"/>
    <x v="1"/>
    <n v="20.2"/>
    <n v="40.4"/>
    <x v="70"/>
    <x v="64"/>
    <x v="1"/>
    <x v="0"/>
    <x v="1"/>
    <x v="0"/>
    <x v="3"/>
    <x v="3"/>
    <n v="11"/>
    <x v="1"/>
  </r>
  <r>
    <s v="TX501940"/>
    <x v="11"/>
    <x v="5"/>
    <n v="29.5"/>
    <n v="324.5"/>
    <x v="70"/>
    <x v="64"/>
    <x v="1"/>
    <x v="0"/>
    <x v="0"/>
    <x v="0"/>
    <x v="3"/>
    <x v="3"/>
    <n v="11"/>
    <x v="1"/>
  </r>
  <r>
    <s v="TX501941"/>
    <x v="15"/>
    <x v="3"/>
    <n v="37.9"/>
    <n v="265.3"/>
    <x v="70"/>
    <x v="64"/>
    <x v="1"/>
    <x v="1"/>
    <x v="0"/>
    <x v="0"/>
    <x v="3"/>
    <x v="3"/>
    <n v="11"/>
    <x v="1"/>
  </r>
  <r>
    <s v="TX501942"/>
    <x v="2"/>
    <x v="0"/>
    <n v="56.5"/>
    <n v="56.5"/>
    <x v="70"/>
    <x v="64"/>
    <x v="2"/>
    <x v="2"/>
    <x v="1"/>
    <x v="0"/>
    <x v="3"/>
    <x v="3"/>
    <n v="11"/>
    <x v="2"/>
  </r>
  <r>
    <s v="TX501943"/>
    <x v="2"/>
    <x v="1"/>
    <n v="66.900000000000006"/>
    <n v="133.80000000000001"/>
    <x v="70"/>
    <x v="73"/>
    <x v="1"/>
    <x v="1"/>
    <x v="4"/>
    <x v="0"/>
    <x v="25"/>
    <x v="4"/>
    <n v="11"/>
    <x v="1"/>
  </r>
  <r>
    <s v="TX501944"/>
    <x v="2"/>
    <x v="9"/>
    <n v="51.9"/>
    <n v="259.5"/>
    <x v="70"/>
    <x v="72"/>
    <x v="1"/>
    <x v="1"/>
    <x v="0"/>
    <x v="0"/>
    <x v="7"/>
    <x v="2"/>
    <n v="11"/>
    <x v="1"/>
  </r>
  <r>
    <s v="TX501945"/>
    <x v="2"/>
    <x v="1"/>
    <n v="75.599999999999994"/>
    <n v="151.19999999999999"/>
    <x v="70"/>
    <x v="72"/>
    <x v="1"/>
    <x v="1"/>
    <x v="0"/>
    <x v="0"/>
    <x v="8"/>
    <x v="2"/>
    <n v="11"/>
    <x v="1"/>
  </r>
  <r>
    <s v="TX501946"/>
    <x v="12"/>
    <x v="13"/>
    <n v="47.3"/>
    <n v="283.79999999999995"/>
    <x v="70"/>
    <x v="79"/>
    <x v="1"/>
    <x v="0"/>
    <x v="0"/>
    <x v="0"/>
    <x v="8"/>
    <x v="11"/>
    <n v="11"/>
    <x v="1"/>
  </r>
  <r>
    <s v="TX501947"/>
    <x v="4"/>
    <x v="0"/>
    <n v="20.6"/>
    <n v="20.6"/>
    <x v="70"/>
    <x v="64"/>
    <x v="0"/>
    <x v="0"/>
    <x v="1"/>
    <x v="0"/>
    <x v="8"/>
    <x v="3"/>
    <n v="11"/>
    <x v="0"/>
  </r>
  <r>
    <s v="TX501948"/>
    <x v="6"/>
    <x v="2"/>
    <n v="49.7"/>
    <n v="149.10000000000002"/>
    <x v="70"/>
    <x v="67"/>
    <x v="1"/>
    <x v="0"/>
    <x v="1"/>
    <x v="0"/>
    <x v="8"/>
    <x v="1"/>
    <n v="11"/>
    <x v="1"/>
  </r>
  <r>
    <s v="TX501949"/>
    <x v="3"/>
    <x v="0"/>
    <n v="37.9"/>
    <n v="37.9"/>
    <x v="70"/>
    <x v="67"/>
    <x v="2"/>
    <x v="0"/>
    <x v="0"/>
    <x v="0"/>
    <x v="8"/>
    <x v="1"/>
    <n v="11"/>
    <x v="2"/>
  </r>
  <r>
    <s v="TX501950"/>
    <x v="13"/>
    <x v="20"/>
    <n v="32"/>
    <n v="480"/>
    <x v="70"/>
    <x v="67"/>
    <x v="2"/>
    <x v="4"/>
    <x v="0"/>
    <x v="0"/>
    <x v="11"/>
    <x v="1"/>
    <n v="11"/>
    <x v="2"/>
  </r>
  <r>
    <s v="TX501951"/>
    <x v="10"/>
    <x v="16"/>
    <n v="38.5"/>
    <n v="693"/>
    <x v="71"/>
    <x v="67"/>
    <x v="1"/>
    <x v="0"/>
    <x v="2"/>
    <x v="0"/>
    <x v="11"/>
    <x v="3"/>
    <n v="11"/>
    <x v="1"/>
  </r>
  <r>
    <s v="TX501952"/>
    <x v="0"/>
    <x v="12"/>
    <n v="11.7"/>
    <n v="46.8"/>
    <x v="71"/>
    <x v="72"/>
    <x v="2"/>
    <x v="1"/>
    <x v="0"/>
    <x v="0"/>
    <x v="20"/>
    <x v="1"/>
    <n v="11"/>
    <x v="2"/>
  </r>
  <r>
    <s v="TX501953"/>
    <x v="3"/>
    <x v="13"/>
    <n v="83.8"/>
    <n v="502.79999999999995"/>
    <x v="71"/>
    <x v="67"/>
    <x v="1"/>
    <x v="0"/>
    <x v="0"/>
    <x v="0"/>
    <x v="21"/>
    <x v="3"/>
    <n v="11"/>
    <x v="1"/>
  </r>
  <r>
    <s v="TX501954"/>
    <x v="0"/>
    <x v="3"/>
    <n v="14"/>
    <n v="98"/>
    <x v="71"/>
    <x v="69"/>
    <x v="1"/>
    <x v="0"/>
    <x v="1"/>
    <x v="0"/>
    <x v="22"/>
    <x v="2"/>
    <n v="11"/>
    <x v="1"/>
  </r>
  <r>
    <s v="TX501955"/>
    <x v="16"/>
    <x v="12"/>
    <n v="77.3"/>
    <n v="309.2"/>
    <x v="71"/>
    <x v="72"/>
    <x v="2"/>
    <x v="4"/>
    <x v="2"/>
    <x v="0"/>
    <x v="3"/>
    <x v="1"/>
    <n v="11"/>
    <x v="2"/>
  </r>
  <r>
    <s v="TX501956"/>
    <x v="2"/>
    <x v="1"/>
    <n v="76.900000000000006"/>
    <n v="153.80000000000001"/>
    <x v="71"/>
    <x v="76"/>
    <x v="2"/>
    <x v="0"/>
    <x v="1"/>
    <x v="0"/>
    <x v="3"/>
    <x v="5"/>
    <n v="11"/>
    <x v="2"/>
  </r>
  <r>
    <s v="TX501957"/>
    <x v="1"/>
    <x v="0"/>
    <n v="48"/>
    <n v="48"/>
    <x v="71"/>
    <x v="72"/>
    <x v="2"/>
    <x v="1"/>
    <x v="2"/>
    <x v="0"/>
    <x v="3"/>
    <x v="1"/>
    <n v="11"/>
    <x v="2"/>
  </r>
  <r>
    <s v="TX501958"/>
    <x v="2"/>
    <x v="0"/>
    <n v="94.5"/>
    <n v="94.5"/>
    <x v="71"/>
    <x v="69"/>
    <x v="1"/>
    <x v="1"/>
    <x v="1"/>
    <x v="0"/>
    <x v="3"/>
    <x v="2"/>
    <n v="11"/>
    <x v="1"/>
  </r>
  <r>
    <s v="TX501959"/>
    <x v="10"/>
    <x v="2"/>
    <n v="58.4"/>
    <n v="175.2"/>
    <x v="71"/>
    <x v="72"/>
    <x v="2"/>
    <x v="1"/>
    <x v="2"/>
    <x v="0"/>
    <x v="3"/>
    <x v="1"/>
    <n v="11"/>
    <x v="2"/>
  </r>
  <r>
    <s v="TX501960"/>
    <x v="7"/>
    <x v="15"/>
    <n v="42.2"/>
    <n v="548.6"/>
    <x v="71"/>
    <x v="64"/>
    <x v="1"/>
    <x v="0"/>
    <x v="0"/>
    <x v="0"/>
    <x v="25"/>
    <x v="7"/>
    <n v="11"/>
    <x v="1"/>
  </r>
  <r>
    <s v="TX501961"/>
    <x v="6"/>
    <x v="1"/>
    <n v="152.19999999999999"/>
    <n v="304.39999999999998"/>
    <x v="71"/>
    <x v="67"/>
    <x v="1"/>
    <x v="4"/>
    <x v="1"/>
    <x v="0"/>
    <x v="25"/>
    <x v="3"/>
    <n v="11"/>
    <x v="1"/>
  </r>
  <r>
    <s v="TX501962"/>
    <x v="6"/>
    <x v="25"/>
    <n v="72"/>
    <n v="1728"/>
    <x v="71"/>
    <x v="67"/>
    <x v="1"/>
    <x v="0"/>
    <x v="1"/>
    <x v="0"/>
    <x v="6"/>
    <x v="3"/>
    <n v="11"/>
    <x v="1"/>
  </r>
  <r>
    <s v="TX501963"/>
    <x v="1"/>
    <x v="44"/>
    <n v="70.900000000000006"/>
    <n v="1630.7"/>
    <x v="71"/>
    <x v="67"/>
    <x v="2"/>
    <x v="2"/>
    <x v="0"/>
    <x v="0"/>
    <x v="8"/>
    <x v="3"/>
    <n v="11"/>
    <x v="2"/>
  </r>
  <r>
    <s v="TX501964"/>
    <x v="2"/>
    <x v="1"/>
    <n v="53.7"/>
    <n v="107.4"/>
    <x v="71"/>
    <x v="67"/>
    <x v="1"/>
    <x v="2"/>
    <x v="2"/>
    <x v="0"/>
    <x v="8"/>
    <x v="3"/>
    <n v="11"/>
    <x v="1"/>
  </r>
  <r>
    <s v="TX501965"/>
    <x v="9"/>
    <x v="12"/>
    <n v="42.9"/>
    <n v="171.6"/>
    <x v="71"/>
    <x v="67"/>
    <x v="2"/>
    <x v="2"/>
    <x v="4"/>
    <x v="0"/>
    <x v="9"/>
    <x v="3"/>
    <n v="11"/>
    <x v="2"/>
  </r>
  <r>
    <s v="TX501966"/>
    <x v="2"/>
    <x v="3"/>
    <n v="107.5"/>
    <n v="752.5"/>
    <x v="71"/>
    <x v="67"/>
    <x v="1"/>
    <x v="1"/>
    <x v="0"/>
    <x v="0"/>
    <x v="11"/>
    <x v="3"/>
    <n v="11"/>
    <x v="1"/>
  </r>
  <r>
    <s v="TX501967"/>
    <x v="17"/>
    <x v="27"/>
    <n v="21.5"/>
    <n v="344"/>
    <x v="71"/>
    <x v="67"/>
    <x v="1"/>
    <x v="1"/>
    <x v="1"/>
    <x v="0"/>
    <x v="32"/>
    <x v="3"/>
    <n v="11"/>
    <x v="1"/>
  </r>
  <r>
    <s v="TX501968"/>
    <x v="3"/>
    <x v="9"/>
    <n v="85.3"/>
    <n v="426.5"/>
    <x v="71"/>
    <x v="72"/>
    <x v="2"/>
    <x v="3"/>
    <x v="0"/>
    <x v="0"/>
    <x v="18"/>
    <x v="1"/>
    <n v="11"/>
    <x v="2"/>
  </r>
  <r>
    <s v="TX501969"/>
    <x v="7"/>
    <x v="9"/>
    <n v="80.8"/>
    <n v="404"/>
    <x v="71"/>
    <x v="75"/>
    <x v="3"/>
    <x v="1"/>
    <x v="1"/>
    <x v="0"/>
    <x v="19"/>
    <x v="9"/>
    <n v="11"/>
    <x v="3"/>
  </r>
  <r>
    <s v="TX501970"/>
    <x v="2"/>
    <x v="2"/>
    <n v="123.1"/>
    <n v="369.29999999999995"/>
    <x v="71"/>
    <x v="72"/>
    <x v="0"/>
    <x v="2"/>
    <x v="0"/>
    <x v="0"/>
    <x v="21"/>
    <x v="1"/>
    <n v="11"/>
    <x v="0"/>
  </r>
  <r>
    <s v="TX501971"/>
    <x v="8"/>
    <x v="1"/>
    <n v="36.9"/>
    <n v="73.8"/>
    <x v="71"/>
    <x v="72"/>
    <x v="2"/>
    <x v="2"/>
    <x v="4"/>
    <x v="0"/>
    <x v="51"/>
    <x v="1"/>
    <n v="11"/>
    <x v="2"/>
  </r>
  <r>
    <s v="TX501972"/>
    <x v="11"/>
    <x v="9"/>
    <n v="40"/>
    <n v="200"/>
    <x v="71"/>
    <x v="67"/>
    <x v="1"/>
    <x v="0"/>
    <x v="0"/>
    <x v="0"/>
    <x v="1"/>
    <x v="3"/>
    <n v="11"/>
    <x v="1"/>
  </r>
  <r>
    <s v="TX501973"/>
    <x v="6"/>
    <x v="2"/>
    <n v="55.5"/>
    <n v="166.5"/>
    <x v="71"/>
    <x v="67"/>
    <x v="1"/>
    <x v="4"/>
    <x v="2"/>
    <x v="0"/>
    <x v="1"/>
    <x v="3"/>
    <n v="11"/>
    <x v="1"/>
  </r>
  <r>
    <s v="TX501974"/>
    <x v="0"/>
    <x v="12"/>
    <n v="20.5"/>
    <n v="82"/>
    <x v="71"/>
    <x v="76"/>
    <x v="2"/>
    <x v="4"/>
    <x v="0"/>
    <x v="0"/>
    <x v="1"/>
    <x v="5"/>
    <n v="11"/>
    <x v="2"/>
  </r>
  <r>
    <s v="TX501975"/>
    <x v="18"/>
    <x v="12"/>
    <n v="50.1"/>
    <n v="200.4"/>
    <x v="71"/>
    <x v="67"/>
    <x v="2"/>
    <x v="4"/>
    <x v="0"/>
    <x v="0"/>
    <x v="1"/>
    <x v="3"/>
    <n v="11"/>
    <x v="2"/>
  </r>
  <r>
    <s v="TX501976"/>
    <x v="9"/>
    <x v="0"/>
    <n v="35.9"/>
    <n v="35.9"/>
    <x v="71"/>
    <x v="72"/>
    <x v="1"/>
    <x v="1"/>
    <x v="2"/>
    <x v="0"/>
    <x v="1"/>
    <x v="1"/>
    <n v="11"/>
    <x v="1"/>
  </r>
  <r>
    <s v="TX501977"/>
    <x v="13"/>
    <x v="12"/>
    <n v="29.4"/>
    <n v="117.6"/>
    <x v="72"/>
    <x v="72"/>
    <x v="1"/>
    <x v="2"/>
    <x v="2"/>
    <x v="0"/>
    <x v="33"/>
    <x v="3"/>
    <n v="11"/>
    <x v="1"/>
  </r>
  <r>
    <s v="TX501978"/>
    <x v="8"/>
    <x v="9"/>
    <n v="29.1"/>
    <n v="145.5"/>
    <x v="72"/>
    <x v="80"/>
    <x v="3"/>
    <x v="2"/>
    <x v="1"/>
    <x v="0"/>
    <x v="33"/>
    <x v="9"/>
    <n v="11"/>
    <x v="3"/>
  </r>
  <r>
    <s v="TX501979"/>
    <x v="8"/>
    <x v="2"/>
    <n v="33.5"/>
    <n v="100.5"/>
    <x v="72"/>
    <x v="81"/>
    <x v="1"/>
    <x v="0"/>
    <x v="2"/>
    <x v="0"/>
    <x v="22"/>
    <x v="13"/>
    <n v="11"/>
    <x v="1"/>
  </r>
  <r>
    <s v="TX501980"/>
    <x v="4"/>
    <x v="7"/>
    <n v="36"/>
    <n v="360"/>
    <x v="72"/>
    <x v="67"/>
    <x v="1"/>
    <x v="3"/>
    <x v="2"/>
    <x v="0"/>
    <x v="3"/>
    <x v="7"/>
    <n v="11"/>
    <x v="1"/>
  </r>
  <r>
    <s v="TX501981"/>
    <x v="16"/>
    <x v="2"/>
    <n v="57.3"/>
    <n v="171.89999999999998"/>
    <x v="72"/>
    <x v="73"/>
    <x v="2"/>
    <x v="0"/>
    <x v="2"/>
    <x v="0"/>
    <x v="3"/>
    <x v="5"/>
    <n v="11"/>
    <x v="2"/>
  </r>
  <r>
    <s v="TX501982"/>
    <x v="1"/>
    <x v="0"/>
    <n v="81.400000000000006"/>
    <n v="81.400000000000006"/>
    <x v="72"/>
    <x v="72"/>
    <x v="2"/>
    <x v="2"/>
    <x v="2"/>
    <x v="0"/>
    <x v="3"/>
    <x v="3"/>
    <n v="11"/>
    <x v="2"/>
  </r>
  <r>
    <s v="TX501983"/>
    <x v="10"/>
    <x v="1"/>
    <n v="35.299999999999997"/>
    <n v="70.599999999999994"/>
    <x v="72"/>
    <x v="73"/>
    <x v="1"/>
    <x v="0"/>
    <x v="2"/>
    <x v="0"/>
    <x v="3"/>
    <x v="5"/>
    <n v="11"/>
    <x v="1"/>
  </r>
  <r>
    <s v="TX501984"/>
    <x v="3"/>
    <x v="0"/>
    <n v="36.1"/>
    <n v="36.1"/>
    <x v="72"/>
    <x v="72"/>
    <x v="2"/>
    <x v="4"/>
    <x v="0"/>
    <x v="0"/>
    <x v="3"/>
    <x v="3"/>
    <n v="11"/>
    <x v="2"/>
  </r>
  <r>
    <s v="TX501985"/>
    <x v="1"/>
    <x v="1"/>
    <n v="36.700000000000003"/>
    <n v="73.400000000000006"/>
    <x v="72"/>
    <x v="69"/>
    <x v="2"/>
    <x v="0"/>
    <x v="2"/>
    <x v="0"/>
    <x v="3"/>
    <x v="1"/>
    <n v="11"/>
    <x v="2"/>
  </r>
  <r>
    <s v="TX501986"/>
    <x v="10"/>
    <x v="0"/>
    <n v="20.9"/>
    <n v="20.9"/>
    <x v="72"/>
    <x v="69"/>
    <x v="2"/>
    <x v="0"/>
    <x v="4"/>
    <x v="0"/>
    <x v="3"/>
    <x v="1"/>
    <n v="11"/>
    <x v="2"/>
  </r>
  <r>
    <s v="TX501987"/>
    <x v="12"/>
    <x v="2"/>
    <n v="58.8"/>
    <n v="176.39999999999998"/>
    <x v="72"/>
    <x v="73"/>
    <x v="1"/>
    <x v="0"/>
    <x v="2"/>
    <x v="0"/>
    <x v="25"/>
    <x v="5"/>
    <n v="11"/>
    <x v="1"/>
  </r>
  <r>
    <s v="TX501988"/>
    <x v="2"/>
    <x v="2"/>
    <n v="97.6"/>
    <n v="292.79999999999995"/>
    <x v="73"/>
    <x v="76"/>
    <x v="0"/>
    <x v="0"/>
    <x v="0"/>
    <x v="0"/>
    <x v="6"/>
    <x v="1"/>
    <n v="11"/>
    <x v="0"/>
  </r>
  <r>
    <s v="TX501989"/>
    <x v="1"/>
    <x v="1"/>
    <n v="58.7"/>
    <n v="117.4"/>
    <x v="73"/>
    <x v="73"/>
    <x v="2"/>
    <x v="0"/>
    <x v="1"/>
    <x v="0"/>
    <x v="6"/>
    <x v="2"/>
    <n v="11"/>
    <x v="2"/>
  </r>
  <r>
    <s v="TX501990"/>
    <x v="6"/>
    <x v="9"/>
    <n v="71.900000000000006"/>
    <n v="359.5"/>
    <x v="73"/>
    <x v="69"/>
    <x v="0"/>
    <x v="0"/>
    <x v="1"/>
    <x v="0"/>
    <x v="6"/>
    <x v="3"/>
    <n v="11"/>
    <x v="0"/>
  </r>
  <r>
    <s v="TX501991"/>
    <x v="1"/>
    <x v="1"/>
    <n v="62.4"/>
    <n v="124.8"/>
    <x v="73"/>
    <x v="76"/>
    <x v="0"/>
    <x v="0"/>
    <x v="1"/>
    <x v="0"/>
    <x v="8"/>
    <x v="1"/>
    <n v="11"/>
    <x v="0"/>
  </r>
  <r>
    <s v="TX501992"/>
    <x v="6"/>
    <x v="27"/>
    <n v="53.8"/>
    <n v="860.8"/>
    <x v="73"/>
    <x v="69"/>
    <x v="2"/>
    <x v="1"/>
    <x v="0"/>
    <x v="0"/>
    <x v="8"/>
    <x v="3"/>
    <n v="11"/>
    <x v="2"/>
  </r>
  <r>
    <s v="TX501993"/>
    <x v="9"/>
    <x v="0"/>
    <n v="43.8"/>
    <n v="43.8"/>
    <x v="73"/>
    <x v="80"/>
    <x v="2"/>
    <x v="0"/>
    <x v="2"/>
    <x v="0"/>
    <x v="8"/>
    <x v="6"/>
    <n v="11"/>
    <x v="2"/>
  </r>
  <r>
    <s v="TX501994"/>
    <x v="5"/>
    <x v="2"/>
    <n v="53.6"/>
    <n v="160.80000000000001"/>
    <x v="73"/>
    <x v="69"/>
    <x v="1"/>
    <x v="3"/>
    <x v="0"/>
    <x v="0"/>
    <x v="8"/>
    <x v="3"/>
    <n v="11"/>
    <x v="1"/>
  </r>
  <r>
    <s v="TX501995"/>
    <x v="12"/>
    <x v="1"/>
    <n v="84.3"/>
    <n v="168.6"/>
    <x v="73"/>
    <x v="73"/>
    <x v="1"/>
    <x v="4"/>
    <x v="1"/>
    <x v="0"/>
    <x v="8"/>
    <x v="2"/>
    <n v="11"/>
    <x v="1"/>
  </r>
  <r>
    <s v="TX501996"/>
    <x v="6"/>
    <x v="11"/>
    <n v="117.9"/>
    <n v="1061.1000000000001"/>
    <x v="73"/>
    <x v="69"/>
    <x v="2"/>
    <x v="1"/>
    <x v="2"/>
    <x v="0"/>
    <x v="8"/>
    <x v="3"/>
    <n v="11"/>
    <x v="2"/>
  </r>
  <r>
    <s v="TX501997"/>
    <x v="4"/>
    <x v="8"/>
    <n v="30"/>
    <n v="240"/>
    <x v="73"/>
    <x v="69"/>
    <x v="2"/>
    <x v="1"/>
    <x v="0"/>
    <x v="0"/>
    <x v="26"/>
    <x v="3"/>
    <n v="11"/>
    <x v="2"/>
  </r>
  <r>
    <s v="TX501998"/>
    <x v="14"/>
    <x v="2"/>
    <n v="37.299999999999997"/>
    <n v="111.89999999999999"/>
    <x v="73"/>
    <x v="69"/>
    <x v="1"/>
    <x v="2"/>
    <x v="0"/>
    <x v="0"/>
    <x v="9"/>
    <x v="3"/>
    <n v="11"/>
    <x v="1"/>
  </r>
  <r>
    <s v="TX501999"/>
    <x v="4"/>
    <x v="11"/>
    <n v="25.1"/>
    <n v="225.9"/>
    <x v="73"/>
    <x v="76"/>
    <x v="1"/>
    <x v="1"/>
    <x v="2"/>
    <x v="0"/>
    <x v="11"/>
    <x v="1"/>
    <n v="11"/>
    <x v="1"/>
  </r>
  <r>
    <s v="TX502000"/>
    <x v="8"/>
    <x v="5"/>
    <n v="36"/>
    <n v="396"/>
    <x v="73"/>
    <x v="82"/>
    <x v="1"/>
    <x v="1"/>
    <x v="0"/>
    <x v="0"/>
    <x v="18"/>
    <x v="14"/>
    <n v="11"/>
    <x v="1"/>
  </r>
  <r>
    <s v="TX502001"/>
    <x v="16"/>
    <x v="2"/>
    <n v="48.5"/>
    <n v="145.5"/>
    <x v="73"/>
    <x v="83"/>
    <x v="2"/>
    <x v="1"/>
    <x v="0"/>
    <x v="0"/>
    <x v="19"/>
    <x v="5"/>
    <n v="11"/>
    <x v="2"/>
  </r>
  <r>
    <s v="TX502002"/>
    <x v="17"/>
    <x v="13"/>
    <n v="21.1"/>
    <n v="126.60000000000001"/>
    <x v="73"/>
    <x v="69"/>
    <x v="1"/>
    <x v="1"/>
    <x v="2"/>
    <x v="0"/>
    <x v="21"/>
    <x v="3"/>
    <n v="11"/>
    <x v="1"/>
  </r>
  <r>
    <s v="TX502003"/>
    <x v="15"/>
    <x v="21"/>
    <n v="43.2"/>
    <n v="604.80000000000007"/>
    <x v="73"/>
    <x v="69"/>
    <x v="3"/>
    <x v="0"/>
    <x v="1"/>
    <x v="0"/>
    <x v="21"/>
    <x v="3"/>
    <n v="11"/>
    <x v="3"/>
  </r>
  <r>
    <s v="TX502004"/>
    <x v="9"/>
    <x v="1"/>
    <n v="21.1"/>
    <n v="42.2"/>
    <x v="73"/>
    <x v="69"/>
    <x v="0"/>
    <x v="3"/>
    <x v="1"/>
    <x v="0"/>
    <x v="21"/>
    <x v="3"/>
    <n v="11"/>
    <x v="0"/>
  </r>
  <r>
    <s v="TX502005"/>
    <x v="6"/>
    <x v="12"/>
    <n v="41.3"/>
    <n v="165.2"/>
    <x v="73"/>
    <x v="76"/>
    <x v="2"/>
    <x v="3"/>
    <x v="2"/>
    <x v="0"/>
    <x v="1"/>
    <x v="1"/>
    <n v="11"/>
    <x v="2"/>
  </r>
  <r>
    <s v="TX502006"/>
    <x v="8"/>
    <x v="1"/>
    <n v="15.3"/>
    <n v="30.6"/>
    <x v="73"/>
    <x v="73"/>
    <x v="0"/>
    <x v="2"/>
    <x v="2"/>
    <x v="0"/>
    <x v="1"/>
    <x v="2"/>
    <n v="11"/>
    <x v="0"/>
  </r>
  <r>
    <s v="TX502007"/>
    <x v="1"/>
    <x v="0"/>
    <n v="54.6"/>
    <n v="54.6"/>
    <x v="73"/>
    <x v="76"/>
    <x v="1"/>
    <x v="1"/>
    <x v="1"/>
    <x v="0"/>
    <x v="2"/>
    <x v="1"/>
    <n v="11"/>
    <x v="1"/>
  </r>
  <r>
    <s v="TX502008"/>
    <x v="8"/>
    <x v="0"/>
    <n v="15.9"/>
    <n v="15.9"/>
    <x v="73"/>
    <x v="69"/>
    <x v="1"/>
    <x v="0"/>
    <x v="1"/>
    <x v="0"/>
    <x v="22"/>
    <x v="3"/>
    <n v="11"/>
    <x v="1"/>
  </r>
  <r>
    <s v="TX502009"/>
    <x v="9"/>
    <x v="0"/>
    <n v="50.2"/>
    <n v="50.2"/>
    <x v="73"/>
    <x v="76"/>
    <x v="2"/>
    <x v="3"/>
    <x v="2"/>
    <x v="0"/>
    <x v="34"/>
    <x v="1"/>
    <n v="11"/>
    <x v="2"/>
  </r>
  <r>
    <s v="TX502010"/>
    <x v="11"/>
    <x v="12"/>
    <n v="85.1"/>
    <n v="340.4"/>
    <x v="73"/>
    <x v="69"/>
    <x v="2"/>
    <x v="3"/>
    <x v="4"/>
    <x v="0"/>
    <x v="34"/>
    <x v="3"/>
    <n v="11"/>
    <x v="2"/>
  </r>
  <r>
    <s v="TX502011"/>
    <x v="11"/>
    <x v="1"/>
    <n v="41.4"/>
    <n v="82.8"/>
    <x v="73"/>
    <x v="69"/>
    <x v="2"/>
    <x v="0"/>
    <x v="2"/>
    <x v="0"/>
    <x v="3"/>
    <x v="3"/>
    <n v="11"/>
    <x v="2"/>
  </r>
  <r>
    <s v="TX502012"/>
    <x v="4"/>
    <x v="3"/>
    <n v="32.700000000000003"/>
    <n v="228.90000000000003"/>
    <x v="73"/>
    <x v="69"/>
    <x v="2"/>
    <x v="2"/>
    <x v="1"/>
    <x v="0"/>
    <x v="3"/>
    <x v="3"/>
    <n v="11"/>
    <x v="2"/>
  </r>
  <r>
    <s v="TX502013"/>
    <x v="4"/>
    <x v="1"/>
    <n v="41.6"/>
    <n v="83.2"/>
    <x v="73"/>
    <x v="76"/>
    <x v="1"/>
    <x v="4"/>
    <x v="1"/>
    <x v="0"/>
    <x v="3"/>
    <x v="1"/>
    <n v="11"/>
    <x v="1"/>
  </r>
  <r>
    <s v="TX502014"/>
    <x v="5"/>
    <x v="12"/>
    <n v="64.8"/>
    <n v="259.2"/>
    <x v="73"/>
    <x v="69"/>
    <x v="0"/>
    <x v="2"/>
    <x v="0"/>
    <x v="0"/>
    <x v="3"/>
    <x v="3"/>
    <n v="11"/>
    <x v="0"/>
  </r>
  <r>
    <s v="TX502015"/>
    <x v="15"/>
    <x v="1"/>
    <n v="33.6"/>
    <n v="67.2"/>
    <x v="73"/>
    <x v="69"/>
    <x v="1"/>
    <x v="0"/>
    <x v="2"/>
    <x v="0"/>
    <x v="3"/>
    <x v="3"/>
    <n v="11"/>
    <x v="1"/>
  </r>
  <r>
    <s v="TX502016"/>
    <x v="6"/>
    <x v="2"/>
    <n v="100.7"/>
    <n v="302.10000000000002"/>
    <x v="73"/>
    <x v="69"/>
    <x v="0"/>
    <x v="1"/>
    <x v="0"/>
    <x v="0"/>
    <x v="3"/>
    <x v="3"/>
    <n v="11"/>
    <x v="0"/>
  </r>
  <r>
    <s v="TX502017"/>
    <x v="4"/>
    <x v="1"/>
    <n v="49.3"/>
    <n v="98.6"/>
    <x v="74"/>
    <x v="73"/>
    <x v="2"/>
    <x v="4"/>
    <x v="2"/>
    <x v="0"/>
    <x v="3"/>
    <x v="1"/>
    <n v="12"/>
    <x v="2"/>
  </r>
  <r>
    <s v="TX502018"/>
    <x v="2"/>
    <x v="13"/>
    <n v="97"/>
    <n v="582"/>
    <x v="74"/>
    <x v="83"/>
    <x v="1"/>
    <x v="2"/>
    <x v="2"/>
    <x v="0"/>
    <x v="3"/>
    <x v="2"/>
    <n v="12"/>
    <x v="1"/>
  </r>
  <r>
    <s v="TX502019"/>
    <x v="0"/>
    <x v="13"/>
    <n v="25.2"/>
    <n v="151.19999999999999"/>
    <x v="74"/>
    <x v="83"/>
    <x v="2"/>
    <x v="4"/>
    <x v="2"/>
    <x v="0"/>
    <x v="3"/>
    <x v="2"/>
    <n v="12"/>
    <x v="2"/>
  </r>
  <r>
    <s v="TX502020"/>
    <x v="0"/>
    <x v="5"/>
    <n v="12.2"/>
    <n v="134.19999999999999"/>
    <x v="74"/>
    <x v="76"/>
    <x v="0"/>
    <x v="0"/>
    <x v="1"/>
    <x v="0"/>
    <x v="3"/>
    <x v="3"/>
    <n v="12"/>
    <x v="0"/>
  </r>
  <r>
    <s v="TX502021"/>
    <x v="8"/>
    <x v="3"/>
    <n v="38.799999999999997"/>
    <n v="271.59999999999997"/>
    <x v="74"/>
    <x v="73"/>
    <x v="2"/>
    <x v="1"/>
    <x v="1"/>
    <x v="0"/>
    <x v="23"/>
    <x v="1"/>
    <n v="12"/>
    <x v="2"/>
  </r>
  <r>
    <s v="TX502022"/>
    <x v="2"/>
    <x v="12"/>
    <n v="53.2"/>
    <n v="212.8"/>
    <x v="74"/>
    <x v="76"/>
    <x v="1"/>
    <x v="0"/>
    <x v="2"/>
    <x v="0"/>
    <x v="8"/>
    <x v="3"/>
    <n v="12"/>
    <x v="1"/>
  </r>
  <r>
    <s v="TX502023"/>
    <x v="6"/>
    <x v="3"/>
    <n v="151"/>
    <n v="1057"/>
    <x v="74"/>
    <x v="76"/>
    <x v="3"/>
    <x v="1"/>
    <x v="1"/>
    <x v="0"/>
    <x v="8"/>
    <x v="3"/>
    <n v="12"/>
    <x v="3"/>
  </r>
  <r>
    <s v="TX502024"/>
    <x v="1"/>
    <x v="1"/>
    <n v="37.1"/>
    <n v="74.2"/>
    <x v="74"/>
    <x v="76"/>
    <x v="2"/>
    <x v="4"/>
    <x v="0"/>
    <x v="0"/>
    <x v="8"/>
    <x v="3"/>
    <n v="12"/>
    <x v="2"/>
  </r>
  <r>
    <s v="TX502025"/>
    <x v="5"/>
    <x v="1"/>
    <n v="38.9"/>
    <n v="77.8"/>
    <x v="74"/>
    <x v="76"/>
    <x v="1"/>
    <x v="4"/>
    <x v="0"/>
    <x v="0"/>
    <x v="8"/>
    <x v="3"/>
    <n v="12"/>
    <x v="1"/>
  </r>
  <r>
    <s v="TX502026"/>
    <x v="10"/>
    <x v="1"/>
    <n v="35.200000000000003"/>
    <n v="70.400000000000006"/>
    <x v="74"/>
    <x v="76"/>
    <x v="1"/>
    <x v="0"/>
    <x v="2"/>
    <x v="0"/>
    <x v="17"/>
    <x v="3"/>
    <n v="12"/>
    <x v="1"/>
  </r>
  <r>
    <s v="TX502027"/>
    <x v="0"/>
    <x v="1"/>
    <n v="22.3"/>
    <n v="44.6"/>
    <x v="74"/>
    <x v="73"/>
    <x v="2"/>
    <x v="1"/>
    <x v="0"/>
    <x v="0"/>
    <x v="9"/>
    <x v="1"/>
    <n v="12"/>
    <x v="2"/>
  </r>
  <r>
    <s v="TX502028"/>
    <x v="9"/>
    <x v="0"/>
    <n v="43.3"/>
    <n v="43.3"/>
    <x v="74"/>
    <x v="83"/>
    <x v="2"/>
    <x v="0"/>
    <x v="2"/>
    <x v="0"/>
    <x v="11"/>
    <x v="2"/>
    <n v="12"/>
    <x v="2"/>
  </r>
  <r>
    <s v="TX502029"/>
    <x v="6"/>
    <x v="13"/>
    <n v="75.900000000000006"/>
    <n v="455.40000000000003"/>
    <x v="74"/>
    <x v="80"/>
    <x v="1"/>
    <x v="0"/>
    <x v="0"/>
    <x v="0"/>
    <x v="11"/>
    <x v="4"/>
    <n v="12"/>
    <x v="1"/>
  </r>
  <r>
    <s v="TX502030"/>
    <x v="6"/>
    <x v="2"/>
    <n v="78.7"/>
    <n v="236.10000000000002"/>
    <x v="74"/>
    <x v="78"/>
    <x v="2"/>
    <x v="2"/>
    <x v="1"/>
    <x v="0"/>
    <x v="11"/>
    <x v="5"/>
    <n v="12"/>
    <x v="2"/>
  </r>
  <r>
    <s v="TX502031"/>
    <x v="1"/>
    <x v="0"/>
    <n v="66.3"/>
    <n v="66.3"/>
    <x v="74"/>
    <x v="78"/>
    <x v="2"/>
    <x v="0"/>
    <x v="2"/>
    <x v="0"/>
    <x v="19"/>
    <x v="5"/>
    <n v="12"/>
    <x v="2"/>
  </r>
  <r>
    <s v="TX502032"/>
    <x v="8"/>
    <x v="1"/>
    <n v="33.6"/>
    <n v="67.2"/>
    <x v="74"/>
    <x v="69"/>
    <x v="1"/>
    <x v="0"/>
    <x v="1"/>
    <x v="0"/>
    <x v="19"/>
    <x v="7"/>
    <n v="12"/>
    <x v="1"/>
  </r>
  <r>
    <s v="TX502033"/>
    <x v="2"/>
    <x v="3"/>
    <n v="61.4"/>
    <n v="429.8"/>
    <x v="74"/>
    <x v="76"/>
    <x v="1"/>
    <x v="4"/>
    <x v="0"/>
    <x v="0"/>
    <x v="19"/>
    <x v="3"/>
    <n v="12"/>
    <x v="1"/>
  </r>
  <r>
    <s v="TX502034"/>
    <x v="8"/>
    <x v="1"/>
    <n v="17.5"/>
    <n v="35"/>
    <x v="74"/>
    <x v="83"/>
    <x v="2"/>
    <x v="0"/>
    <x v="0"/>
    <x v="0"/>
    <x v="21"/>
    <x v="2"/>
    <n v="12"/>
    <x v="2"/>
  </r>
  <r>
    <s v="TX502035"/>
    <x v="8"/>
    <x v="1"/>
    <n v="32.5"/>
    <n v="65"/>
    <x v="74"/>
    <x v="83"/>
    <x v="2"/>
    <x v="1"/>
    <x v="0"/>
    <x v="0"/>
    <x v="21"/>
    <x v="2"/>
    <n v="12"/>
    <x v="2"/>
  </r>
  <r>
    <s v="TX502036"/>
    <x v="4"/>
    <x v="0"/>
    <n v="34.6"/>
    <n v="34.6"/>
    <x v="74"/>
    <x v="76"/>
    <x v="2"/>
    <x v="4"/>
    <x v="0"/>
    <x v="0"/>
    <x v="21"/>
    <x v="3"/>
    <n v="12"/>
    <x v="2"/>
  </r>
  <r>
    <s v="TX502037"/>
    <x v="2"/>
    <x v="0"/>
    <n v="75.900000000000006"/>
    <n v="75.900000000000006"/>
    <x v="74"/>
    <x v="69"/>
    <x v="1"/>
    <x v="1"/>
    <x v="2"/>
    <x v="0"/>
    <x v="21"/>
    <x v="7"/>
    <n v="12"/>
    <x v="1"/>
  </r>
  <r>
    <s v="TX502038"/>
    <x v="1"/>
    <x v="2"/>
    <n v="42.1"/>
    <n v="126.30000000000001"/>
    <x v="74"/>
    <x v="83"/>
    <x v="1"/>
    <x v="1"/>
    <x v="1"/>
    <x v="0"/>
    <x v="21"/>
    <x v="2"/>
    <n v="12"/>
    <x v="1"/>
  </r>
  <r>
    <s v="TX502039"/>
    <x v="7"/>
    <x v="2"/>
    <n v="65.3"/>
    <n v="195.89999999999998"/>
    <x v="74"/>
    <x v="79"/>
    <x v="1"/>
    <x v="0"/>
    <x v="0"/>
    <x v="0"/>
    <x v="1"/>
    <x v="6"/>
    <n v="12"/>
    <x v="1"/>
  </r>
  <r>
    <s v="TX502040"/>
    <x v="15"/>
    <x v="0"/>
    <n v="20.6"/>
    <n v="20.6"/>
    <x v="74"/>
    <x v="83"/>
    <x v="1"/>
    <x v="3"/>
    <x v="0"/>
    <x v="0"/>
    <x v="42"/>
    <x v="2"/>
    <n v="12"/>
    <x v="1"/>
  </r>
  <r>
    <s v="TX502041"/>
    <x v="8"/>
    <x v="3"/>
    <n v="16.5"/>
    <n v="115.5"/>
    <x v="74"/>
    <x v="76"/>
    <x v="1"/>
    <x v="1"/>
    <x v="1"/>
    <x v="0"/>
    <x v="2"/>
    <x v="3"/>
    <n v="12"/>
    <x v="1"/>
  </r>
  <r>
    <s v="TX502042"/>
    <x v="16"/>
    <x v="7"/>
    <n v="36.200000000000003"/>
    <n v="362"/>
    <x v="74"/>
    <x v="73"/>
    <x v="1"/>
    <x v="0"/>
    <x v="2"/>
    <x v="0"/>
    <x v="2"/>
    <x v="1"/>
    <n v="12"/>
    <x v="1"/>
  </r>
  <r>
    <s v="TX502043"/>
    <x v="6"/>
    <x v="0"/>
    <n v="53.2"/>
    <n v="53.2"/>
    <x v="74"/>
    <x v="76"/>
    <x v="2"/>
    <x v="0"/>
    <x v="1"/>
    <x v="0"/>
    <x v="22"/>
    <x v="3"/>
    <n v="12"/>
    <x v="2"/>
  </r>
  <r>
    <s v="TX502044"/>
    <x v="2"/>
    <x v="21"/>
    <n v="176"/>
    <n v="2464"/>
    <x v="74"/>
    <x v="76"/>
    <x v="2"/>
    <x v="0"/>
    <x v="1"/>
    <x v="0"/>
    <x v="3"/>
    <x v="3"/>
    <n v="12"/>
    <x v="2"/>
  </r>
  <r>
    <s v="TX502045"/>
    <x v="1"/>
    <x v="0"/>
    <n v="52.4"/>
    <n v="52.4"/>
    <x v="74"/>
    <x v="76"/>
    <x v="1"/>
    <x v="1"/>
    <x v="0"/>
    <x v="0"/>
    <x v="3"/>
    <x v="3"/>
    <n v="12"/>
    <x v="1"/>
  </r>
  <r>
    <s v="TX502046"/>
    <x v="10"/>
    <x v="2"/>
    <n v="48.2"/>
    <n v="144.60000000000002"/>
    <x v="74"/>
    <x v="76"/>
    <x v="2"/>
    <x v="1"/>
    <x v="2"/>
    <x v="0"/>
    <x v="3"/>
    <x v="3"/>
    <n v="12"/>
    <x v="2"/>
  </r>
  <r>
    <s v="TX502047"/>
    <x v="15"/>
    <x v="0"/>
    <n v="51.6"/>
    <n v="51.6"/>
    <x v="74"/>
    <x v="78"/>
    <x v="2"/>
    <x v="2"/>
    <x v="1"/>
    <x v="0"/>
    <x v="3"/>
    <x v="5"/>
    <n v="12"/>
    <x v="2"/>
  </r>
  <r>
    <s v="TX502048"/>
    <x v="0"/>
    <x v="12"/>
    <n v="33.700000000000003"/>
    <n v="134.80000000000001"/>
    <x v="75"/>
    <x v="73"/>
    <x v="1"/>
    <x v="0"/>
    <x v="0"/>
    <x v="0"/>
    <x v="3"/>
    <x v="3"/>
    <n v="12"/>
    <x v="1"/>
  </r>
  <r>
    <s v="TX502049"/>
    <x v="4"/>
    <x v="7"/>
    <n v="36.299999999999997"/>
    <n v="363"/>
    <x v="75"/>
    <x v="83"/>
    <x v="2"/>
    <x v="4"/>
    <x v="1"/>
    <x v="0"/>
    <x v="3"/>
    <x v="1"/>
    <n v="12"/>
    <x v="2"/>
  </r>
  <r>
    <s v="TX502050"/>
    <x v="8"/>
    <x v="0"/>
    <n v="23.4"/>
    <n v="23.4"/>
    <x v="75"/>
    <x v="80"/>
    <x v="2"/>
    <x v="1"/>
    <x v="2"/>
    <x v="0"/>
    <x v="3"/>
    <x v="0"/>
    <n v="12"/>
    <x v="2"/>
  </r>
  <r>
    <s v="TX502051"/>
    <x v="15"/>
    <x v="8"/>
    <n v="56.6"/>
    <n v="452.8"/>
    <x v="75"/>
    <x v="83"/>
    <x v="2"/>
    <x v="1"/>
    <x v="0"/>
    <x v="0"/>
    <x v="3"/>
    <x v="1"/>
    <n v="12"/>
    <x v="2"/>
  </r>
  <r>
    <s v="TX502052"/>
    <x v="15"/>
    <x v="1"/>
    <n v="26.8"/>
    <n v="53.6"/>
    <x v="75"/>
    <x v="73"/>
    <x v="1"/>
    <x v="0"/>
    <x v="0"/>
    <x v="0"/>
    <x v="4"/>
    <x v="3"/>
    <n v="12"/>
    <x v="1"/>
  </r>
  <r>
    <s v="TX502053"/>
    <x v="0"/>
    <x v="2"/>
    <n v="11.3"/>
    <n v="33.900000000000006"/>
    <x v="75"/>
    <x v="83"/>
    <x v="1"/>
    <x v="2"/>
    <x v="0"/>
    <x v="0"/>
    <x v="25"/>
    <x v="1"/>
    <n v="12"/>
    <x v="1"/>
  </r>
  <r>
    <s v="TX502054"/>
    <x v="6"/>
    <x v="2"/>
    <n v="60.1"/>
    <n v="180.3"/>
    <x v="75"/>
    <x v="78"/>
    <x v="2"/>
    <x v="0"/>
    <x v="0"/>
    <x v="0"/>
    <x v="7"/>
    <x v="2"/>
    <n v="12"/>
    <x v="2"/>
  </r>
  <r>
    <s v="TX502055"/>
    <x v="0"/>
    <x v="5"/>
    <n v="27.7"/>
    <n v="304.7"/>
    <x v="75"/>
    <x v="80"/>
    <x v="2"/>
    <x v="0"/>
    <x v="0"/>
    <x v="0"/>
    <x v="8"/>
    <x v="0"/>
    <n v="12"/>
    <x v="2"/>
  </r>
  <r>
    <s v="TX502056"/>
    <x v="15"/>
    <x v="0"/>
    <n v="71.400000000000006"/>
    <n v="71.400000000000006"/>
    <x v="75"/>
    <x v="78"/>
    <x v="1"/>
    <x v="0"/>
    <x v="2"/>
    <x v="0"/>
    <x v="8"/>
    <x v="2"/>
    <n v="12"/>
    <x v="1"/>
  </r>
  <r>
    <s v="TX502057"/>
    <x v="2"/>
    <x v="1"/>
    <n v="66.7"/>
    <n v="133.4"/>
    <x v="75"/>
    <x v="73"/>
    <x v="2"/>
    <x v="0"/>
    <x v="2"/>
    <x v="0"/>
    <x v="8"/>
    <x v="3"/>
    <n v="12"/>
    <x v="2"/>
  </r>
  <r>
    <s v="TX502058"/>
    <x v="13"/>
    <x v="9"/>
    <n v="39.1"/>
    <n v="195.5"/>
    <x v="75"/>
    <x v="73"/>
    <x v="2"/>
    <x v="0"/>
    <x v="0"/>
    <x v="0"/>
    <x v="8"/>
    <x v="3"/>
    <n v="12"/>
    <x v="2"/>
  </r>
  <r>
    <s v="TX502059"/>
    <x v="8"/>
    <x v="12"/>
    <n v="24.9"/>
    <n v="99.6"/>
    <x v="75"/>
    <x v="80"/>
    <x v="1"/>
    <x v="1"/>
    <x v="2"/>
    <x v="0"/>
    <x v="8"/>
    <x v="0"/>
    <n v="12"/>
    <x v="1"/>
  </r>
  <r>
    <s v="TX502060"/>
    <x v="5"/>
    <x v="9"/>
    <n v="29.2"/>
    <n v="146"/>
    <x v="75"/>
    <x v="73"/>
    <x v="1"/>
    <x v="0"/>
    <x v="2"/>
    <x v="0"/>
    <x v="17"/>
    <x v="3"/>
    <n v="12"/>
    <x v="1"/>
  </r>
  <r>
    <s v="TX502061"/>
    <x v="13"/>
    <x v="21"/>
    <n v="28.3"/>
    <n v="396.2"/>
    <x v="75"/>
    <x v="83"/>
    <x v="2"/>
    <x v="1"/>
    <x v="0"/>
    <x v="0"/>
    <x v="11"/>
    <x v="1"/>
    <n v="12"/>
    <x v="2"/>
  </r>
  <r>
    <s v="TX502062"/>
    <x v="9"/>
    <x v="2"/>
    <n v="37.799999999999997"/>
    <n v="113.39999999999999"/>
    <x v="75"/>
    <x v="73"/>
    <x v="2"/>
    <x v="0"/>
    <x v="1"/>
    <x v="0"/>
    <x v="11"/>
    <x v="3"/>
    <n v="12"/>
    <x v="2"/>
  </r>
  <r>
    <s v="TX502063"/>
    <x v="14"/>
    <x v="3"/>
    <n v="28.1"/>
    <n v="196.70000000000002"/>
    <x v="75"/>
    <x v="79"/>
    <x v="2"/>
    <x v="2"/>
    <x v="0"/>
    <x v="0"/>
    <x v="11"/>
    <x v="4"/>
    <n v="12"/>
    <x v="2"/>
  </r>
  <r>
    <s v="TX502064"/>
    <x v="1"/>
    <x v="2"/>
    <n v="59.7"/>
    <n v="179.10000000000002"/>
    <x v="75"/>
    <x v="83"/>
    <x v="2"/>
    <x v="2"/>
    <x v="0"/>
    <x v="0"/>
    <x v="11"/>
    <x v="1"/>
    <n v="12"/>
    <x v="2"/>
  </r>
  <r>
    <s v="TX502065"/>
    <x v="16"/>
    <x v="0"/>
    <n v="71.900000000000006"/>
    <n v="71.900000000000006"/>
    <x v="75"/>
    <x v="73"/>
    <x v="1"/>
    <x v="1"/>
    <x v="1"/>
    <x v="0"/>
    <x v="11"/>
    <x v="3"/>
    <n v="12"/>
    <x v="1"/>
  </r>
  <r>
    <s v="TX502066"/>
    <x v="1"/>
    <x v="1"/>
    <n v="56.9"/>
    <n v="113.8"/>
    <x v="75"/>
    <x v="73"/>
    <x v="1"/>
    <x v="2"/>
    <x v="0"/>
    <x v="0"/>
    <x v="13"/>
    <x v="3"/>
    <n v="12"/>
    <x v="1"/>
  </r>
  <r>
    <s v="TX502067"/>
    <x v="8"/>
    <x v="1"/>
    <n v="15.8"/>
    <n v="31.6"/>
    <x v="75"/>
    <x v="78"/>
    <x v="2"/>
    <x v="2"/>
    <x v="1"/>
    <x v="0"/>
    <x v="1"/>
    <x v="2"/>
    <n v="12"/>
    <x v="2"/>
  </r>
  <r>
    <s v="TX502068"/>
    <x v="11"/>
    <x v="12"/>
    <n v="61.7"/>
    <n v="246.8"/>
    <x v="75"/>
    <x v="83"/>
    <x v="2"/>
    <x v="2"/>
    <x v="0"/>
    <x v="0"/>
    <x v="22"/>
    <x v="1"/>
    <n v="12"/>
    <x v="2"/>
  </r>
  <r>
    <s v="TX502069"/>
    <x v="2"/>
    <x v="7"/>
    <n v="105.2"/>
    <n v="1052"/>
    <x v="75"/>
    <x v="83"/>
    <x v="1"/>
    <x v="1"/>
    <x v="4"/>
    <x v="0"/>
    <x v="3"/>
    <x v="1"/>
    <n v="12"/>
    <x v="1"/>
  </r>
  <r>
    <s v="TX502070"/>
    <x v="0"/>
    <x v="1"/>
    <n v="17"/>
    <n v="34"/>
    <x v="75"/>
    <x v="83"/>
    <x v="2"/>
    <x v="2"/>
    <x v="0"/>
    <x v="0"/>
    <x v="3"/>
    <x v="1"/>
    <n v="12"/>
    <x v="2"/>
  </r>
  <r>
    <s v="TX502071"/>
    <x v="6"/>
    <x v="2"/>
    <n v="84.1"/>
    <n v="252.29999999999998"/>
    <x v="75"/>
    <x v="73"/>
    <x v="1"/>
    <x v="2"/>
    <x v="0"/>
    <x v="0"/>
    <x v="3"/>
    <x v="3"/>
    <n v="12"/>
    <x v="1"/>
  </r>
  <r>
    <s v="TX502072"/>
    <x v="3"/>
    <x v="12"/>
    <n v="59.5"/>
    <n v="238"/>
    <x v="75"/>
    <x v="80"/>
    <x v="1"/>
    <x v="0"/>
    <x v="2"/>
    <x v="0"/>
    <x v="3"/>
    <x v="0"/>
    <n v="12"/>
    <x v="1"/>
  </r>
  <r>
    <s v="TX502073"/>
    <x v="8"/>
    <x v="1"/>
    <n v="57.5"/>
    <n v="115"/>
    <x v="75"/>
    <x v="83"/>
    <x v="1"/>
    <x v="1"/>
    <x v="2"/>
    <x v="0"/>
    <x v="3"/>
    <x v="1"/>
    <n v="12"/>
    <x v="1"/>
  </r>
  <r>
    <s v="TX502074"/>
    <x v="8"/>
    <x v="0"/>
    <n v="34.299999999999997"/>
    <n v="34.299999999999997"/>
    <x v="75"/>
    <x v="73"/>
    <x v="2"/>
    <x v="4"/>
    <x v="2"/>
    <x v="0"/>
    <x v="3"/>
    <x v="3"/>
    <n v="12"/>
    <x v="2"/>
  </r>
  <r>
    <s v="TX502075"/>
    <x v="5"/>
    <x v="1"/>
    <n v="27.8"/>
    <n v="55.6"/>
    <x v="76"/>
    <x v="78"/>
    <x v="2"/>
    <x v="0"/>
    <x v="0"/>
    <x v="0"/>
    <x v="3"/>
    <x v="1"/>
    <n v="12"/>
    <x v="2"/>
  </r>
  <r>
    <s v="TX502076"/>
    <x v="12"/>
    <x v="1"/>
    <n v="85"/>
    <n v="170"/>
    <x v="76"/>
    <x v="73"/>
    <x v="1"/>
    <x v="2"/>
    <x v="2"/>
    <x v="0"/>
    <x v="3"/>
    <x v="7"/>
    <n v="12"/>
    <x v="1"/>
  </r>
  <r>
    <s v="TX502077"/>
    <x v="6"/>
    <x v="1"/>
    <n v="95"/>
    <n v="190"/>
    <x v="76"/>
    <x v="78"/>
    <x v="2"/>
    <x v="0"/>
    <x v="0"/>
    <x v="0"/>
    <x v="3"/>
    <x v="1"/>
    <n v="12"/>
    <x v="2"/>
  </r>
  <r>
    <s v="TX502078"/>
    <x v="16"/>
    <x v="1"/>
    <n v="32"/>
    <n v="64"/>
    <x v="76"/>
    <x v="78"/>
    <x v="1"/>
    <x v="0"/>
    <x v="1"/>
    <x v="0"/>
    <x v="3"/>
    <x v="1"/>
    <n v="12"/>
    <x v="1"/>
  </r>
  <r>
    <s v="TX502079"/>
    <x v="2"/>
    <x v="1"/>
    <n v="65.2"/>
    <n v="130.4"/>
    <x v="76"/>
    <x v="83"/>
    <x v="2"/>
    <x v="1"/>
    <x v="0"/>
    <x v="0"/>
    <x v="3"/>
    <x v="3"/>
    <n v="12"/>
    <x v="2"/>
  </r>
  <r>
    <s v="TX502080"/>
    <x v="17"/>
    <x v="12"/>
    <n v="22"/>
    <n v="88"/>
    <x v="76"/>
    <x v="83"/>
    <x v="1"/>
    <x v="1"/>
    <x v="2"/>
    <x v="0"/>
    <x v="3"/>
    <x v="3"/>
    <n v="12"/>
    <x v="1"/>
  </r>
  <r>
    <s v="TX502081"/>
    <x v="15"/>
    <x v="2"/>
    <n v="69.400000000000006"/>
    <n v="208.20000000000002"/>
    <x v="76"/>
    <x v="75"/>
    <x v="1"/>
    <x v="1"/>
    <x v="2"/>
    <x v="0"/>
    <x v="3"/>
    <x v="2"/>
    <n v="12"/>
    <x v="1"/>
  </r>
  <r>
    <s v="TX502082"/>
    <x v="10"/>
    <x v="13"/>
    <n v="31.5"/>
    <n v="189"/>
    <x v="76"/>
    <x v="78"/>
    <x v="2"/>
    <x v="0"/>
    <x v="2"/>
    <x v="0"/>
    <x v="3"/>
    <x v="1"/>
    <n v="12"/>
    <x v="2"/>
  </r>
  <r>
    <s v="TX502083"/>
    <x v="6"/>
    <x v="0"/>
    <n v="45.8"/>
    <n v="45.8"/>
    <x v="76"/>
    <x v="80"/>
    <x v="3"/>
    <x v="0"/>
    <x v="0"/>
    <x v="0"/>
    <x v="3"/>
    <x v="5"/>
    <n v="12"/>
    <x v="3"/>
  </r>
  <r>
    <s v="TX502084"/>
    <x v="19"/>
    <x v="12"/>
    <n v="12.8"/>
    <n v="51.2"/>
    <x v="76"/>
    <x v="82"/>
    <x v="2"/>
    <x v="1"/>
    <x v="1"/>
    <x v="0"/>
    <x v="5"/>
    <x v="6"/>
    <n v="12"/>
    <x v="2"/>
  </r>
  <r>
    <s v="TX502085"/>
    <x v="5"/>
    <x v="2"/>
    <n v="115.3"/>
    <n v="345.9"/>
    <x v="76"/>
    <x v="83"/>
    <x v="2"/>
    <x v="2"/>
    <x v="2"/>
    <x v="0"/>
    <x v="6"/>
    <x v="3"/>
    <n v="12"/>
    <x v="2"/>
  </r>
  <r>
    <s v="TX502086"/>
    <x v="5"/>
    <x v="1"/>
    <n v="85"/>
    <n v="170"/>
    <x v="76"/>
    <x v="78"/>
    <x v="2"/>
    <x v="1"/>
    <x v="0"/>
    <x v="0"/>
    <x v="7"/>
    <x v="1"/>
    <n v="12"/>
    <x v="2"/>
  </r>
  <r>
    <s v="TX502087"/>
    <x v="8"/>
    <x v="2"/>
    <n v="56.6"/>
    <n v="169.8"/>
    <x v="76"/>
    <x v="83"/>
    <x v="2"/>
    <x v="1"/>
    <x v="2"/>
    <x v="0"/>
    <x v="7"/>
    <x v="3"/>
    <n v="12"/>
    <x v="2"/>
  </r>
  <r>
    <s v="TX502088"/>
    <x v="15"/>
    <x v="6"/>
    <n v="46.3"/>
    <n v="1250.0999999999999"/>
    <x v="76"/>
    <x v="75"/>
    <x v="1"/>
    <x v="0"/>
    <x v="0"/>
    <x v="0"/>
    <x v="7"/>
    <x v="2"/>
    <n v="12"/>
    <x v="1"/>
  </r>
  <r>
    <s v="TX502089"/>
    <x v="14"/>
    <x v="12"/>
    <n v="23"/>
    <n v="92"/>
    <x v="76"/>
    <x v="80"/>
    <x v="1"/>
    <x v="3"/>
    <x v="2"/>
    <x v="0"/>
    <x v="7"/>
    <x v="5"/>
    <n v="12"/>
    <x v="1"/>
  </r>
  <r>
    <s v="TX502090"/>
    <x v="8"/>
    <x v="13"/>
    <n v="42.1"/>
    <n v="252.60000000000002"/>
    <x v="76"/>
    <x v="78"/>
    <x v="1"/>
    <x v="4"/>
    <x v="0"/>
    <x v="0"/>
    <x v="8"/>
    <x v="1"/>
    <n v="12"/>
    <x v="1"/>
  </r>
  <r>
    <s v="TX502091"/>
    <x v="5"/>
    <x v="3"/>
    <n v="57.4"/>
    <n v="401.8"/>
    <x v="76"/>
    <x v="80"/>
    <x v="2"/>
    <x v="1"/>
    <x v="4"/>
    <x v="0"/>
    <x v="8"/>
    <x v="5"/>
    <n v="12"/>
    <x v="2"/>
  </r>
  <r>
    <s v="TX502092"/>
    <x v="0"/>
    <x v="13"/>
    <n v="13.2"/>
    <n v="79.199999999999989"/>
    <x v="76"/>
    <x v="80"/>
    <x v="1"/>
    <x v="2"/>
    <x v="0"/>
    <x v="0"/>
    <x v="8"/>
    <x v="5"/>
    <n v="12"/>
    <x v="1"/>
  </r>
  <r>
    <s v="TX502093"/>
    <x v="6"/>
    <x v="2"/>
    <n v="52.3"/>
    <n v="156.89999999999998"/>
    <x v="76"/>
    <x v="83"/>
    <x v="1"/>
    <x v="1"/>
    <x v="0"/>
    <x v="0"/>
    <x v="8"/>
    <x v="3"/>
    <n v="12"/>
    <x v="1"/>
  </r>
  <r>
    <s v="TX502094"/>
    <x v="8"/>
    <x v="1"/>
    <n v="15.7"/>
    <n v="31.4"/>
    <x v="76"/>
    <x v="75"/>
    <x v="1"/>
    <x v="1"/>
    <x v="2"/>
    <x v="0"/>
    <x v="8"/>
    <x v="2"/>
    <n v="12"/>
    <x v="1"/>
  </r>
  <r>
    <s v="TX502095"/>
    <x v="7"/>
    <x v="2"/>
    <n v="35"/>
    <n v="105"/>
    <x v="76"/>
    <x v="75"/>
    <x v="2"/>
    <x v="1"/>
    <x v="2"/>
    <x v="0"/>
    <x v="9"/>
    <x v="2"/>
    <n v="12"/>
    <x v="2"/>
  </r>
  <r>
    <s v="TX502096"/>
    <x v="4"/>
    <x v="2"/>
    <n v="26.6"/>
    <n v="79.800000000000011"/>
    <x v="76"/>
    <x v="73"/>
    <x v="1"/>
    <x v="1"/>
    <x v="2"/>
    <x v="0"/>
    <x v="11"/>
    <x v="7"/>
    <n v="12"/>
    <x v="1"/>
  </r>
  <r>
    <s v="TX502097"/>
    <x v="4"/>
    <x v="8"/>
    <n v="47.9"/>
    <n v="383.2"/>
    <x v="77"/>
    <x v="78"/>
    <x v="2"/>
    <x v="3"/>
    <x v="2"/>
    <x v="0"/>
    <x v="20"/>
    <x v="3"/>
    <n v="12"/>
    <x v="2"/>
  </r>
  <r>
    <s v="TX502098"/>
    <x v="5"/>
    <x v="0"/>
    <n v="80.099999999999994"/>
    <n v="80.099999999999994"/>
    <x v="77"/>
    <x v="78"/>
    <x v="1"/>
    <x v="2"/>
    <x v="0"/>
    <x v="0"/>
    <x v="21"/>
    <x v="3"/>
    <n v="12"/>
    <x v="1"/>
  </r>
  <r>
    <s v="TX502099"/>
    <x v="6"/>
    <x v="9"/>
    <n v="50.4"/>
    <n v="252"/>
    <x v="77"/>
    <x v="78"/>
    <x v="1"/>
    <x v="1"/>
    <x v="2"/>
    <x v="0"/>
    <x v="21"/>
    <x v="3"/>
    <n v="12"/>
    <x v="1"/>
  </r>
  <r>
    <s v="TX502100"/>
    <x v="10"/>
    <x v="3"/>
    <n v="43.3"/>
    <n v="303.09999999999997"/>
    <x v="77"/>
    <x v="78"/>
    <x v="1"/>
    <x v="2"/>
    <x v="0"/>
    <x v="0"/>
    <x v="21"/>
    <x v="3"/>
    <n v="12"/>
    <x v="1"/>
  </r>
  <r>
    <s v="TX502101"/>
    <x v="10"/>
    <x v="12"/>
    <n v="57.5"/>
    <n v="230"/>
    <x v="77"/>
    <x v="78"/>
    <x v="2"/>
    <x v="1"/>
    <x v="2"/>
    <x v="0"/>
    <x v="1"/>
    <x v="3"/>
    <n v="12"/>
    <x v="2"/>
  </r>
  <r>
    <s v="TX502102"/>
    <x v="9"/>
    <x v="15"/>
    <n v="24.8"/>
    <n v="322.40000000000003"/>
    <x v="77"/>
    <x v="78"/>
    <x v="1"/>
    <x v="0"/>
    <x v="0"/>
    <x v="0"/>
    <x v="57"/>
    <x v="3"/>
    <n v="12"/>
    <x v="1"/>
  </r>
  <r>
    <s v="TX502103"/>
    <x v="2"/>
    <x v="11"/>
    <n v="85.7"/>
    <n v="771.30000000000007"/>
    <x v="77"/>
    <x v="78"/>
    <x v="2"/>
    <x v="0"/>
    <x v="0"/>
    <x v="0"/>
    <x v="42"/>
    <x v="3"/>
    <n v="12"/>
    <x v="2"/>
  </r>
  <r>
    <s v="TX502104"/>
    <x v="7"/>
    <x v="0"/>
    <n v="47.1"/>
    <n v="47.1"/>
    <x v="77"/>
    <x v="75"/>
    <x v="2"/>
    <x v="0"/>
    <x v="0"/>
    <x v="0"/>
    <x v="2"/>
    <x v="1"/>
    <n v="12"/>
    <x v="2"/>
  </r>
  <r>
    <s v="TX502105"/>
    <x v="5"/>
    <x v="7"/>
    <n v="83.2"/>
    <n v="832"/>
    <x v="77"/>
    <x v="79"/>
    <x v="2"/>
    <x v="0"/>
    <x v="0"/>
    <x v="0"/>
    <x v="33"/>
    <x v="5"/>
    <n v="12"/>
    <x v="2"/>
  </r>
  <r>
    <s v="TX502106"/>
    <x v="2"/>
    <x v="2"/>
    <n v="157"/>
    <n v="471"/>
    <x v="77"/>
    <x v="75"/>
    <x v="2"/>
    <x v="0"/>
    <x v="2"/>
    <x v="0"/>
    <x v="22"/>
    <x v="1"/>
    <n v="12"/>
    <x v="2"/>
  </r>
  <r>
    <s v="TX502107"/>
    <x v="16"/>
    <x v="12"/>
    <n v="33.700000000000003"/>
    <n v="134.80000000000001"/>
    <x v="77"/>
    <x v="78"/>
    <x v="1"/>
    <x v="2"/>
    <x v="2"/>
    <x v="0"/>
    <x v="22"/>
    <x v="3"/>
    <n v="12"/>
    <x v="1"/>
  </r>
  <r>
    <s v="TX502108"/>
    <x v="2"/>
    <x v="2"/>
    <n v="60.8"/>
    <n v="182.39999999999998"/>
    <x v="77"/>
    <x v="79"/>
    <x v="2"/>
    <x v="1"/>
    <x v="1"/>
    <x v="0"/>
    <x v="3"/>
    <x v="5"/>
    <n v="12"/>
    <x v="2"/>
  </r>
  <r>
    <s v="TX502109"/>
    <x v="7"/>
    <x v="0"/>
    <n v="57.6"/>
    <n v="57.6"/>
    <x v="77"/>
    <x v="78"/>
    <x v="1"/>
    <x v="1"/>
    <x v="4"/>
    <x v="0"/>
    <x v="3"/>
    <x v="3"/>
    <n v="12"/>
    <x v="1"/>
  </r>
  <r>
    <s v="TX502110"/>
    <x v="10"/>
    <x v="0"/>
    <n v="32"/>
    <n v="32"/>
    <x v="77"/>
    <x v="75"/>
    <x v="1"/>
    <x v="0"/>
    <x v="0"/>
    <x v="0"/>
    <x v="3"/>
    <x v="1"/>
    <n v="12"/>
    <x v="1"/>
  </r>
  <r>
    <s v="TX502111"/>
    <x v="10"/>
    <x v="12"/>
    <n v="23.5"/>
    <n v="94"/>
    <x v="77"/>
    <x v="78"/>
    <x v="2"/>
    <x v="0"/>
    <x v="2"/>
    <x v="0"/>
    <x v="3"/>
    <x v="3"/>
    <n v="12"/>
    <x v="2"/>
  </r>
  <r>
    <s v="TX502112"/>
    <x v="12"/>
    <x v="2"/>
    <n v="44.8"/>
    <n v="134.39999999999998"/>
    <x v="77"/>
    <x v="78"/>
    <x v="3"/>
    <x v="4"/>
    <x v="0"/>
    <x v="0"/>
    <x v="3"/>
    <x v="3"/>
    <n v="12"/>
    <x v="3"/>
  </r>
  <r>
    <s v="TX502113"/>
    <x v="0"/>
    <x v="8"/>
    <n v="11.7"/>
    <n v="93.6"/>
    <x v="77"/>
    <x v="78"/>
    <x v="1"/>
    <x v="2"/>
    <x v="2"/>
    <x v="0"/>
    <x v="3"/>
    <x v="3"/>
    <n v="12"/>
    <x v="1"/>
  </r>
  <r>
    <s v="TX502114"/>
    <x v="7"/>
    <x v="1"/>
    <n v="38.799999999999997"/>
    <n v="77.599999999999994"/>
    <x v="77"/>
    <x v="80"/>
    <x v="2"/>
    <x v="2"/>
    <x v="0"/>
    <x v="0"/>
    <x v="3"/>
    <x v="2"/>
    <n v="12"/>
    <x v="2"/>
  </r>
  <r>
    <s v="TX502115"/>
    <x v="5"/>
    <x v="21"/>
    <n v="86.9"/>
    <n v="1216.6000000000001"/>
    <x v="77"/>
    <x v="77"/>
    <x v="2"/>
    <x v="1"/>
    <x v="0"/>
    <x v="0"/>
    <x v="3"/>
    <x v="0"/>
    <n v="12"/>
    <x v="2"/>
  </r>
  <r>
    <s v="TX502116"/>
    <x v="8"/>
    <x v="0"/>
    <n v="18.3"/>
    <n v="18.3"/>
    <x v="77"/>
    <x v="78"/>
    <x v="2"/>
    <x v="0"/>
    <x v="0"/>
    <x v="0"/>
    <x v="3"/>
    <x v="3"/>
    <n v="12"/>
    <x v="2"/>
  </r>
  <r>
    <s v="TX502117"/>
    <x v="5"/>
    <x v="0"/>
    <n v="47.5"/>
    <n v="47.5"/>
    <x v="77"/>
    <x v="79"/>
    <x v="1"/>
    <x v="4"/>
    <x v="2"/>
    <x v="0"/>
    <x v="3"/>
    <x v="5"/>
    <n v="12"/>
    <x v="1"/>
  </r>
  <r>
    <s v="TX502118"/>
    <x v="1"/>
    <x v="1"/>
    <n v="78.599999999999994"/>
    <n v="157.19999999999999"/>
    <x v="77"/>
    <x v="78"/>
    <x v="1"/>
    <x v="2"/>
    <x v="2"/>
    <x v="0"/>
    <x v="3"/>
    <x v="3"/>
    <n v="12"/>
    <x v="1"/>
  </r>
  <r>
    <s v="TX502119"/>
    <x v="6"/>
    <x v="12"/>
    <n v="87.3"/>
    <n v="349.2"/>
    <x v="77"/>
    <x v="78"/>
    <x v="1"/>
    <x v="0"/>
    <x v="0"/>
    <x v="0"/>
    <x v="3"/>
    <x v="3"/>
    <n v="12"/>
    <x v="1"/>
  </r>
  <r>
    <s v="TX502120"/>
    <x v="9"/>
    <x v="1"/>
    <n v="63.2"/>
    <n v="126.4"/>
    <x v="77"/>
    <x v="83"/>
    <x v="1"/>
    <x v="4"/>
    <x v="1"/>
    <x v="0"/>
    <x v="3"/>
    <x v="7"/>
    <n v="12"/>
    <x v="1"/>
  </r>
  <r>
    <s v="TX502121"/>
    <x v="5"/>
    <x v="9"/>
    <n v="33.700000000000003"/>
    <n v="168.5"/>
    <x v="77"/>
    <x v="78"/>
    <x v="2"/>
    <x v="0"/>
    <x v="0"/>
    <x v="0"/>
    <x v="3"/>
    <x v="3"/>
    <n v="12"/>
    <x v="2"/>
  </r>
  <r>
    <s v="TX502122"/>
    <x v="2"/>
    <x v="2"/>
    <n v="107.4"/>
    <n v="322.20000000000005"/>
    <x v="77"/>
    <x v="84"/>
    <x v="2"/>
    <x v="1"/>
    <x v="2"/>
    <x v="0"/>
    <x v="3"/>
    <x v="10"/>
    <n v="12"/>
    <x v="2"/>
  </r>
  <r>
    <s v="TX502123"/>
    <x v="4"/>
    <x v="12"/>
    <n v="22.2"/>
    <n v="88.8"/>
    <x v="77"/>
    <x v="78"/>
    <x v="0"/>
    <x v="1"/>
    <x v="2"/>
    <x v="0"/>
    <x v="24"/>
    <x v="3"/>
    <n v="12"/>
    <x v="0"/>
  </r>
  <r>
    <s v="TX502124"/>
    <x v="18"/>
    <x v="2"/>
    <n v="52.8"/>
    <n v="158.39999999999998"/>
    <x v="77"/>
    <x v="78"/>
    <x v="1"/>
    <x v="3"/>
    <x v="2"/>
    <x v="0"/>
    <x v="24"/>
    <x v="3"/>
    <n v="12"/>
    <x v="1"/>
  </r>
  <r>
    <s v="TX502125"/>
    <x v="8"/>
    <x v="2"/>
    <n v="41.5"/>
    <n v="124.5"/>
    <x v="77"/>
    <x v="80"/>
    <x v="2"/>
    <x v="0"/>
    <x v="0"/>
    <x v="0"/>
    <x v="25"/>
    <x v="2"/>
    <n v="12"/>
    <x v="2"/>
  </r>
  <r>
    <s v="TX502126"/>
    <x v="12"/>
    <x v="8"/>
    <n v="103.5"/>
    <n v="828"/>
    <x v="77"/>
    <x v="80"/>
    <x v="2"/>
    <x v="0"/>
    <x v="2"/>
    <x v="0"/>
    <x v="23"/>
    <x v="2"/>
    <n v="12"/>
    <x v="2"/>
  </r>
  <r>
    <s v="TX502127"/>
    <x v="4"/>
    <x v="21"/>
    <n v="37.5"/>
    <n v="525"/>
    <x v="77"/>
    <x v="83"/>
    <x v="2"/>
    <x v="1"/>
    <x v="2"/>
    <x v="0"/>
    <x v="6"/>
    <x v="7"/>
    <n v="12"/>
    <x v="2"/>
  </r>
  <r>
    <s v="TX502128"/>
    <x v="15"/>
    <x v="8"/>
    <n v="44.4"/>
    <n v="355.2"/>
    <x v="77"/>
    <x v="82"/>
    <x v="2"/>
    <x v="3"/>
    <x v="2"/>
    <x v="0"/>
    <x v="7"/>
    <x v="4"/>
    <n v="12"/>
    <x v="2"/>
  </r>
  <r>
    <s v="TX502129"/>
    <x v="8"/>
    <x v="2"/>
    <n v="26.2"/>
    <n v="78.599999999999994"/>
    <x v="77"/>
    <x v="78"/>
    <x v="1"/>
    <x v="0"/>
    <x v="0"/>
    <x v="0"/>
    <x v="8"/>
    <x v="3"/>
    <n v="12"/>
    <x v="1"/>
  </r>
  <r>
    <s v="TX502130"/>
    <x v="1"/>
    <x v="3"/>
    <n v="32.200000000000003"/>
    <n v="225.40000000000003"/>
    <x v="77"/>
    <x v="78"/>
    <x v="2"/>
    <x v="1"/>
    <x v="2"/>
    <x v="0"/>
    <x v="8"/>
    <x v="3"/>
    <n v="12"/>
    <x v="2"/>
  </r>
  <r>
    <s v="TX502131"/>
    <x v="8"/>
    <x v="0"/>
    <n v="17.399999999999999"/>
    <n v="17.399999999999999"/>
    <x v="77"/>
    <x v="79"/>
    <x v="0"/>
    <x v="2"/>
    <x v="1"/>
    <x v="0"/>
    <x v="8"/>
    <x v="5"/>
    <n v="12"/>
    <x v="0"/>
  </r>
  <r>
    <s v="TX502132"/>
    <x v="8"/>
    <x v="13"/>
    <n v="72.3"/>
    <n v="433.79999999999995"/>
    <x v="77"/>
    <x v="80"/>
    <x v="2"/>
    <x v="0"/>
    <x v="0"/>
    <x v="0"/>
    <x v="8"/>
    <x v="2"/>
    <n v="12"/>
    <x v="2"/>
  </r>
  <r>
    <s v="TX502133"/>
    <x v="8"/>
    <x v="5"/>
    <n v="24.3"/>
    <n v="267.3"/>
    <x v="77"/>
    <x v="78"/>
    <x v="1"/>
    <x v="0"/>
    <x v="0"/>
    <x v="0"/>
    <x v="8"/>
    <x v="3"/>
    <n v="12"/>
    <x v="1"/>
  </r>
  <r>
    <s v="TX502134"/>
    <x v="13"/>
    <x v="2"/>
    <n v="49.1"/>
    <n v="147.30000000000001"/>
    <x v="77"/>
    <x v="82"/>
    <x v="1"/>
    <x v="2"/>
    <x v="4"/>
    <x v="0"/>
    <x v="8"/>
    <x v="4"/>
    <n v="12"/>
    <x v="1"/>
  </r>
  <r>
    <s v="TX502135"/>
    <x v="2"/>
    <x v="7"/>
    <n v="234.7"/>
    <n v="2347"/>
    <x v="77"/>
    <x v="78"/>
    <x v="1"/>
    <x v="3"/>
    <x v="1"/>
    <x v="0"/>
    <x v="8"/>
    <x v="3"/>
    <n v="12"/>
    <x v="1"/>
  </r>
  <r>
    <s v="TX502136"/>
    <x v="3"/>
    <x v="9"/>
    <n v="76.099999999999994"/>
    <n v="380.5"/>
    <x v="77"/>
    <x v="75"/>
    <x v="1"/>
    <x v="1"/>
    <x v="1"/>
    <x v="0"/>
    <x v="17"/>
    <x v="1"/>
    <n v="12"/>
    <x v="1"/>
  </r>
  <r>
    <s v="TX502137"/>
    <x v="1"/>
    <x v="2"/>
    <n v="93.9"/>
    <n v="281.70000000000005"/>
    <x v="77"/>
    <x v="78"/>
    <x v="1"/>
    <x v="1"/>
    <x v="4"/>
    <x v="0"/>
    <x v="11"/>
    <x v="3"/>
    <n v="12"/>
    <x v="1"/>
  </r>
  <r>
    <s v="TX502138"/>
    <x v="2"/>
    <x v="12"/>
    <n v="187"/>
    <n v="748"/>
    <x v="78"/>
    <x v="79"/>
    <x v="1"/>
    <x v="0"/>
    <x v="0"/>
    <x v="0"/>
    <x v="11"/>
    <x v="2"/>
    <n v="12"/>
    <x v="1"/>
  </r>
  <r>
    <s v="TX502139"/>
    <x v="8"/>
    <x v="1"/>
    <n v="18"/>
    <n v="36"/>
    <x v="78"/>
    <x v="75"/>
    <x v="2"/>
    <x v="1"/>
    <x v="2"/>
    <x v="0"/>
    <x v="53"/>
    <x v="3"/>
    <n v="12"/>
    <x v="2"/>
  </r>
  <r>
    <s v="TX502140"/>
    <x v="4"/>
    <x v="0"/>
    <n v="24.4"/>
    <n v="24.4"/>
    <x v="78"/>
    <x v="75"/>
    <x v="2"/>
    <x v="4"/>
    <x v="2"/>
    <x v="0"/>
    <x v="21"/>
    <x v="3"/>
    <n v="12"/>
    <x v="2"/>
  </r>
  <r>
    <s v="TX502141"/>
    <x v="10"/>
    <x v="1"/>
    <n v="38.799999999999997"/>
    <n v="77.599999999999994"/>
    <x v="78"/>
    <x v="75"/>
    <x v="1"/>
    <x v="4"/>
    <x v="1"/>
    <x v="0"/>
    <x v="3"/>
    <x v="3"/>
    <n v="12"/>
    <x v="1"/>
  </r>
  <r>
    <s v="TX502142"/>
    <x v="3"/>
    <x v="0"/>
    <n v="59.7"/>
    <n v="59.7"/>
    <x v="78"/>
    <x v="79"/>
    <x v="1"/>
    <x v="3"/>
    <x v="0"/>
    <x v="0"/>
    <x v="3"/>
    <x v="2"/>
    <n v="12"/>
    <x v="1"/>
  </r>
  <r>
    <s v="TX502143"/>
    <x v="7"/>
    <x v="0"/>
    <n v="31.2"/>
    <n v="31.2"/>
    <x v="78"/>
    <x v="75"/>
    <x v="1"/>
    <x v="1"/>
    <x v="2"/>
    <x v="0"/>
    <x v="3"/>
    <x v="3"/>
    <n v="12"/>
    <x v="1"/>
  </r>
  <r>
    <s v="TX502144"/>
    <x v="0"/>
    <x v="0"/>
    <n v="16.8"/>
    <n v="16.8"/>
    <x v="78"/>
    <x v="75"/>
    <x v="2"/>
    <x v="2"/>
    <x v="1"/>
    <x v="0"/>
    <x v="3"/>
    <x v="3"/>
    <n v="12"/>
    <x v="2"/>
  </r>
  <r>
    <s v="TX502145"/>
    <x v="8"/>
    <x v="0"/>
    <n v="46"/>
    <n v="46"/>
    <x v="78"/>
    <x v="75"/>
    <x v="1"/>
    <x v="0"/>
    <x v="0"/>
    <x v="0"/>
    <x v="3"/>
    <x v="3"/>
    <n v="12"/>
    <x v="1"/>
  </r>
  <r>
    <s v="TX502146"/>
    <x v="9"/>
    <x v="8"/>
    <n v="42.2"/>
    <n v="337.6"/>
    <x v="78"/>
    <x v="79"/>
    <x v="2"/>
    <x v="3"/>
    <x v="2"/>
    <x v="0"/>
    <x v="3"/>
    <x v="2"/>
    <n v="12"/>
    <x v="2"/>
  </r>
  <r>
    <s v="TX502147"/>
    <x v="1"/>
    <x v="2"/>
    <n v="71.5"/>
    <n v="214.5"/>
    <x v="78"/>
    <x v="85"/>
    <x v="2"/>
    <x v="0"/>
    <x v="0"/>
    <x v="0"/>
    <x v="3"/>
    <x v="12"/>
    <n v="12"/>
    <x v="2"/>
  </r>
  <r>
    <s v="TX502148"/>
    <x v="1"/>
    <x v="1"/>
    <n v="76.599999999999994"/>
    <n v="153.19999999999999"/>
    <x v="78"/>
    <x v="78"/>
    <x v="1"/>
    <x v="0"/>
    <x v="2"/>
    <x v="0"/>
    <x v="3"/>
    <x v="7"/>
    <n v="12"/>
    <x v="1"/>
  </r>
  <r>
    <s v="TX502149"/>
    <x v="12"/>
    <x v="1"/>
    <n v="87.3"/>
    <n v="174.6"/>
    <x v="78"/>
    <x v="86"/>
    <x v="2"/>
    <x v="3"/>
    <x v="2"/>
    <x v="0"/>
    <x v="3"/>
    <x v="9"/>
    <n v="12"/>
    <x v="2"/>
  </r>
  <r>
    <s v="TX502150"/>
    <x v="1"/>
    <x v="0"/>
    <n v="63"/>
    <n v="63"/>
    <x v="78"/>
    <x v="79"/>
    <x v="1"/>
    <x v="3"/>
    <x v="0"/>
    <x v="0"/>
    <x v="3"/>
    <x v="2"/>
    <n v="12"/>
    <x v="1"/>
  </r>
  <r>
    <s v="TX502151"/>
    <x v="8"/>
    <x v="1"/>
    <n v="41.7"/>
    <n v="83.4"/>
    <x v="78"/>
    <x v="75"/>
    <x v="2"/>
    <x v="4"/>
    <x v="1"/>
    <x v="0"/>
    <x v="43"/>
    <x v="3"/>
    <n v="12"/>
    <x v="2"/>
  </r>
  <r>
    <s v="TX502152"/>
    <x v="6"/>
    <x v="1"/>
    <n v="76.099999999999994"/>
    <n v="152.19999999999999"/>
    <x v="78"/>
    <x v="78"/>
    <x v="2"/>
    <x v="4"/>
    <x v="2"/>
    <x v="0"/>
    <x v="16"/>
    <x v="7"/>
    <n v="12"/>
    <x v="2"/>
  </r>
  <r>
    <s v="TX502153"/>
    <x v="13"/>
    <x v="1"/>
    <n v="28.5"/>
    <n v="57"/>
    <x v="78"/>
    <x v="75"/>
    <x v="2"/>
    <x v="0"/>
    <x v="2"/>
    <x v="0"/>
    <x v="4"/>
    <x v="3"/>
    <n v="12"/>
    <x v="2"/>
  </r>
  <r>
    <s v="TX502154"/>
    <x v="0"/>
    <x v="12"/>
    <n v="32.1"/>
    <n v="128.4"/>
    <x v="78"/>
    <x v="75"/>
    <x v="2"/>
    <x v="1"/>
    <x v="2"/>
    <x v="0"/>
    <x v="25"/>
    <x v="3"/>
    <n v="12"/>
    <x v="2"/>
  </r>
  <r>
    <s v="TX502155"/>
    <x v="4"/>
    <x v="2"/>
    <n v="39"/>
    <n v="117"/>
    <x v="78"/>
    <x v="79"/>
    <x v="1"/>
    <x v="1"/>
    <x v="2"/>
    <x v="0"/>
    <x v="25"/>
    <x v="2"/>
    <n v="12"/>
    <x v="1"/>
  </r>
  <r>
    <s v="TX502156"/>
    <x v="6"/>
    <x v="0"/>
    <n v="78.5"/>
    <n v="78.5"/>
    <x v="78"/>
    <x v="75"/>
    <x v="1"/>
    <x v="1"/>
    <x v="0"/>
    <x v="0"/>
    <x v="6"/>
    <x v="3"/>
    <n v="12"/>
    <x v="1"/>
  </r>
  <r>
    <s v="TX502157"/>
    <x v="4"/>
    <x v="9"/>
    <n v="49.7"/>
    <n v="248.5"/>
    <x v="78"/>
    <x v="80"/>
    <x v="2"/>
    <x v="0"/>
    <x v="0"/>
    <x v="0"/>
    <x v="6"/>
    <x v="1"/>
    <n v="12"/>
    <x v="2"/>
  </r>
  <r>
    <s v="TX502158"/>
    <x v="1"/>
    <x v="12"/>
    <n v="68.400000000000006"/>
    <n v="273.60000000000002"/>
    <x v="78"/>
    <x v="75"/>
    <x v="2"/>
    <x v="2"/>
    <x v="2"/>
    <x v="0"/>
    <x v="7"/>
    <x v="3"/>
    <n v="12"/>
    <x v="2"/>
  </r>
  <r>
    <s v="TX502159"/>
    <x v="3"/>
    <x v="1"/>
    <n v="72.900000000000006"/>
    <n v="145.80000000000001"/>
    <x v="78"/>
    <x v="79"/>
    <x v="0"/>
    <x v="0"/>
    <x v="2"/>
    <x v="0"/>
    <x v="7"/>
    <x v="2"/>
    <n v="12"/>
    <x v="0"/>
  </r>
  <r>
    <s v="TX502160"/>
    <x v="5"/>
    <x v="15"/>
    <n v="30.3"/>
    <n v="393.90000000000003"/>
    <x v="78"/>
    <x v="75"/>
    <x v="1"/>
    <x v="4"/>
    <x v="0"/>
    <x v="0"/>
    <x v="7"/>
    <x v="3"/>
    <n v="12"/>
    <x v="1"/>
  </r>
  <r>
    <s v="TX502161"/>
    <x v="6"/>
    <x v="5"/>
    <n v="57.9"/>
    <n v="636.9"/>
    <x v="78"/>
    <x v="75"/>
    <x v="2"/>
    <x v="0"/>
    <x v="0"/>
    <x v="0"/>
    <x v="8"/>
    <x v="3"/>
    <n v="12"/>
    <x v="2"/>
  </r>
  <r>
    <s v="TX502162"/>
    <x v="1"/>
    <x v="0"/>
    <n v="96.7"/>
    <n v="96.7"/>
    <x v="78"/>
    <x v="75"/>
    <x v="1"/>
    <x v="0"/>
    <x v="0"/>
    <x v="0"/>
    <x v="8"/>
    <x v="3"/>
    <n v="12"/>
    <x v="1"/>
  </r>
  <r>
    <s v="TX502163"/>
    <x v="8"/>
    <x v="4"/>
    <n v="27.6"/>
    <n v="331.20000000000005"/>
    <x v="78"/>
    <x v="80"/>
    <x v="1"/>
    <x v="2"/>
    <x v="2"/>
    <x v="0"/>
    <x v="8"/>
    <x v="1"/>
    <n v="12"/>
    <x v="1"/>
  </r>
  <r>
    <s v="TX502164"/>
    <x v="6"/>
    <x v="12"/>
    <n v="64.7"/>
    <n v="258.8"/>
    <x v="78"/>
    <x v="78"/>
    <x v="1"/>
    <x v="3"/>
    <x v="2"/>
    <x v="0"/>
    <x v="8"/>
    <x v="7"/>
    <n v="12"/>
    <x v="1"/>
  </r>
  <r>
    <s v="TX502165"/>
    <x v="10"/>
    <x v="13"/>
    <n v="30.5"/>
    <n v="183"/>
    <x v="78"/>
    <x v="75"/>
    <x v="1"/>
    <x v="4"/>
    <x v="0"/>
    <x v="0"/>
    <x v="8"/>
    <x v="3"/>
    <n v="12"/>
    <x v="1"/>
  </r>
  <r>
    <s v="TX502166"/>
    <x v="6"/>
    <x v="47"/>
    <n v="106"/>
    <n v="7420"/>
    <x v="79"/>
    <x v="79"/>
    <x v="1"/>
    <x v="4"/>
    <x v="2"/>
    <x v="0"/>
    <x v="8"/>
    <x v="1"/>
    <n v="12"/>
    <x v="1"/>
  </r>
  <r>
    <s v="TX502167"/>
    <x v="12"/>
    <x v="9"/>
    <n v="76.8"/>
    <n v="384"/>
    <x v="79"/>
    <x v="87"/>
    <x v="0"/>
    <x v="1"/>
    <x v="1"/>
    <x v="0"/>
    <x v="18"/>
    <x v="4"/>
    <n v="12"/>
    <x v="0"/>
  </r>
  <r>
    <s v="TX502168"/>
    <x v="6"/>
    <x v="1"/>
    <n v="80.400000000000006"/>
    <n v="160.80000000000001"/>
    <x v="79"/>
    <x v="80"/>
    <x v="2"/>
    <x v="2"/>
    <x v="0"/>
    <x v="0"/>
    <x v="13"/>
    <x v="3"/>
    <n v="12"/>
    <x v="2"/>
  </r>
  <r>
    <s v="TX502169"/>
    <x v="6"/>
    <x v="12"/>
    <n v="69.099999999999994"/>
    <n v="276.39999999999998"/>
    <x v="79"/>
    <x v="80"/>
    <x v="1"/>
    <x v="1"/>
    <x v="2"/>
    <x v="0"/>
    <x v="21"/>
    <x v="3"/>
    <n v="12"/>
    <x v="1"/>
  </r>
  <r>
    <s v="TX502170"/>
    <x v="18"/>
    <x v="1"/>
    <n v="76.400000000000006"/>
    <n v="152.80000000000001"/>
    <x v="79"/>
    <x v="75"/>
    <x v="1"/>
    <x v="3"/>
    <x v="0"/>
    <x v="0"/>
    <x v="21"/>
    <x v="7"/>
    <n v="12"/>
    <x v="1"/>
  </r>
  <r>
    <s v="TX502171"/>
    <x v="2"/>
    <x v="1"/>
    <n v="61.3"/>
    <n v="122.6"/>
    <x v="79"/>
    <x v="80"/>
    <x v="2"/>
    <x v="1"/>
    <x v="1"/>
    <x v="0"/>
    <x v="21"/>
    <x v="3"/>
    <n v="12"/>
    <x v="2"/>
  </r>
  <r>
    <s v="TX502172"/>
    <x v="7"/>
    <x v="0"/>
    <n v="58"/>
    <n v="58"/>
    <x v="79"/>
    <x v="80"/>
    <x v="1"/>
    <x v="3"/>
    <x v="1"/>
    <x v="0"/>
    <x v="1"/>
    <x v="3"/>
    <n v="12"/>
    <x v="1"/>
  </r>
  <r>
    <s v="TX502173"/>
    <x v="2"/>
    <x v="8"/>
    <n v="102.3"/>
    <n v="818.4"/>
    <x v="79"/>
    <x v="79"/>
    <x v="1"/>
    <x v="2"/>
    <x v="0"/>
    <x v="0"/>
    <x v="42"/>
    <x v="1"/>
    <n v="12"/>
    <x v="1"/>
  </r>
  <r>
    <s v="TX502174"/>
    <x v="19"/>
    <x v="1"/>
    <n v="13.8"/>
    <n v="27.6"/>
    <x v="79"/>
    <x v="80"/>
    <x v="2"/>
    <x v="4"/>
    <x v="2"/>
    <x v="0"/>
    <x v="2"/>
    <x v="3"/>
    <n v="12"/>
    <x v="2"/>
  </r>
  <r>
    <s v="TX502175"/>
    <x v="8"/>
    <x v="2"/>
    <n v="33.299999999999997"/>
    <n v="99.899999999999991"/>
    <x v="79"/>
    <x v="77"/>
    <x v="2"/>
    <x v="2"/>
    <x v="0"/>
    <x v="0"/>
    <x v="22"/>
    <x v="2"/>
    <n v="12"/>
    <x v="2"/>
  </r>
  <r>
    <s v="TX502176"/>
    <x v="10"/>
    <x v="0"/>
    <n v="27.4"/>
    <n v="27.4"/>
    <x v="79"/>
    <x v="77"/>
    <x v="1"/>
    <x v="0"/>
    <x v="2"/>
    <x v="0"/>
    <x v="22"/>
    <x v="2"/>
    <n v="12"/>
    <x v="1"/>
  </r>
  <r>
    <s v="TX502177"/>
    <x v="14"/>
    <x v="1"/>
    <n v="25.6"/>
    <n v="51.2"/>
    <x v="79"/>
    <x v="80"/>
    <x v="2"/>
    <x v="1"/>
    <x v="1"/>
    <x v="0"/>
    <x v="3"/>
    <x v="3"/>
    <n v="12"/>
    <x v="2"/>
  </r>
  <r>
    <s v="TX502178"/>
    <x v="13"/>
    <x v="0"/>
    <n v="58.4"/>
    <n v="58.4"/>
    <x v="79"/>
    <x v="80"/>
    <x v="2"/>
    <x v="2"/>
    <x v="2"/>
    <x v="0"/>
    <x v="3"/>
    <x v="3"/>
    <n v="12"/>
    <x v="2"/>
  </r>
  <r>
    <s v="TX502179"/>
    <x v="11"/>
    <x v="17"/>
    <n v="27"/>
    <n v="810"/>
    <x v="79"/>
    <x v="80"/>
    <x v="2"/>
    <x v="4"/>
    <x v="0"/>
    <x v="0"/>
    <x v="3"/>
    <x v="3"/>
    <n v="12"/>
    <x v="2"/>
  </r>
  <r>
    <s v="TX502180"/>
    <x v="0"/>
    <x v="12"/>
    <n v="14.2"/>
    <n v="56.8"/>
    <x v="79"/>
    <x v="80"/>
    <x v="1"/>
    <x v="0"/>
    <x v="2"/>
    <x v="0"/>
    <x v="3"/>
    <x v="3"/>
    <n v="12"/>
    <x v="1"/>
  </r>
  <r>
    <s v="TX502181"/>
    <x v="7"/>
    <x v="1"/>
    <n v="68"/>
    <n v="136"/>
    <x v="79"/>
    <x v="88"/>
    <x v="1"/>
    <x v="2"/>
    <x v="1"/>
    <x v="0"/>
    <x v="3"/>
    <x v="14"/>
    <n v="12"/>
    <x v="1"/>
  </r>
  <r>
    <s v="TX502182"/>
    <x v="8"/>
    <x v="0"/>
    <n v="30.7"/>
    <n v="30.7"/>
    <x v="79"/>
    <x v="80"/>
    <x v="1"/>
    <x v="0"/>
    <x v="0"/>
    <x v="0"/>
    <x v="3"/>
    <x v="3"/>
    <n v="12"/>
    <x v="1"/>
  </r>
  <r>
    <s v="TX502183"/>
    <x v="17"/>
    <x v="15"/>
    <n v="51.6"/>
    <n v="670.80000000000007"/>
    <x v="79"/>
    <x v="77"/>
    <x v="3"/>
    <x v="1"/>
    <x v="2"/>
    <x v="0"/>
    <x v="3"/>
    <x v="2"/>
    <n v="12"/>
    <x v="3"/>
  </r>
  <r>
    <s v="TX502184"/>
    <x v="8"/>
    <x v="2"/>
    <n v="20.6"/>
    <n v="61.800000000000004"/>
    <x v="79"/>
    <x v="82"/>
    <x v="2"/>
    <x v="4"/>
    <x v="2"/>
    <x v="0"/>
    <x v="3"/>
    <x v="5"/>
    <n v="12"/>
    <x v="2"/>
  </r>
  <r>
    <s v="TX502185"/>
    <x v="8"/>
    <x v="0"/>
    <n v="24.8"/>
    <n v="24.8"/>
    <x v="79"/>
    <x v="80"/>
    <x v="1"/>
    <x v="4"/>
    <x v="0"/>
    <x v="0"/>
    <x v="3"/>
    <x v="3"/>
    <n v="12"/>
    <x v="1"/>
  </r>
  <r>
    <s v="TX502186"/>
    <x v="0"/>
    <x v="3"/>
    <n v="11.2"/>
    <n v="78.399999999999991"/>
    <x v="79"/>
    <x v="77"/>
    <x v="1"/>
    <x v="1"/>
    <x v="0"/>
    <x v="0"/>
    <x v="3"/>
    <x v="2"/>
    <n v="12"/>
    <x v="1"/>
  </r>
  <r>
    <s v="TX502187"/>
    <x v="11"/>
    <x v="1"/>
    <n v="51.2"/>
    <n v="102.4"/>
    <x v="79"/>
    <x v="80"/>
    <x v="2"/>
    <x v="1"/>
    <x v="2"/>
    <x v="0"/>
    <x v="3"/>
    <x v="3"/>
    <n v="12"/>
    <x v="2"/>
  </r>
  <r>
    <s v="TX502188"/>
    <x v="7"/>
    <x v="13"/>
    <n v="90.5"/>
    <n v="543"/>
    <x v="79"/>
    <x v="80"/>
    <x v="2"/>
    <x v="1"/>
    <x v="4"/>
    <x v="0"/>
    <x v="3"/>
    <x v="3"/>
    <n v="12"/>
    <x v="2"/>
  </r>
  <r>
    <s v="TX502189"/>
    <x v="1"/>
    <x v="1"/>
    <n v="42.4"/>
    <n v="84.8"/>
    <x v="79"/>
    <x v="80"/>
    <x v="1"/>
    <x v="1"/>
    <x v="2"/>
    <x v="0"/>
    <x v="4"/>
    <x v="3"/>
    <n v="12"/>
    <x v="1"/>
  </r>
  <r>
    <s v="TX502190"/>
    <x v="1"/>
    <x v="1"/>
    <n v="38.200000000000003"/>
    <n v="76.400000000000006"/>
    <x v="79"/>
    <x v="80"/>
    <x v="1"/>
    <x v="0"/>
    <x v="0"/>
    <x v="0"/>
    <x v="5"/>
    <x v="3"/>
    <n v="12"/>
    <x v="1"/>
  </r>
  <r>
    <s v="TX502191"/>
    <x v="2"/>
    <x v="11"/>
    <n v="121.3"/>
    <n v="1091.7"/>
    <x v="79"/>
    <x v="81"/>
    <x v="1"/>
    <x v="0"/>
    <x v="0"/>
    <x v="0"/>
    <x v="6"/>
    <x v="0"/>
    <n v="12"/>
    <x v="1"/>
  </r>
  <r>
    <s v="TX502192"/>
    <x v="6"/>
    <x v="1"/>
    <n v="46.9"/>
    <n v="93.8"/>
    <x v="79"/>
    <x v="86"/>
    <x v="1"/>
    <x v="0"/>
    <x v="0"/>
    <x v="0"/>
    <x v="8"/>
    <x v="6"/>
    <n v="12"/>
    <x v="1"/>
  </r>
  <r>
    <s v="TX502193"/>
    <x v="10"/>
    <x v="0"/>
    <n v="55.3"/>
    <n v="55.3"/>
    <x v="79"/>
    <x v="79"/>
    <x v="1"/>
    <x v="0"/>
    <x v="0"/>
    <x v="0"/>
    <x v="8"/>
    <x v="1"/>
    <n v="12"/>
    <x v="1"/>
  </r>
  <r>
    <s v="TX502194"/>
    <x v="2"/>
    <x v="2"/>
    <n v="70.599999999999994"/>
    <n v="211.79999999999998"/>
    <x v="80"/>
    <x v="80"/>
    <x v="2"/>
    <x v="0"/>
    <x v="1"/>
    <x v="0"/>
    <x v="8"/>
    <x v="7"/>
    <n v="12"/>
    <x v="2"/>
  </r>
  <r>
    <s v="TX502195"/>
    <x v="14"/>
    <x v="12"/>
    <n v="26.1"/>
    <n v="104.4"/>
    <x v="80"/>
    <x v="77"/>
    <x v="1"/>
    <x v="0"/>
    <x v="0"/>
    <x v="0"/>
    <x v="8"/>
    <x v="1"/>
    <n v="12"/>
    <x v="1"/>
  </r>
  <r>
    <s v="TX502196"/>
    <x v="9"/>
    <x v="5"/>
    <n v="34.5"/>
    <n v="379.5"/>
    <x v="80"/>
    <x v="81"/>
    <x v="1"/>
    <x v="2"/>
    <x v="0"/>
    <x v="0"/>
    <x v="17"/>
    <x v="5"/>
    <n v="12"/>
    <x v="1"/>
  </r>
  <r>
    <s v="TX502197"/>
    <x v="1"/>
    <x v="1"/>
    <n v="64.2"/>
    <n v="128.4"/>
    <x v="80"/>
    <x v="79"/>
    <x v="2"/>
    <x v="0"/>
    <x v="1"/>
    <x v="0"/>
    <x v="17"/>
    <x v="3"/>
    <n v="12"/>
    <x v="2"/>
  </r>
  <r>
    <s v="TX502198"/>
    <x v="2"/>
    <x v="12"/>
    <n v="145.69999999999999"/>
    <n v="582.79999999999995"/>
    <x v="80"/>
    <x v="79"/>
    <x v="2"/>
    <x v="0"/>
    <x v="4"/>
    <x v="0"/>
    <x v="17"/>
    <x v="3"/>
    <n v="12"/>
    <x v="2"/>
  </r>
  <r>
    <s v="TX502199"/>
    <x v="12"/>
    <x v="1"/>
    <n v="78.5"/>
    <n v="157"/>
    <x v="80"/>
    <x v="79"/>
    <x v="1"/>
    <x v="2"/>
    <x v="0"/>
    <x v="0"/>
    <x v="26"/>
    <x v="3"/>
    <n v="12"/>
    <x v="1"/>
  </r>
  <r>
    <s v="TX502200"/>
    <x v="1"/>
    <x v="0"/>
    <n v="34.200000000000003"/>
    <n v="34.200000000000003"/>
    <x v="80"/>
    <x v="77"/>
    <x v="1"/>
    <x v="0"/>
    <x v="0"/>
    <x v="0"/>
    <x v="9"/>
    <x v="1"/>
    <n v="12"/>
    <x v="1"/>
  </r>
  <r>
    <s v="TX502201"/>
    <x v="19"/>
    <x v="0"/>
    <n v="26.2"/>
    <n v="26.2"/>
    <x v="80"/>
    <x v="79"/>
    <x v="1"/>
    <x v="2"/>
    <x v="0"/>
    <x v="0"/>
    <x v="9"/>
    <x v="3"/>
    <n v="12"/>
    <x v="1"/>
  </r>
  <r>
    <s v="TX502202"/>
    <x v="6"/>
    <x v="12"/>
    <n v="53.2"/>
    <n v="212.8"/>
    <x v="80"/>
    <x v="79"/>
    <x v="1"/>
    <x v="1"/>
    <x v="1"/>
    <x v="0"/>
    <x v="11"/>
    <x v="3"/>
    <n v="12"/>
    <x v="1"/>
  </r>
  <r>
    <s v="TX502203"/>
    <x v="1"/>
    <x v="0"/>
    <n v="35.4"/>
    <n v="35.4"/>
    <x v="80"/>
    <x v="81"/>
    <x v="1"/>
    <x v="1"/>
    <x v="4"/>
    <x v="0"/>
    <x v="18"/>
    <x v="5"/>
    <n v="12"/>
    <x v="1"/>
  </r>
  <r>
    <s v="TX502204"/>
    <x v="14"/>
    <x v="1"/>
    <n v="21.3"/>
    <n v="42.6"/>
    <x v="80"/>
    <x v="79"/>
    <x v="1"/>
    <x v="2"/>
    <x v="0"/>
    <x v="0"/>
    <x v="20"/>
    <x v="3"/>
    <n v="12"/>
    <x v="1"/>
  </r>
  <r>
    <s v="TX502205"/>
    <x v="8"/>
    <x v="12"/>
    <n v="32.9"/>
    <n v="131.6"/>
    <x v="80"/>
    <x v="82"/>
    <x v="2"/>
    <x v="4"/>
    <x v="2"/>
    <x v="0"/>
    <x v="21"/>
    <x v="2"/>
    <n v="12"/>
    <x v="2"/>
  </r>
  <r>
    <s v="TX502206"/>
    <x v="5"/>
    <x v="20"/>
    <n v="85.5"/>
    <n v="1282.5"/>
    <x v="80"/>
    <x v="77"/>
    <x v="2"/>
    <x v="3"/>
    <x v="1"/>
    <x v="0"/>
    <x v="21"/>
    <x v="1"/>
    <n v="12"/>
    <x v="2"/>
  </r>
  <r>
    <s v="TX502207"/>
    <x v="4"/>
    <x v="0"/>
    <n v="26.8"/>
    <n v="26.8"/>
    <x v="80"/>
    <x v="79"/>
    <x v="2"/>
    <x v="0"/>
    <x v="1"/>
    <x v="0"/>
    <x v="2"/>
    <x v="3"/>
    <n v="12"/>
    <x v="2"/>
  </r>
  <r>
    <s v="TX502208"/>
    <x v="9"/>
    <x v="18"/>
    <n v="31.7"/>
    <n v="824.19999999999993"/>
    <x v="80"/>
    <x v="80"/>
    <x v="2"/>
    <x v="3"/>
    <x v="0"/>
    <x v="0"/>
    <x v="2"/>
    <x v="7"/>
    <n v="12"/>
    <x v="2"/>
  </r>
  <r>
    <s v="TX502209"/>
    <x v="1"/>
    <x v="1"/>
    <n v="78.3"/>
    <n v="156.6"/>
    <x v="80"/>
    <x v="77"/>
    <x v="2"/>
    <x v="1"/>
    <x v="1"/>
    <x v="0"/>
    <x v="3"/>
    <x v="1"/>
    <n v="12"/>
    <x v="2"/>
  </r>
  <r>
    <s v="TX502210"/>
    <x v="6"/>
    <x v="0"/>
    <n v="43.9"/>
    <n v="43.9"/>
    <x v="80"/>
    <x v="79"/>
    <x v="1"/>
    <x v="0"/>
    <x v="0"/>
    <x v="0"/>
    <x v="3"/>
    <x v="3"/>
    <n v="12"/>
    <x v="1"/>
  </r>
  <r>
    <s v="TX502211"/>
    <x v="18"/>
    <x v="2"/>
    <n v="84"/>
    <n v="252"/>
    <x v="80"/>
    <x v="77"/>
    <x v="0"/>
    <x v="3"/>
    <x v="2"/>
    <x v="0"/>
    <x v="3"/>
    <x v="1"/>
    <n v="12"/>
    <x v="0"/>
  </r>
  <r>
    <s v="TX502212"/>
    <x v="0"/>
    <x v="2"/>
    <n v="11.4"/>
    <n v="34.200000000000003"/>
    <x v="80"/>
    <x v="79"/>
    <x v="1"/>
    <x v="4"/>
    <x v="0"/>
    <x v="0"/>
    <x v="3"/>
    <x v="3"/>
    <n v="12"/>
    <x v="1"/>
  </r>
  <r>
    <s v="TX502213"/>
    <x v="12"/>
    <x v="8"/>
    <n v="47.5"/>
    <n v="380"/>
    <x v="80"/>
    <x v="89"/>
    <x v="2"/>
    <x v="0"/>
    <x v="0"/>
    <x v="0"/>
    <x v="3"/>
    <x v="9"/>
    <n v="12"/>
    <x v="2"/>
  </r>
  <r>
    <s v="TX502214"/>
    <x v="9"/>
    <x v="5"/>
    <n v="50.5"/>
    <n v="555.5"/>
    <x v="80"/>
    <x v="77"/>
    <x v="1"/>
    <x v="2"/>
    <x v="0"/>
    <x v="0"/>
    <x v="3"/>
    <x v="1"/>
    <n v="12"/>
    <x v="1"/>
  </r>
  <r>
    <s v="TX502215"/>
    <x v="15"/>
    <x v="0"/>
    <n v="36.299999999999997"/>
    <n v="36.299999999999997"/>
    <x v="80"/>
    <x v="82"/>
    <x v="3"/>
    <x v="0"/>
    <x v="1"/>
    <x v="0"/>
    <x v="8"/>
    <x v="2"/>
    <n v="12"/>
    <x v="3"/>
  </r>
  <r>
    <s v="TX502216"/>
    <x v="8"/>
    <x v="1"/>
    <n v="35.4"/>
    <n v="70.8"/>
    <x v="80"/>
    <x v="79"/>
    <x v="2"/>
    <x v="0"/>
    <x v="0"/>
    <x v="0"/>
    <x v="17"/>
    <x v="3"/>
    <n v="12"/>
    <x v="2"/>
  </r>
  <r>
    <s v="TX502217"/>
    <x v="1"/>
    <x v="2"/>
    <n v="45.9"/>
    <n v="137.69999999999999"/>
    <x v="81"/>
    <x v="77"/>
    <x v="1"/>
    <x v="3"/>
    <x v="0"/>
    <x v="0"/>
    <x v="9"/>
    <x v="3"/>
    <n v="13"/>
    <x v="1"/>
  </r>
  <r>
    <s v="TX502218"/>
    <x v="6"/>
    <x v="7"/>
    <n v="41.2"/>
    <n v="412"/>
    <x v="81"/>
    <x v="87"/>
    <x v="1"/>
    <x v="0"/>
    <x v="0"/>
    <x v="0"/>
    <x v="11"/>
    <x v="5"/>
    <n v="13"/>
    <x v="1"/>
  </r>
  <r>
    <s v="TX502219"/>
    <x v="17"/>
    <x v="1"/>
    <n v="45.1"/>
    <n v="90.2"/>
    <x v="81"/>
    <x v="77"/>
    <x v="1"/>
    <x v="1"/>
    <x v="1"/>
    <x v="0"/>
    <x v="21"/>
    <x v="3"/>
    <n v="13"/>
    <x v="1"/>
  </r>
  <r>
    <s v="TX502220"/>
    <x v="6"/>
    <x v="7"/>
    <n v="63.6"/>
    <n v="636"/>
    <x v="81"/>
    <x v="79"/>
    <x v="1"/>
    <x v="2"/>
    <x v="0"/>
    <x v="0"/>
    <x v="1"/>
    <x v="7"/>
    <n v="13"/>
    <x v="1"/>
  </r>
  <r>
    <s v="TX502221"/>
    <x v="8"/>
    <x v="0"/>
    <n v="70.5"/>
    <n v="70.5"/>
    <x v="81"/>
    <x v="77"/>
    <x v="1"/>
    <x v="0"/>
    <x v="0"/>
    <x v="0"/>
    <x v="3"/>
    <x v="3"/>
    <n v="13"/>
    <x v="1"/>
  </r>
  <r>
    <s v="TX502222"/>
    <x v="6"/>
    <x v="0"/>
    <n v="41.3"/>
    <n v="41.3"/>
    <x v="81"/>
    <x v="79"/>
    <x v="1"/>
    <x v="4"/>
    <x v="0"/>
    <x v="0"/>
    <x v="3"/>
    <x v="7"/>
    <n v="13"/>
    <x v="1"/>
  </r>
  <r>
    <s v="TX502223"/>
    <x v="4"/>
    <x v="0"/>
    <n v="35.299999999999997"/>
    <n v="35.299999999999997"/>
    <x v="81"/>
    <x v="81"/>
    <x v="2"/>
    <x v="4"/>
    <x v="2"/>
    <x v="0"/>
    <x v="3"/>
    <x v="2"/>
    <n v="13"/>
    <x v="2"/>
  </r>
  <r>
    <s v="TX502224"/>
    <x v="8"/>
    <x v="9"/>
    <n v="34.700000000000003"/>
    <n v="173.5"/>
    <x v="81"/>
    <x v="77"/>
    <x v="2"/>
    <x v="0"/>
    <x v="2"/>
    <x v="0"/>
    <x v="3"/>
    <x v="3"/>
    <n v="13"/>
    <x v="2"/>
  </r>
  <r>
    <s v="TX502225"/>
    <x v="8"/>
    <x v="2"/>
    <n v="26.1"/>
    <n v="78.300000000000011"/>
    <x v="81"/>
    <x v="77"/>
    <x v="2"/>
    <x v="0"/>
    <x v="0"/>
    <x v="0"/>
    <x v="3"/>
    <x v="3"/>
    <n v="13"/>
    <x v="2"/>
  </r>
  <r>
    <s v="TX502226"/>
    <x v="9"/>
    <x v="9"/>
    <n v="22.6"/>
    <n v="113"/>
    <x v="81"/>
    <x v="79"/>
    <x v="2"/>
    <x v="1"/>
    <x v="2"/>
    <x v="0"/>
    <x v="3"/>
    <x v="7"/>
    <n v="13"/>
    <x v="2"/>
  </r>
  <r>
    <s v="TX502227"/>
    <x v="2"/>
    <x v="1"/>
    <n v="154.4"/>
    <n v="308.8"/>
    <x v="81"/>
    <x v="81"/>
    <x v="1"/>
    <x v="1"/>
    <x v="1"/>
    <x v="0"/>
    <x v="3"/>
    <x v="2"/>
    <n v="13"/>
    <x v="1"/>
  </r>
  <r>
    <s v="TX502228"/>
    <x v="8"/>
    <x v="1"/>
    <n v="18.399999999999999"/>
    <n v="36.799999999999997"/>
    <x v="81"/>
    <x v="77"/>
    <x v="1"/>
    <x v="0"/>
    <x v="0"/>
    <x v="0"/>
    <x v="3"/>
    <x v="3"/>
    <n v="13"/>
    <x v="1"/>
  </r>
  <r>
    <s v="TX502229"/>
    <x v="14"/>
    <x v="0"/>
    <n v="25"/>
    <n v="25"/>
    <x v="81"/>
    <x v="81"/>
    <x v="2"/>
    <x v="0"/>
    <x v="0"/>
    <x v="0"/>
    <x v="3"/>
    <x v="2"/>
    <n v="13"/>
    <x v="2"/>
  </r>
  <r>
    <s v="TX502230"/>
    <x v="2"/>
    <x v="13"/>
    <n v="105.6"/>
    <n v="633.59999999999991"/>
    <x v="81"/>
    <x v="79"/>
    <x v="2"/>
    <x v="0"/>
    <x v="0"/>
    <x v="0"/>
    <x v="3"/>
    <x v="7"/>
    <n v="13"/>
    <x v="2"/>
  </r>
  <r>
    <s v="TX502231"/>
    <x v="18"/>
    <x v="8"/>
    <n v="59.6"/>
    <n v="476.8"/>
    <x v="81"/>
    <x v="79"/>
    <x v="2"/>
    <x v="0"/>
    <x v="2"/>
    <x v="0"/>
    <x v="23"/>
    <x v="7"/>
    <n v="13"/>
    <x v="2"/>
  </r>
  <r>
    <s v="TX502232"/>
    <x v="15"/>
    <x v="2"/>
    <n v="75.400000000000006"/>
    <n v="226.20000000000002"/>
    <x v="81"/>
    <x v="86"/>
    <x v="1"/>
    <x v="0"/>
    <x v="1"/>
    <x v="0"/>
    <x v="7"/>
    <x v="0"/>
    <n v="13"/>
    <x v="1"/>
  </r>
  <r>
    <s v="TX502233"/>
    <x v="7"/>
    <x v="0"/>
    <n v="104.4"/>
    <n v="104.4"/>
    <x v="81"/>
    <x v="77"/>
    <x v="2"/>
    <x v="0"/>
    <x v="0"/>
    <x v="0"/>
    <x v="8"/>
    <x v="3"/>
    <n v="13"/>
    <x v="2"/>
  </r>
  <r>
    <s v="TX502234"/>
    <x v="2"/>
    <x v="7"/>
    <n v="208.2"/>
    <n v="2082"/>
    <x v="81"/>
    <x v="77"/>
    <x v="1"/>
    <x v="0"/>
    <x v="2"/>
    <x v="0"/>
    <x v="8"/>
    <x v="3"/>
    <n v="13"/>
    <x v="1"/>
  </r>
  <r>
    <s v="TX502235"/>
    <x v="6"/>
    <x v="1"/>
    <n v="45"/>
    <n v="90"/>
    <x v="81"/>
    <x v="81"/>
    <x v="2"/>
    <x v="0"/>
    <x v="0"/>
    <x v="0"/>
    <x v="10"/>
    <x v="2"/>
    <n v="13"/>
    <x v="2"/>
  </r>
  <r>
    <s v="TX502236"/>
    <x v="15"/>
    <x v="1"/>
    <n v="20.3"/>
    <n v="40.6"/>
    <x v="82"/>
    <x v="81"/>
    <x v="0"/>
    <x v="1"/>
    <x v="0"/>
    <x v="0"/>
    <x v="11"/>
    <x v="1"/>
    <n v="13"/>
    <x v="0"/>
  </r>
  <r>
    <s v="TX502237"/>
    <x v="2"/>
    <x v="2"/>
    <n v="94.4"/>
    <n v="283.20000000000005"/>
    <x v="82"/>
    <x v="82"/>
    <x v="2"/>
    <x v="0"/>
    <x v="2"/>
    <x v="0"/>
    <x v="11"/>
    <x v="3"/>
    <n v="13"/>
    <x v="2"/>
  </r>
  <r>
    <s v="TX502238"/>
    <x v="9"/>
    <x v="0"/>
    <n v="49"/>
    <n v="49"/>
    <x v="82"/>
    <x v="81"/>
    <x v="2"/>
    <x v="0"/>
    <x v="2"/>
    <x v="0"/>
    <x v="20"/>
    <x v="1"/>
    <n v="13"/>
    <x v="2"/>
  </r>
  <r>
    <s v="TX502239"/>
    <x v="4"/>
    <x v="1"/>
    <n v="27.2"/>
    <n v="54.4"/>
    <x v="82"/>
    <x v="81"/>
    <x v="1"/>
    <x v="0"/>
    <x v="2"/>
    <x v="0"/>
    <x v="1"/>
    <x v="1"/>
    <n v="13"/>
    <x v="1"/>
  </r>
  <r>
    <s v="TX502240"/>
    <x v="2"/>
    <x v="13"/>
    <n v="72.599999999999994"/>
    <n v="435.59999999999997"/>
    <x v="82"/>
    <x v="82"/>
    <x v="2"/>
    <x v="0"/>
    <x v="2"/>
    <x v="0"/>
    <x v="2"/>
    <x v="3"/>
    <n v="13"/>
    <x v="2"/>
  </r>
  <r>
    <s v="TX502241"/>
    <x v="15"/>
    <x v="12"/>
    <n v="62.4"/>
    <n v="249.6"/>
    <x v="82"/>
    <x v="82"/>
    <x v="2"/>
    <x v="0"/>
    <x v="0"/>
    <x v="0"/>
    <x v="3"/>
    <x v="3"/>
    <n v="13"/>
    <x v="2"/>
  </r>
  <r>
    <s v="TX502242"/>
    <x v="8"/>
    <x v="2"/>
    <n v="19.100000000000001"/>
    <n v="57.300000000000004"/>
    <x v="82"/>
    <x v="81"/>
    <x v="1"/>
    <x v="0"/>
    <x v="1"/>
    <x v="0"/>
    <x v="3"/>
    <x v="1"/>
    <n v="13"/>
    <x v="1"/>
  </r>
  <r>
    <s v="TX502243"/>
    <x v="10"/>
    <x v="0"/>
    <n v="29.6"/>
    <n v="29.6"/>
    <x v="82"/>
    <x v="86"/>
    <x v="1"/>
    <x v="0"/>
    <x v="4"/>
    <x v="0"/>
    <x v="3"/>
    <x v="5"/>
    <n v="13"/>
    <x v="1"/>
  </r>
  <r>
    <s v="TX502244"/>
    <x v="8"/>
    <x v="1"/>
    <n v="18.899999999999999"/>
    <n v="37.799999999999997"/>
    <x v="82"/>
    <x v="81"/>
    <x v="2"/>
    <x v="4"/>
    <x v="2"/>
    <x v="0"/>
    <x v="3"/>
    <x v="1"/>
    <n v="13"/>
    <x v="2"/>
  </r>
  <r>
    <s v="TX502245"/>
    <x v="10"/>
    <x v="9"/>
    <n v="41.4"/>
    <n v="207"/>
    <x v="82"/>
    <x v="82"/>
    <x v="1"/>
    <x v="3"/>
    <x v="0"/>
    <x v="0"/>
    <x v="3"/>
    <x v="3"/>
    <n v="13"/>
    <x v="1"/>
  </r>
  <r>
    <s v="TX502246"/>
    <x v="2"/>
    <x v="0"/>
    <n v="118.4"/>
    <n v="118.4"/>
    <x v="82"/>
    <x v="82"/>
    <x v="2"/>
    <x v="0"/>
    <x v="2"/>
    <x v="0"/>
    <x v="3"/>
    <x v="3"/>
    <n v="13"/>
    <x v="2"/>
  </r>
  <r>
    <s v="TX502247"/>
    <x v="2"/>
    <x v="1"/>
    <n v="125.3"/>
    <n v="250.6"/>
    <x v="82"/>
    <x v="87"/>
    <x v="2"/>
    <x v="0"/>
    <x v="2"/>
    <x v="0"/>
    <x v="3"/>
    <x v="2"/>
    <n v="13"/>
    <x v="2"/>
  </r>
  <r>
    <s v="TX502248"/>
    <x v="3"/>
    <x v="1"/>
    <n v="85.8"/>
    <n v="171.6"/>
    <x v="82"/>
    <x v="82"/>
    <x v="2"/>
    <x v="1"/>
    <x v="4"/>
    <x v="0"/>
    <x v="3"/>
    <x v="3"/>
    <n v="13"/>
    <x v="2"/>
  </r>
  <r>
    <s v="TX502249"/>
    <x v="6"/>
    <x v="0"/>
    <n v="44.2"/>
    <n v="44.2"/>
    <x v="82"/>
    <x v="87"/>
    <x v="1"/>
    <x v="1"/>
    <x v="0"/>
    <x v="0"/>
    <x v="3"/>
    <x v="2"/>
    <n v="13"/>
    <x v="1"/>
  </r>
  <r>
    <s v="TX502250"/>
    <x v="5"/>
    <x v="12"/>
    <n v="74.099999999999994"/>
    <n v="296.39999999999998"/>
    <x v="82"/>
    <x v="81"/>
    <x v="2"/>
    <x v="0"/>
    <x v="0"/>
    <x v="0"/>
    <x v="3"/>
    <x v="1"/>
    <n v="13"/>
    <x v="2"/>
  </r>
  <r>
    <s v="TX502251"/>
    <x v="8"/>
    <x v="0"/>
    <n v="33.799999999999997"/>
    <n v="33.799999999999997"/>
    <x v="82"/>
    <x v="82"/>
    <x v="2"/>
    <x v="2"/>
    <x v="2"/>
    <x v="0"/>
    <x v="24"/>
    <x v="3"/>
    <n v="13"/>
    <x v="2"/>
  </r>
  <r>
    <s v="TX502252"/>
    <x v="1"/>
    <x v="1"/>
    <n v="39.1"/>
    <n v="78.2"/>
    <x v="82"/>
    <x v="82"/>
    <x v="1"/>
    <x v="0"/>
    <x v="1"/>
    <x v="0"/>
    <x v="24"/>
    <x v="3"/>
    <n v="13"/>
    <x v="1"/>
  </r>
  <r>
    <s v="TX502253"/>
    <x v="0"/>
    <x v="0"/>
    <n v="37.200000000000003"/>
    <n v="37.200000000000003"/>
    <x v="82"/>
    <x v="82"/>
    <x v="1"/>
    <x v="0"/>
    <x v="1"/>
    <x v="0"/>
    <x v="16"/>
    <x v="3"/>
    <n v="13"/>
    <x v="1"/>
  </r>
  <r>
    <s v="TX502254"/>
    <x v="15"/>
    <x v="2"/>
    <n v="33.9"/>
    <n v="101.69999999999999"/>
    <x v="82"/>
    <x v="81"/>
    <x v="1"/>
    <x v="2"/>
    <x v="0"/>
    <x v="0"/>
    <x v="6"/>
    <x v="1"/>
    <n v="13"/>
    <x v="1"/>
  </r>
  <r>
    <s v="TX502255"/>
    <x v="7"/>
    <x v="20"/>
    <n v="73.3"/>
    <n v="1099.5"/>
    <x v="82"/>
    <x v="87"/>
    <x v="2"/>
    <x v="2"/>
    <x v="1"/>
    <x v="0"/>
    <x v="8"/>
    <x v="2"/>
    <n v="13"/>
    <x v="2"/>
  </r>
  <r>
    <s v="TX502256"/>
    <x v="8"/>
    <x v="12"/>
    <n v="35"/>
    <n v="140"/>
    <x v="82"/>
    <x v="81"/>
    <x v="2"/>
    <x v="1"/>
    <x v="0"/>
    <x v="0"/>
    <x v="8"/>
    <x v="1"/>
    <n v="13"/>
    <x v="2"/>
  </r>
  <r>
    <s v="TX502257"/>
    <x v="0"/>
    <x v="2"/>
    <n v="22.2"/>
    <n v="66.599999999999994"/>
    <x v="82"/>
    <x v="82"/>
    <x v="1"/>
    <x v="1"/>
    <x v="0"/>
    <x v="0"/>
    <x v="17"/>
    <x v="3"/>
    <n v="13"/>
    <x v="1"/>
  </r>
  <r>
    <s v="TX502258"/>
    <x v="10"/>
    <x v="0"/>
    <n v="32.4"/>
    <n v="32.4"/>
    <x v="82"/>
    <x v="82"/>
    <x v="2"/>
    <x v="0"/>
    <x v="0"/>
    <x v="0"/>
    <x v="11"/>
    <x v="3"/>
    <n v="13"/>
    <x v="2"/>
  </r>
  <r>
    <s v="TX502259"/>
    <x v="5"/>
    <x v="2"/>
    <n v="88.4"/>
    <n v="265.20000000000005"/>
    <x v="83"/>
    <x v="87"/>
    <x v="2"/>
    <x v="1"/>
    <x v="1"/>
    <x v="0"/>
    <x v="11"/>
    <x v="1"/>
    <n v="13"/>
    <x v="2"/>
  </r>
  <r>
    <s v="TX502260"/>
    <x v="5"/>
    <x v="27"/>
    <n v="30.5"/>
    <n v="488"/>
    <x v="83"/>
    <x v="81"/>
    <x v="2"/>
    <x v="2"/>
    <x v="0"/>
    <x v="0"/>
    <x v="11"/>
    <x v="3"/>
    <n v="13"/>
    <x v="2"/>
  </r>
  <r>
    <s v="TX502261"/>
    <x v="1"/>
    <x v="13"/>
    <n v="38.1"/>
    <n v="228.60000000000002"/>
    <x v="83"/>
    <x v="87"/>
    <x v="2"/>
    <x v="0"/>
    <x v="1"/>
    <x v="0"/>
    <x v="11"/>
    <x v="1"/>
    <n v="13"/>
    <x v="2"/>
  </r>
  <r>
    <s v="TX502262"/>
    <x v="10"/>
    <x v="9"/>
    <n v="37.6"/>
    <n v="188"/>
    <x v="83"/>
    <x v="90"/>
    <x v="1"/>
    <x v="0"/>
    <x v="0"/>
    <x v="0"/>
    <x v="11"/>
    <x v="5"/>
    <n v="13"/>
    <x v="1"/>
  </r>
  <r>
    <s v="TX502263"/>
    <x v="15"/>
    <x v="1"/>
    <n v="31.4"/>
    <n v="62.8"/>
    <x v="83"/>
    <x v="81"/>
    <x v="1"/>
    <x v="0"/>
    <x v="2"/>
    <x v="0"/>
    <x v="11"/>
    <x v="3"/>
    <n v="13"/>
    <x v="1"/>
  </r>
  <r>
    <s v="TX502264"/>
    <x v="6"/>
    <x v="1"/>
    <n v="61.5"/>
    <n v="123"/>
    <x v="83"/>
    <x v="81"/>
    <x v="1"/>
    <x v="3"/>
    <x v="0"/>
    <x v="0"/>
    <x v="31"/>
    <x v="3"/>
    <n v="13"/>
    <x v="1"/>
  </r>
  <r>
    <s v="TX502265"/>
    <x v="6"/>
    <x v="0"/>
    <n v="72.599999999999994"/>
    <n v="72.599999999999994"/>
    <x v="83"/>
    <x v="81"/>
    <x v="1"/>
    <x v="0"/>
    <x v="1"/>
    <x v="0"/>
    <x v="21"/>
    <x v="3"/>
    <n v="13"/>
    <x v="1"/>
  </r>
  <r>
    <s v="TX502266"/>
    <x v="9"/>
    <x v="2"/>
    <n v="26.9"/>
    <n v="80.699999999999989"/>
    <x v="83"/>
    <x v="89"/>
    <x v="3"/>
    <x v="4"/>
    <x v="1"/>
    <x v="0"/>
    <x v="46"/>
    <x v="0"/>
    <n v="13"/>
    <x v="3"/>
  </r>
  <r>
    <s v="TX502267"/>
    <x v="17"/>
    <x v="4"/>
    <n v="29.4"/>
    <n v="352.79999999999995"/>
    <x v="83"/>
    <x v="81"/>
    <x v="2"/>
    <x v="1"/>
    <x v="0"/>
    <x v="0"/>
    <x v="51"/>
    <x v="3"/>
    <n v="13"/>
    <x v="2"/>
  </r>
  <r>
    <s v="TX502268"/>
    <x v="17"/>
    <x v="1"/>
    <n v="42.1"/>
    <n v="84.2"/>
    <x v="83"/>
    <x v="81"/>
    <x v="2"/>
    <x v="3"/>
    <x v="1"/>
    <x v="0"/>
    <x v="1"/>
    <x v="3"/>
    <n v="13"/>
    <x v="2"/>
  </r>
  <r>
    <s v="TX502269"/>
    <x v="5"/>
    <x v="0"/>
    <n v="40.5"/>
    <n v="40.5"/>
    <x v="83"/>
    <x v="81"/>
    <x v="2"/>
    <x v="2"/>
    <x v="1"/>
    <x v="0"/>
    <x v="1"/>
    <x v="3"/>
    <n v="13"/>
    <x v="2"/>
  </r>
  <r>
    <s v="TX502270"/>
    <x v="2"/>
    <x v="12"/>
    <n v="182.3"/>
    <n v="729.2"/>
    <x v="83"/>
    <x v="81"/>
    <x v="2"/>
    <x v="1"/>
    <x v="0"/>
    <x v="0"/>
    <x v="1"/>
    <x v="3"/>
    <n v="13"/>
    <x v="2"/>
  </r>
  <r>
    <s v="TX502271"/>
    <x v="2"/>
    <x v="9"/>
    <n v="157"/>
    <n v="785"/>
    <x v="83"/>
    <x v="86"/>
    <x v="2"/>
    <x v="1"/>
    <x v="2"/>
    <x v="0"/>
    <x v="2"/>
    <x v="2"/>
    <n v="13"/>
    <x v="2"/>
  </r>
  <r>
    <s v="TX502272"/>
    <x v="17"/>
    <x v="9"/>
    <n v="45.2"/>
    <n v="226"/>
    <x v="83"/>
    <x v="86"/>
    <x v="2"/>
    <x v="1"/>
    <x v="0"/>
    <x v="0"/>
    <x v="22"/>
    <x v="2"/>
    <n v="13"/>
    <x v="2"/>
  </r>
  <r>
    <s v="TX502273"/>
    <x v="15"/>
    <x v="12"/>
    <n v="27.4"/>
    <n v="109.6"/>
    <x v="83"/>
    <x v="87"/>
    <x v="2"/>
    <x v="0"/>
    <x v="0"/>
    <x v="0"/>
    <x v="3"/>
    <x v="1"/>
    <n v="13"/>
    <x v="2"/>
  </r>
  <r>
    <s v="TX502274"/>
    <x v="5"/>
    <x v="9"/>
    <n v="34.1"/>
    <n v="170.5"/>
    <x v="83"/>
    <x v="87"/>
    <x v="1"/>
    <x v="0"/>
    <x v="2"/>
    <x v="0"/>
    <x v="3"/>
    <x v="1"/>
    <n v="13"/>
    <x v="1"/>
  </r>
  <r>
    <s v="TX502275"/>
    <x v="0"/>
    <x v="1"/>
    <n v="26"/>
    <n v="52"/>
    <x v="83"/>
    <x v="87"/>
    <x v="1"/>
    <x v="2"/>
    <x v="1"/>
    <x v="0"/>
    <x v="3"/>
    <x v="1"/>
    <n v="13"/>
    <x v="1"/>
  </r>
  <r>
    <s v="TX502276"/>
    <x v="8"/>
    <x v="3"/>
    <n v="19.399999999999999"/>
    <n v="135.79999999999998"/>
    <x v="83"/>
    <x v="87"/>
    <x v="0"/>
    <x v="1"/>
    <x v="1"/>
    <x v="0"/>
    <x v="3"/>
    <x v="1"/>
    <n v="13"/>
    <x v="0"/>
  </r>
  <r>
    <s v="TX502277"/>
    <x v="16"/>
    <x v="2"/>
    <n v="30.3"/>
    <n v="90.9"/>
    <x v="83"/>
    <x v="86"/>
    <x v="2"/>
    <x v="1"/>
    <x v="2"/>
    <x v="0"/>
    <x v="3"/>
    <x v="2"/>
    <n v="13"/>
    <x v="2"/>
  </r>
  <r>
    <s v="TX502278"/>
    <x v="2"/>
    <x v="2"/>
    <n v="101.4"/>
    <n v="304.20000000000005"/>
    <x v="83"/>
    <x v="81"/>
    <x v="1"/>
    <x v="0"/>
    <x v="0"/>
    <x v="0"/>
    <x v="3"/>
    <x v="3"/>
    <n v="13"/>
    <x v="1"/>
  </r>
  <r>
    <s v="TX502279"/>
    <x v="3"/>
    <x v="9"/>
    <n v="55.5"/>
    <n v="277.5"/>
    <x v="83"/>
    <x v="86"/>
    <x v="1"/>
    <x v="1"/>
    <x v="0"/>
    <x v="0"/>
    <x v="24"/>
    <x v="2"/>
    <n v="13"/>
    <x v="1"/>
  </r>
  <r>
    <s v="TX502280"/>
    <x v="8"/>
    <x v="0"/>
    <n v="23.1"/>
    <n v="23.1"/>
    <x v="83"/>
    <x v="81"/>
    <x v="1"/>
    <x v="0"/>
    <x v="0"/>
    <x v="0"/>
    <x v="25"/>
    <x v="3"/>
    <n v="13"/>
    <x v="1"/>
  </r>
  <r>
    <s v="TX502281"/>
    <x v="18"/>
    <x v="1"/>
    <n v="38.9"/>
    <n v="77.8"/>
    <x v="83"/>
    <x v="81"/>
    <x v="1"/>
    <x v="2"/>
    <x v="0"/>
    <x v="0"/>
    <x v="25"/>
    <x v="3"/>
    <n v="13"/>
    <x v="1"/>
  </r>
  <r>
    <s v="TX502282"/>
    <x v="6"/>
    <x v="11"/>
    <n v="116.3"/>
    <n v="1046.7"/>
    <x v="83"/>
    <x v="90"/>
    <x v="2"/>
    <x v="0"/>
    <x v="0"/>
    <x v="0"/>
    <x v="5"/>
    <x v="5"/>
    <n v="13"/>
    <x v="2"/>
  </r>
  <r>
    <s v="TX502283"/>
    <x v="16"/>
    <x v="11"/>
    <n v="64.099999999999994"/>
    <n v="576.9"/>
    <x v="83"/>
    <x v="82"/>
    <x v="2"/>
    <x v="0"/>
    <x v="2"/>
    <x v="0"/>
    <x v="6"/>
    <x v="7"/>
    <n v="13"/>
    <x v="2"/>
  </r>
  <r>
    <s v="TX502284"/>
    <x v="2"/>
    <x v="13"/>
    <n v="109.2"/>
    <n v="655.20000000000005"/>
    <x v="83"/>
    <x v="87"/>
    <x v="1"/>
    <x v="0"/>
    <x v="1"/>
    <x v="0"/>
    <x v="8"/>
    <x v="1"/>
    <n v="13"/>
    <x v="1"/>
  </r>
  <r>
    <s v="TX502285"/>
    <x v="10"/>
    <x v="9"/>
    <n v="23.2"/>
    <n v="116"/>
    <x v="84"/>
    <x v="87"/>
    <x v="1"/>
    <x v="0"/>
    <x v="1"/>
    <x v="0"/>
    <x v="8"/>
    <x v="3"/>
    <n v="13"/>
    <x v="1"/>
  </r>
  <r>
    <s v="TX502286"/>
    <x v="18"/>
    <x v="13"/>
    <n v="81.2"/>
    <n v="487.20000000000005"/>
    <x v="84"/>
    <x v="86"/>
    <x v="1"/>
    <x v="2"/>
    <x v="2"/>
    <x v="0"/>
    <x v="8"/>
    <x v="1"/>
    <n v="13"/>
    <x v="1"/>
  </r>
  <r>
    <s v="TX502287"/>
    <x v="1"/>
    <x v="21"/>
    <n v="35.700000000000003"/>
    <n v="499.80000000000007"/>
    <x v="84"/>
    <x v="87"/>
    <x v="1"/>
    <x v="3"/>
    <x v="0"/>
    <x v="0"/>
    <x v="8"/>
    <x v="3"/>
    <n v="13"/>
    <x v="1"/>
  </r>
  <r>
    <s v="TX502288"/>
    <x v="7"/>
    <x v="1"/>
    <n v="44.5"/>
    <n v="89"/>
    <x v="84"/>
    <x v="90"/>
    <x v="1"/>
    <x v="4"/>
    <x v="0"/>
    <x v="0"/>
    <x v="9"/>
    <x v="2"/>
    <n v="13"/>
    <x v="1"/>
  </r>
  <r>
    <s v="TX502289"/>
    <x v="1"/>
    <x v="9"/>
    <n v="32"/>
    <n v="160"/>
    <x v="84"/>
    <x v="86"/>
    <x v="3"/>
    <x v="1"/>
    <x v="1"/>
    <x v="0"/>
    <x v="9"/>
    <x v="1"/>
    <n v="13"/>
    <x v="3"/>
  </r>
  <r>
    <s v="TX502290"/>
    <x v="8"/>
    <x v="0"/>
    <n v="25.7"/>
    <n v="25.7"/>
    <x v="84"/>
    <x v="87"/>
    <x v="1"/>
    <x v="0"/>
    <x v="0"/>
    <x v="0"/>
    <x v="10"/>
    <x v="3"/>
    <n v="13"/>
    <x v="1"/>
  </r>
  <r>
    <s v="TX502291"/>
    <x v="16"/>
    <x v="2"/>
    <n v="65.599999999999994"/>
    <n v="196.79999999999998"/>
    <x v="84"/>
    <x v="84"/>
    <x v="1"/>
    <x v="0"/>
    <x v="0"/>
    <x v="0"/>
    <x v="11"/>
    <x v="4"/>
    <n v="13"/>
    <x v="1"/>
  </r>
  <r>
    <s v="TX502292"/>
    <x v="1"/>
    <x v="12"/>
    <n v="52.1"/>
    <n v="208.4"/>
    <x v="84"/>
    <x v="87"/>
    <x v="2"/>
    <x v="0"/>
    <x v="2"/>
    <x v="0"/>
    <x v="11"/>
    <x v="3"/>
    <n v="13"/>
    <x v="2"/>
  </r>
  <r>
    <s v="TX502293"/>
    <x v="8"/>
    <x v="0"/>
    <n v="31"/>
    <n v="31"/>
    <x v="84"/>
    <x v="87"/>
    <x v="1"/>
    <x v="0"/>
    <x v="1"/>
    <x v="0"/>
    <x v="19"/>
    <x v="3"/>
    <n v="13"/>
    <x v="1"/>
  </r>
  <r>
    <s v="TX502294"/>
    <x v="8"/>
    <x v="0"/>
    <n v="32"/>
    <n v="32"/>
    <x v="84"/>
    <x v="86"/>
    <x v="3"/>
    <x v="3"/>
    <x v="1"/>
    <x v="0"/>
    <x v="31"/>
    <x v="1"/>
    <n v="13"/>
    <x v="3"/>
  </r>
  <r>
    <s v="TX502295"/>
    <x v="16"/>
    <x v="12"/>
    <n v="58.3"/>
    <n v="233.2"/>
    <x v="84"/>
    <x v="89"/>
    <x v="1"/>
    <x v="1"/>
    <x v="4"/>
    <x v="0"/>
    <x v="20"/>
    <x v="5"/>
    <n v="13"/>
    <x v="1"/>
  </r>
  <r>
    <s v="TX502296"/>
    <x v="8"/>
    <x v="2"/>
    <n v="31"/>
    <n v="93"/>
    <x v="84"/>
    <x v="86"/>
    <x v="2"/>
    <x v="2"/>
    <x v="4"/>
    <x v="0"/>
    <x v="13"/>
    <x v="1"/>
    <n v="13"/>
    <x v="2"/>
  </r>
  <r>
    <s v="TX502297"/>
    <x v="3"/>
    <x v="0"/>
    <n v="40.299999999999997"/>
    <n v="40.299999999999997"/>
    <x v="84"/>
    <x v="87"/>
    <x v="1"/>
    <x v="1"/>
    <x v="2"/>
    <x v="0"/>
    <x v="54"/>
    <x v="3"/>
    <n v="13"/>
    <x v="1"/>
  </r>
  <r>
    <s v="TX502298"/>
    <x v="6"/>
    <x v="2"/>
    <n v="47.3"/>
    <n v="141.89999999999998"/>
    <x v="84"/>
    <x v="86"/>
    <x v="1"/>
    <x v="4"/>
    <x v="2"/>
    <x v="0"/>
    <x v="2"/>
    <x v="1"/>
    <n v="13"/>
    <x v="1"/>
  </r>
  <r>
    <s v="TX502299"/>
    <x v="2"/>
    <x v="0"/>
    <n v="82.8"/>
    <n v="82.8"/>
    <x v="84"/>
    <x v="87"/>
    <x v="1"/>
    <x v="0"/>
    <x v="0"/>
    <x v="0"/>
    <x v="2"/>
    <x v="3"/>
    <n v="13"/>
    <x v="1"/>
  </r>
  <r>
    <s v="TX502300"/>
    <x v="8"/>
    <x v="0"/>
    <n v="18.5"/>
    <n v="18.5"/>
    <x v="84"/>
    <x v="91"/>
    <x v="2"/>
    <x v="0"/>
    <x v="0"/>
    <x v="0"/>
    <x v="44"/>
    <x v="12"/>
    <n v="13"/>
    <x v="2"/>
  </r>
  <r>
    <s v="TX502301"/>
    <x v="3"/>
    <x v="1"/>
    <n v="60.4"/>
    <n v="120.8"/>
    <x v="84"/>
    <x v="87"/>
    <x v="1"/>
    <x v="2"/>
    <x v="0"/>
    <x v="0"/>
    <x v="22"/>
    <x v="3"/>
    <n v="13"/>
    <x v="1"/>
  </r>
  <r>
    <s v="TX502302"/>
    <x v="6"/>
    <x v="9"/>
    <n v="80.2"/>
    <n v="401"/>
    <x v="84"/>
    <x v="92"/>
    <x v="1"/>
    <x v="1"/>
    <x v="1"/>
    <x v="0"/>
    <x v="50"/>
    <x v="6"/>
    <n v="13"/>
    <x v="1"/>
  </r>
  <r>
    <s v="TX502303"/>
    <x v="4"/>
    <x v="0"/>
    <n v="41.5"/>
    <n v="41.5"/>
    <x v="84"/>
    <x v="86"/>
    <x v="1"/>
    <x v="2"/>
    <x v="0"/>
    <x v="0"/>
    <x v="3"/>
    <x v="1"/>
    <n v="13"/>
    <x v="1"/>
  </r>
  <r>
    <s v="TX502304"/>
    <x v="2"/>
    <x v="1"/>
    <n v="83.9"/>
    <n v="167.8"/>
    <x v="84"/>
    <x v="90"/>
    <x v="2"/>
    <x v="0"/>
    <x v="0"/>
    <x v="0"/>
    <x v="3"/>
    <x v="2"/>
    <n v="13"/>
    <x v="2"/>
  </r>
  <r>
    <s v="TX502305"/>
    <x v="8"/>
    <x v="1"/>
    <n v="16.7"/>
    <n v="33.4"/>
    <x v="84"/>
    <x v="89"/>
    <x v="2"/>
    <x v="0"/>
    <x v="1"/>
    <x v="0"/>
    <x v="3"/>
    <x v="5"/>
    <n v="13"/>
    <x v="2"/>
  </r>
  <r>
    <s v="TX502306"/>
    <x v="9"/>
    <x v="1"/>
    <n v="72.900000000000006"/>
    <n v="145.80000000000001"/>
    <x v="84"/>
    <x v="87"/>
    <x v="1"/>
    <x v="2"/>
    <x v="1"/>
    <x v="0"/>
    <x v="3"/>
    <x v="3"/>
    <n v="13"/>
    <x v="1"/>
  </r>
  <r>
    <s v="TX502307"/>
    <x v="5"/>
    <x v="1"/>
    <n v="50.2"/>
    <n v="100.4"/>
    <x v="84"/>
    <x v="86"/>
    <x v="2"/>
    <x v="1"/>
    <x v="2"/>
    <x v="0"/>
    <x v="3"/>
    <x v="1"/>
    <n v="13"/>
    <x v="2"/>
  </r>
  <r>
    <s v="TX502308"/>
    <x v="3"/>
    <x v="1"/>
    <n v="34.200000000000003"/>
    <n v="68.400000000000006"/>
    <x v="84"/>
    <x v="93"/>
    <x v="0"/>
    <x v="1"/>
    <x v="0"/>
    <x v="0"/>
    <x v="3"/>
    <x v="14"/>
    <n v="13"/>
    <x v="0"/>
  </r>
  <r>
    <s v="TX502309"/>
    <x v="5"/>
    <x v="1"/>
    <n v="107.9"/>
    <n v="215.8"/>
    <x v="84"/>
    <x v="81"/>
    <x v="1"/>
    <x v="1"/>
    <x v="4"/>
    <x v="0"/>
    <x v="3"/>
    <x v="7"/>
    <n v="13"/>
    <x v="1"/>
  </r>
  <r>
    <s v="TX502310"/>
    <x v="0"/>
    <x v="2"/>
    <n v="17.5"/>
    <n v="52.5"/>
    <x v="84"/>
    <x v="86"/>
    <x v="1"/>
    <x v="4"/>
    <x v="0"/>
    <x v="0"/>
    <x v="3"/>
    <x v="1"/>
    <n v="13"/>
    <x v="1"/>
  </r>
  <r>
    <s v="TX502311"/>
    <x v="13"/>
    <x v="20"/>
    <n v="44.7"/>
    <n v="670.5"/>
    <x v="84"/>
    <x v="87"/>
    <x v="1"/>
    <x v="0"/>
    <x v="1"/>
    <x v="0"/>
    <x v="3"/>
    <x v="3"/>
    <n v="13"/>
    <x v="1"/>
  </r>
  <r>
    <s v="TX502312"/>
    <x v="12"/>
    <x v="13"/>
    <n v="92.7"/>
    <n v="556.20000000000005"/>
    <x v="84"/>
    <x v="86"/>
    <x v="2"/>
    <x v="2"/>
    <x v="1"/>
    <x v="0"/>
    <x v="3"/>
    <x v="1"/>
    <n v="13"/>
    <x v="2"/>
  </r>
  <r>
    <s v="TX502313"/>
    <x v="7"/>
    <x v="2"/>
    <n v="48.8"/>
    <n v="146.39999999999998"/>
    <x v="84"/>
    <x v="86"/>
    <x v="2"/>
    <x v="2"/>
    <x v="0"/>
    <x v="0"/>
    <x v="3"/>
    <x v="1"/>
    <n v="13"/>
    <x v="2"/>
  </r>
  <r>
    <s v="TX502314"/>
    <x v="4"/>
    <x v="27"/>
    <n v="21.3"/>
    <n v="340.8"/>
    <x v="84"/>
    <x v="89"/>
    <x v="2"/>
    <x v="3"/>
    <x v="3"/>
    <x v="0"/>
    <x v="3"/>
    <x v="5"/>
    <n v="13"/>
    <x v="2"/>
  </r>
  <r>
    <s v="TX502315"/>
    <x v="16"/>
    <x v="0"/>
    <n v="52.5"/>
    <n v="52.5"/>
    <x v="84"/>
    <x v="87"/>
    <x v="2"/>
    <x v="0"/>
    <x v="0"/>
    <x v="0"/>
    <x v="3"/>
    <x v="3"/>
    <n v="13"/>
    <x v="2"/>
  </r>
  <r>
    <s v="TX502316"/>
    <x v="1"/>
    <x v="1"/>
    <n v="92.4"/>
    <n v="184.8"/>
    <x v="84"/>
    <x v="84"/>
    <x v="2"/>
    <x v="0"/>
    <x v="2"/>
    <x v="0"/>
    <x v="3"/>
    <x v="4"/>
    <n v="13"/>
    <x v="2"/>
  </r>
  <r>
    <s v="TX502317"/>
    <x v="4"/>
    <x v="5"/>
    <n v="58.3"/>
    <n v="641.29999999999995"/>
    <x v="84"/>
    <x v="86"/>
    <x v="1"/>
    <x v="1"/>
    <x v="2"/>
    <x v="0"/>
    <x v="3"/>
    <x v="1"/>
    <n v="13"/>
    <x v="1"/>
  </r>
  <r>
    <s v="TX502318"/>
    <x v="6"/>
    <x v="44"/>
    <n v="152.6"/>
    <n v="3509.7999999999997"/>
    <x v="85"/>
    <x v="90"/>
    <x v="0"/>
    <x v="0"/>
    <x v="0"/>
    <x v="0"/>
    <x v="3"/>
    <x v="1"/>
    <n v="13"/>
    <x v="0"/>
  </r>
  <r>
    <s v="TX502319"/>
    <x v="8"/>
    <x v="1"/>
    <n v="26"/>
    <n v="52"/>
    <x v="85"/>
    <x v="87"/>
    <x v="0"/>
    <x v="0"/>
    <x v="1"/>
    <x v="0"/>
    <x v="3"/>
    <x v="7"/>
    <n v="13"/>
    <x v="0"/>
  </r>
  <r>
    <s v="TX502320"/>
    <x v="1"/>
    <x v="12"/>
    <n v="33.1"/>
    <n v="132.4"/>
    <x v="85"/>
    <x v="87"/>
    <x v="1"/>
    <x v="2"/>
    <x v="4"/>
    <x v="0"/>
    <x v="5"/>
    <x v="7"/>
    <n v="13"/>
    <x v="1"/>
  </r>
  <r>
    <s v="TX502321"/>
    <x v="18"/>
    <x v="0"/>
    <n v="51.4"/>
    <n v="51.4"/>
    <x v="85"/>
    <x v="90"/>
    <x v="2"/>
    <x v="1"/>
    <x v="1"/>
    <x v="0"/>
    <x v="5"/>
    <x v="1"/>
    <n v="13"/>
    <x v="2"/>
  </r>
  <r>
    <s v="TX502322"/>
    <x v="8"/>
    <x v="1"/>
    <n v="30.2"/>
    <n v="60.4"/>
    <x v="85"/>
    <x v="86"/>
    <x v="2"/>
    <x v="2"/>
    <x v="2"/>
    <x v="0"/>
    <x v="6"/>
    <x v="3"/>
    <n v="13"/>
    <x v="2"/>
  </r>
  <r>
    <s v="TX502323"/>
    <x v="2"/>
    <x v="13"/>
    <n v="97"/>
    <n v="582"/>
    <x v="85"/>
    <x v="88"/>
    <x v="2"/>
    <x v="0"/>
    <x v="2"/>
    <x v="0"/>
    <x v="7"/>
    <x v="5"/>
    <n v="13"/>
    <x v="2"/>
  </r>
  <r>
    <s v="TX502324"/>
    <x v="2"/>
    <x v="0"/>
    <n v="76.900000000000006"/>
    <n v="76.900000000000006"/>
    <x v="85"/>
    <x v="86"/>
    <x v="1"/>
    <x v="1"/>
    <x v="2"/>
    <x v="0"/>
    <x v="8"/>
    <x v="3"/>
    <n v="13"/>
    <x v="1"/>
  </r>
  <r>
    <s v="TX502325"/>
    <x v="7"/>
    <x v="13"/>
    <n v="36.1"/>
    <n v="216.60000000000002"/>
    <x v="85"/>
    <x v="88"/>
    <x v="2"/>
    <x v="0"/>
    <x v="0"/>
    <x v="0"/>
    <x v="8"/>
    <x v="5"/>
    <n v="13"/>
    <x v="2"/>
  </r>
  <r>
    <s v="TX502326"/>
    <x v="1"/>
    <x v="3"/>
    <n v="34.4"/>
    <n v="240.79999999999998"/>
    <x v="85"/>
    <x v="87"/>
    <x v="2"/>
    <x v="2"/>
    <x v="1"/>
    <x v="0"/>
    <x v="11"/>
    <x v="7"/>
    <n v="13"/>
    <x v="2"/>
  </r>
  <r>
    <s v="TX502327"/>
    <x v="1"/>
    <x v="31"/>
    <n v="53.4"/>
    <n v="1495.2"/>
    <x v="85"/>
    <x v="90"/>
    <x v="2"/>
    <x v="1"/>
    <x v="0"/>
    <x v="0"/>
    <x v="18"/>
    <x v="1"/>
    <n v="13"/>
    <x v="2"/>
  </r>
  <r>
    <s v="TX502328"/>
    <x v="2"/>
    <x v="0"/>
    <n v="77.599999999999994"/>
    <n v="77.599999999999994"/>
    <x v="85"/>
    <x v="86"/>
    <x v="2"/>
    <x v="0"/>
    <x v="1"/>
    <x v="0"/>
    <x v="19"/>
    <x v="3"/>
    <n v="13"/>
    <x v="2"/>
  </r>
  <r>
    <s v="TX502329"/>
    <x v="1"/>
    <x v="2"/>
    <n v="71.7"/>
    <n v="215.10000000000002"/>
    <x v="85"/>
    <x v="89"/>
    <x v="2"/>
    <x v="1"/>
    <x v="0"/>
    <x v="0"/>
    <x v="19"/>
    <x v="2"/>
    <n v="13"/>
    <x v="2"/>
  </r>
  <r>
    <s v="TX502330"/>
    <x v="3"/>
    <x v="2"/>
    <n v="80.599999999999994"/>
    <n v="241.79999999999998"/>
    <x v="85"/>
    <x v="86"/>
    <x v="1"/>
    <x v="4"/>
    <x v="1"/>
    <x v="0"/>
    <x v="19"/>
    <x v="3"/>
    <n v="13"/>
    <x v="1"/>
  </r>
  <r>
    <s v="TX502331"/>
    <x v="1"/>
    <x v="20"/>
    <n v="70"/>
    <n v="1050"/>
    <x v="85"/>
    <x v="90"/>
    <x v="1"/>
    <x v="0"/>
    <x v="0"/>
    <x v="0"/>
    <x v="20"/>
    <x v="1"/>
    <n v="13"/>
    <x v="1"/>
  </r>
  <r>
    <s v="TX502332"/>
    <x v="4"/>
    <x v="13"/>
    <n v="27.3"/>
    <n v="163.80000000000001"/>
    <x v="85"/>
    <x v="90"/>
    <x v="2"/>
    <x v="1"/>
    <x v="1"/>
    <x v="0"/>
    <x v="2"/>
    <x v="1"/>
    <n v="13"/>
    <x v="2"/>
  </r>
  <r>
    <s v="TX502333"/>
    <x v="8"/>
    <x v="21"/>
    <n v="37.6"/>
    <n v="526.4"/>
    <x v="85"/>
    <x v="90"/>
    <x v="1"/>
    <x v="1"/>
    <x v="0"/>
    <x v="0"/>
    <x v="3"/>
    <x v="1"/>
    <n v="13"/>
    <x v="1"/>
  </r>
  <r>
    <s v="TX502334"/>
    <x v="5"/>
    <x v="2"/>
    <n v="36.6"/>
    <n v="109.80000000000001"/>
    <x v="85"/>
    <x v="90"/>
    <x v="2"/>
    <x v="4"/>
    <x v="0"/>
    <x v="0"/>
    <x v="3"/>
    <x v="1"/>
    <n v="13"/>
    <x v="2"/>
  </r>
  <r>
    <s v="TX502335"/>
    <x v="13"/>
    <x v="0"/>
    <n v="55.2"/>
    <n v="55.2"/>
    <x v="85"/>
    <x v="90"/>
    <x v="1"/>
    <x v="3"/>
    <x v="0"/>
    <x v="0"/>
    <x v="3"/>
    <x v="1"/>
    <n v="13"/>
    <x v="1"/>
  </r>
  <r>
    <s v="TX502336"/>
    <x v="6"/>
    <x v="9"/>
    <n v="59.9"/>
    <n v="299.5"/>
    <x v="85"/>
    <x v="90"/>
    <x v="1"/>
    <x v="0"/>
    <x v="0"/>
    <x v="0"/>
    <x v="3"/>
    <x v="1"/>
    <n v="13"/>
    <x v="1"/>
  </r>
  <r>
    <s v="TX502337"/>
    <x v="6"/>
    <x v="0"/>
    <n v="44"/>
    <n v="44"/>
    <x v="85"/>
    <x v="86"/>
    <x v="2"/>
    <x v="2"/>
    <x v="2"/>
    <x v="0"/>
    <x v="3"/>
    <x v="3"/>
    <n v="13"/>
    <x v="2"/>
  </r>
  <r>
    <s v="TX502338"/>
    <x v="9"/>
    <x v="1"/>
    <n v="68.7"/>
    <n v="137.4"/>
    <x v="85"/>
    <x v="87"/>
    <x v="1"/>
    <x v="0"/>
    <x v="0"/>
    <x v="0"/>
    <x v="3"/>
    <x v="7"/>
    <n v="13"/>
    <x v="1"/>
  </r>
  <r>
    <s v="TX502339"/>
    <x v="5"/>
    <x v="1"/>
    <n v="61.6"/>
    <n v="123.2"/>
    <x v="85"/>
    <x v="88"/>
    <x v="1"/>
    <x v="3"/>
    <x v="1"/>
    <x v="0"/>
    <x v="3"/>
    <x v="5"/>
    <n v="13"/>
    <x v="1"/>
  </r>
  <r>
    <s v="TX502340"/>
    <x v="7"/>
    <x v="3"/>
    <n v="51.8"/>
    <n v="362.59999999999997"/>
    <x v="85"/>
    <x v="86"/>
    <x v="1"/>
    <x v="0"/>
    <x v="0"/>
    <x v="0"/>
    <x v="3"/>
    <x v="3"/>
    <n v="13"/>
    <x v="1"/>
  </r>
  <r>
    <s v="TX502341"/>
    <x v="8"/>
    <x v="7"/>
    <n v="46.2"/>
    <n v="462"/>
    <x v="85"/>
    <x v="90"/>
    <x v="1"/>
    <x v="1"/>
    <x v="2"/>
    <x v="0"/>
    <x v="3"/>
    <x v="1"/>
    <n v="13"/>
    <x v="1"/>
  </r>
  <r>
    <s v="TX502342"/>
    <x v="0"/>
    <x v="1"/>
    <n v="19.399999999999999"/>
    <n v="38.799999999999997"/>
    <x v="85"/>
    <x v="90"/>
    <x v="2"/>
    <x v="1"/>
    <x v="2"/>
    <x v="0"/>
    <x v="6"/>
    <x v="1"/>
    <n v="13"/>
    <x v="2"/>
  </r>
  <r>
    <s v="TX502343"/>
    <x v="11"/>
    <x v="2"/>
    <n v="52.1"/>
    <n v="156.30000000000001"/>
    <x v="85"/>
    <x v="89"/>
    <x v="1"/>
    <x v="3"/>
    <x v="3"/>
    <x v="0"/>
    <x v="6"/>
    <x v="2"/>
    <n v="13"/>
    <x v="1"/>
  </r>
  <r>
    <s v="TX502344"/>
    <x v="6"/>
    <x v="0"/>
    <n v="74.900000000000006"/>
    <n v="74.900000000000006"/>
    <x v="85"/>
    <x v="90"/>
    <x v="3"/>
    <x v="0"/>
    <x v="0"/>
    <x v="0"/>
    <x v="7"/>
    <x v="1"/>
    <n v="13"/>
    <x v="3"/>
  </r>
  <r>
    <s v="TX502345"/>
    <x v="9"/>
    <x v="3"/>
    <n v="49.6"/>
    <n v="347.2"/>
    <x v="85"/>
    <x v="89"/>
    <x v="2"/>
    <x v="4"/>
    <x v="0"/>
    <x v="0"/>
    <x v="8"/>
    <x v="2"/>
    <n v="13"/>
    <x v="2"/>
  </r>
  <r>
    <s v="TX502346"/>
    <x v="16"/>
    <x v="12"/>
    <n v="82.8"/>
    <n v="331.2"/>
    <x v="86"/>
    <x v="88"/>
    <x v="2"/>
    <x v="4"/>
    <x v="0"/>
    <x v="0"/>
    <x v="8"/>
    <x v="2"/>
    <n v="13"/>
    <x v="2"/>
  </r>
  <r>
    <s v="TX502347"/>
    <x v="2"/>
    <x v="0"/>
    <n v="97.7"/>
    <n v="97.7"/>
    <x v="86"/>
    <x v="90"/>
    <x v="2"/>
    <x v="1"/>
    <x v="0"/>
    <x v="0"/>
    <x v="8"/>
    <x v="3"/>
    <n v="13"/>
    <x v="2"/>
  </r>
  <r>
    <s v="TX502348"/>
    <x v="6"/>
    <x v="9"/>
    <n v="83.6"/>
    <n v="418"/>
    <x v="86"/>
    <x v="90"/>
    <x v="2"/>
    <x v="4"/>
    <x v="0"/>
    <x v="0"/>
    <x v="8"/>
    <x v="3"/>
    <n v="13"/>
    <x v="2"/>
  </r>
  <r>
    <s v="TX502349"/>
    <x v="8"/>
    <x v="9"/>
    <n v="23.5"/>
    <n v="117.5"/>
    <x v="86"/>
    <x v="84"/>
    <x v="3"/>
    <x v="0"/>
    <x v="0"/>
    <x v="0"/>
    <x v="8"/>
    <x v="5"/>
    <n v="13"/>
    <x v="3"/>
  </r>
  <r>
    <s v="TX502350"/>
    <x v="9"/>
    <x v="2"/>
    <n v="44.6"/>
    <n v="133.80000000000001"/>
    <x v="86"/>
    <x v="88"/>
    <x v="2"/>
    <x v="4"/>
    <x v="1"/>
    <x v="0"/>
    <x v="26"/>
    <x v="2"/>
    <n v="13"/>
    <x v="2"/>
  </r>
  <r>
    <s v="TX502351"/>
    <x v="0"/>
    <x v="2"/>
    <n v="20.100000000000001"/>
    <n v="60.300000000000004"/>
    <x v="86"/>
    <x v="89"/>
    <x v="2"/>
    <x v="3"/>
    <x v="4"/>
    <x v="0"/>
    <x v="11"/>
    <x v="1"/>
    <n v="13"/>
    <x v="2"/>
  </r>
  <r>
    <s v="TX502352"/>
    <x v="2"/>
    <x v="9"/>
    <n v="153.6"/>
    <n v="768"/>
    <x v="86"/>
    <x v="90"/>
    <x v="2"/>
    <x v="1"/>
    <x v="2"/>
    <x v="0"/>
    <x v="53"/>
    <x v="3"/>
    <n v="13"/>
    <x v="2"/>
  </r>
  <r>
    <s v="TX502353"/>
    <x v="1"/>
    <x v="1"/>
    <n v="71.8"/>
    <n v="143.6"/>
    <x v="86"/>
    <x v="84"/>
    <x v="2"/>
    <x v="1"/>
    <x v="0"/>
    <x v="0"/>
    <x v="1"/>
    <x v="5"/>
    <n v="13"/>
    <x v="2"/>
  </r>
  <r>
    <s v="TX502354"/>
    <x v="10"/>
    <x v="0"/>
    <n v="64.7"/>
    <n v="64.7"/>
    <x v="86"/>
    <x v="89"/>
    <x v="0"/>
    <x v="0"/>
    <x v="1"/>
    <x v="0"/>
    <x v="1"/>
    <x v="1"/>
    <n v="13"/>
    <x v="0"/>
  </r>
  <r>
    <s v="TX502355"/>
    <x v="9"/>
    <x v="8"/>
    <n v="60.4"/>
    <n v="483.2"/>
    <x v="86"/>
    <x v="89"/>
    <x v="2"/>
    <x v="3"/>
    <x v="2"/>
    <x v="0"/>
    <x v="2"/>
    <x v="1"/>
    <n v="13"/>
    <x v="2"/>
  </r>
  <r>
    <s v="TX502356"/>
    <x v="6"/>
    <x v="12"/>
    <n v="86"/>
    <n v="344"/>
    <x v="86"/>
    <x v="88"/>
    <x v="2"/>
    <x v="2"/>
    <x v="2"/>
    <x v="0"/>
    <x v="22"/>
    <x v="2"/>
    <n v="13"/>
    <x v="2"/>
  </r>
  <r>
    <s v="TX502357"/>
    <x v="12"/>
    <x v="1"/>
    <n v="42.1"/>
    <n v="84.2"/>
    <x v="86"/>
    <x v="90"/>
    <x v="2"/>
    <x v="4"/>
    <x v="1"/>
    <x v="0"/>
    <x v="34"/>
    <x v="3"/>
    <n v="13"/>
    <x v="2"/>
  </r>
  <r>
    <s v="TX502358"/>
    <x v="16"/>
    <x v="11"/>
    <n v="51.1"/>
    <n v="459.90000000000003"/>
    <x v="86"/>
    <x v="90"/>
    <x v="1"/>
    <x v="2"/>
    <x v="1"/>
    <x v="0"/>
    <x v="3"/>
    <x v="3"/>
    <n v="13"/>
    <x v="1"/>
  </r>
  <r>
    <s v="TX502359"/>
    <x v="9"/>
    <x v="12"/>
    <n v="73.8"/>
    <n v="295.2"/>
    <x v="86"/>
    <x v="90"/>
    <x v="1"/>
    <x v="4"/>
    <x v="0"/>
    <x v="0"/>
    <x v="3"/>
    <x v="3"/>
    <n v="13"/>
    <x v="1"/>
  </r>
  <r>
    <s v="TX502360"/>
    <x v="8"/>
    <x v="9"/>
    <n v="27"/>
    <n v="135"/>
    <x v="86"/>
    <x v="88"/>
    <x v="2"/>
    <x v="2"/>
    <x v="2"/>
    <x v="0"/>
    <x v="3"/>
    <x v="2"/>
    <n v="13"/>
    <x v="2"/>
  </r>
  <r>
    <s v="TX502361"/>
    <x v="8"/>
    <x v="13"/>
    <n v="60.1"/>
    <n v="360.6"/>
    <x v="86"/>
    <x v="90"/>
    <x v="1"/>
    <x v="3"/>
    <x v="0"/>
    <x v="0"/>
    <x v="3"/>
    <x v="3"/>
    <n v="13"/>
    <x v="1"/>
  </r>
  <r>
    <s v="TX502362"/>
    <x v="2"/>
    <x v="3"/>
    <n v="94.1"/>
    <n v="658.69999999999993"/>
    <x v="86"/>
    <x v="89"/>
    <x v="2"/>
    <x v="4"/>
    <x v="1"/>
    <x v="0"/>
    <x v="3"/>
    <x v="1"/>
    <n v="13"/>
    <x v="2"/>
  </r>
  <r>
    <s v="TX502363"/>
    <x v="2"/>
    <x v="1"/>
    <n v="124.1"/>
    <n v="248.2"/>
    <x v="86"/>
    <x v="86"/>
    <x v="2"/>
    <x v="2"/>
    <x v="3"/>
    <x v="0"/>
    <x v="43"/>
    <x v="7"/>
    <n v="13"/>
    <x v="2"/>
  </r>
  <r>
    <s v="TX502364"/>
    <x v="8"/>
    <x v="12"/>
    <n v="16.899999999999999"/>
    <n v="67.599999999999994"/>
    <x v="86"/>
    <x v="88"/>
    <x v="1"/>
    <x v="3"/>
    <x v="0"/>
    <x v="0"/>
    <x v="6"/>
    <x v="2"/>
    <n v="13"/>
    <x v="1"/>
  </r>
  <r>
    <s v="TX502365"/>
    <x v="1"/>
    <x v="0"/>
    <n v="36.9"/>
    <n v="36.9"/>
    <x v="86"/>
    <x v="90"/>
    <x v="1"/>
    <x v="0"/>
    <x v="0"/>
    <x v="0"/>
    <x v="6"/>
    <x v="3"/>
    <n v="13"/>
    <x v="1"/>
  </r>
  <r>
    <s v="TX502366"/>
    <x v="9"/>
    <x v="1"/>
    <n v="22.6"/>
    <n v="45.2"/>
    <x v="86"/>
    <x v="94"/>
    <x v="2"/>
    <x v="2"/>
    <x v="1"/>
    <x v="0"/>
    <x v="8"/>
    <x v="10"/>
    <n v="13"/>
    <x v="2"/>
  </r>
  <r>
    <s v="TX502367"/>
    <x v="7"/>
    <x v="12"/>
    <n v="35"/>
    <n v="140"/>
    <x v="86"/>
    <x v="92"/>
    <x v="1"/>
    <x v="3"/>
    <x v="1"/>
    <x v="0"/>
    <x v="8"/>
    <x v="0"/>
    <n v="13"/>
    <x v="1"/>
  </r>
  <r>
    <s v="TX502368"/>
    <x v="9"/>
    <x v="13"/>
    <n v="63.6"/>
    <n v="381.6"/>
    <x v="86"/>
    <x v="95"/>
    <x v="0"/>
    <x v="1"/>
    <x v="2"/>
    <x v="0"/>
    <x v="8"/>
    <x v="6"/>
    <n v="13"/>
    <x v="0"/>
  </r>
  <r>
    <s v="TX502369"/>
    <x v="15"/>
    <x v="12"/>
    <n v="78.599999999999994"/>
    <n v="314.39999999999998"/>
    <x v="86"/>
    <x v="90"/>
    <x v="1"/>
    <x v="4"/>
    <x v="1"/>
    <x v="0"/>
    <x v="8"/>
    <x v="3"/>
    <n v="13"/>
    <x v="1"/>
  </r>
  <r>
    <s v="TX502370"/>
    <x v="3"/>
    <x v="1"/>
    <n v="38.5"/>
    <n v="77"/>
    <x v="86"/>
    <x v="90"/>
    <x v="1"/>
    <x v="0"/>
    <x v="2"/>
    <x v="0"/>
    <x v="8"/>
    <x v="3"/>
    <n v="13"/>
    <x v="1"/>
  </r>
  <r>
    <s v="TX502371"/>
    <x v="8"/>
    <x v="5"/>
    <n v="71.5"/>
    <n v="786.5"/>
    <x v="86"/>
    <x v="90"/>
    <x v="2"/>
    <x v="1"/>
    <x v="4"/>
    <x v="0"/>
    <x v="8"/>
    <x v="3"/>
    <n v="13"/>
    <x v="2"/>
  </r>
  <r>
    <s v="TX502372"/>
    <x v="6"/>
    <x v="12"/>
    <n v="121.4"/>
    <n v="485.6"/>
    <x v="86"/>
    <x v="84"/>
    <x v="1"/>
    <x v="1"/>
    <x v="2"/>
    <x v="0"/>
    <x v="17"/>
    <x v="5"/>
    <n v="13"/>
    <x v="1"/>
  </r>
  <r>
    <s v="TX502373"/>
    <x v="11"/>
    <x v="0"/>
    <n v="40.200000000000003"/>
    <n v="40.200000000000003"/>
    <x v="86"/>
    <x v="88"/>
    <x v="2"/>
    <x v="0"/>
    <x v="2"/>
    <x v="0"/>
    <x v="11"/>
    <x v="2"/>
    <n v="13"/>
    <x v="2"/>
  </r>
  <r>
    <s v="TX502374"/>
    <x v="5"/>
    <x v="9"/>
    <n v="31.9"/>
    <n v="159.5"/>
    <x v="86"/>
    <x v="89"/>
    <x v="2"/>
    <x v="2"/>
    <x v="2"/>
    <x v="0"/>
    <x v="28"/>
    <x v="1"/>
    <n v="13"/>
    <x v="2"/>
  </r>
  <r>
    <s v="TX502375"/>
    <x v="14"/>
    <x v="9"/>
    <n v="15.8"/>
    <n v="79"/>
    <x v="87"/>
    <x v="89"/>
    <x v="1"/>
    <x v="3"/>
    <x v="2"/>
    <x v="0"/>
    <x v="21"/>
    <x v="3"/>
    <n v="13"/>
    <x v="1"/>
  </r>
  <r>
    <s v="TX502376"/>
    <x v="10"/>
    <x v="1"/>
    <n v="25.1"/>
    <n v="50.2"/>
    <x v="87"/>
    <x v="88"/>
    <x v="0"/>
    <x v="1"/>
    <x v="0"/>
    <x v="0"/>
    <x v="21"/>
    <x v="1"/>
    <n v="13"/>
    <x v="0"/>
  </r>
  <r>
    <s v="TX502377"/>
    <x v="1"/>
    <x v="44"/>
    <n v="38.1"/>
    <n v="876.30000000000007"/>
    <x v="87"/>
    <x v="89"/>
    <x v="2"/>
    <x v="4"/>
    <x v="0"/>
    <x v="0"/>
    <x v="1"/>
    <x v="3"/>
    <n v="13"/>
    <x v="2"/>
  </r>
  <r>
    <s v="TX502378"/>
    <x v="3"/>
    <x v="1"/>
    <n v="42.2"/>
    <n v="84.4"/>
    <x v="87"/>
    <x v="88"/>
    <x v="2"/>
    <x v="0"/>
    <x v="2"/>
    <x v="0"/>
    <x v="1"/>
    <x v="1"/>
    <n v="13"/>
    <x v="2"/>
  </r>
  <r>
    <s v="TX502379"/>
    <x v="0"/>
    <x v="7"/>
    <n v="12.3"/>
    <n v="123"/>
    <x v="87"/>
    <x v="89"/>
    <x v="2"/>
    <x v="4"/>
    <x v="0"/>
    <x v="0"/>
    <x v="2"/>
    <x v="3"/>
    <n v="13"/>
    <x v="2"/>
  </r>
  <r>
    <s v="TX502380"/>
    <x v="7"/>
    <x v="0"/>
    <n v="30.2"/>
    <n v="30.2"/>
    <x v="87"/>
    <x v="88"/>
    <x v="2"/>
    <x v="1"/>
    <x v="2"/>
    <x v="0"/>
    <x v="34"/>
    <x v="1"/>
    <n v="13"/>
    <x v="2"/>
  </r>
  <r>
    <s v="TX502381"/>
    <x v="5"/>
    <x v="2"/>
    <n v="25.3"/>
    <n v="75.900000000000006"/>
    <x v="87"/>
    <x v="84"/>
    <x v="2"/>
    <x v="2"/>
    <x v="0"/>
    <x v="0"/>
    <x v="3"/>
    <x v="2"/>
    <n v="13"/>
    <x v="2"/>
  </r>
  <r>
    <s v="TX502382"/>
    <x v="8"/>
    <x v="9"/>
    <n v="29.7"/>
    <n v="148.5"/>
    <x v="87"/>
    <x v="88"/>
    <x v="1"/>
    <x v="3"/>
    <x v="0"/>
    <x v="0"/>
    <x v="3"/>
    <x v="1"/>
    <n v="13"/>
    <x v="1"/>
  </r>
  <r>
    <s v="TX502383"/>
    <x v="9"/>
    <x v="8"/>
    <n v="32.9"/>
    <n v="263.2"/>
    <x v="87"/>
    <x v="89"/>
    <x v="0"/>
    <x v="3"/>
    <x v="2"/>
    <x v="0"/>
    <x v="3"/>
    <x v="3"/>
    <n v="13"/>
    <x v="0"/>
  </r>
  <r>
    <s v="TX502384"/>
    <x v="10"/>
    <x v="1"/>
    <n v="43.6"/>
    <n v="87.2"/>
    <x v="87"/>
    <x v="89"/>
    <x v="1"/>
    <x v="1"/>
    <x v="2"/>
    <x v="0"/>
    <x v="3"/>
    <x v="3"/>
    <n v="13"/>
    <x v="1"/>
  </r>
  <r>
    <s v="TX502385"/>
    <x v="15"/>
    <x v="12"/>
    <n v="78.400000000000006"/>
    <n v="313.60000000000002"/>
    <x v="87"/>
    <x v="89"/>
    <x v="1"/>
    <x v="2"/>
    <x v="0"/>
    <x v="0"/>
    <x v="3"/>
    <x v="3"/>
    <n v="13"/>
    <x v="1"/>
  </r>
  <r>
    <s v="TX502386"/>
    <x v="6"/>
    <x v="1"/>
    <n v="56.5"/>
    <n v="113"/>
    <x v="87"/>
    <x v="92"/>
    <x v="1"/>
    <x v="1"/>
    <x v="1"/>
    <x v="0"/>
    <x v="3"/>
    <x v="5"/>
    <n v="13"/>
    <x v="1"/>
  </r>
  <r>
    <s v="TX502387"/>
    <x v="16"/>
    <x v="0"/>
    <n v="36.700000000000003"/>
    <n v="36.700000000000003"/>
    <x v="87"/>
    <x v="89"/>
    <x v="2"/>
    <x v="0"/>
    <x v="2"/>
    <x v="0"/>
    <x v="3"/>
    <x v="3"/>
    <n v="13"/>
    <x v="2"/>
  </r>
  <r>
    <s v="TX502388"/>
    <x v="2"/>
    <x v="12"/>
    <n v="103.6"/>
    <n v="414.4"/>
    <x v="87"/>
    <x v="91"/>
    <x v="1"/>
    <x v="4"/>
    <x v="2"/>
    <x v="0"/>
    <x v="3"/>
    <x v="11"/>
    <n v="13"/>
    <x v="1"/>
  </r>
  <r>
    <s v="TX502389"/>
    <x v="8"/>
    <x v="13"/>
    <n v="16.2"/>
    <n v="97.199999999999989"/>
    <x v="87"/>
    <x v="92"/>
    <x v="1"/>
    <x v="1"/>
    <x v="2"/>
    <x v="0"/>
    <x v="6"/>
    <x v="5"/>
    <n v="13"/>
    <x v="1"/>
  </r>
  <r>
    <s v="TX502390"/>
    <x v="8"/>
    <x v="1"/>
    <n v="20.2"/>
    <n v="40.4"/>
    <x v="87"/>
    <x v="89"/>
    <x v="2"/>
    <x v="0"/>
    <x v="0"/>
    <x v="0"/>
    <x v="6"/>
    <x v="3"/>
    <n v="13"/>
    <x v="2"/>
  </r>
  <r>
    <s v="TX502391"/>
    <x v="11"/>
    <x v="1"/>
    <n v="26.9"/>
    <n v="53.8"/>
    <x v="87"/>
    <x v="88"/>
    <x v="2"/>
    <x v="2"/>
    <x v="0"/>
    <x v="0"/>
    <x v="6"/>
    <x v="1"/>
    <n v="13"/>
    <x v="2"/>
  </r>
  <r>
    <s v="TX502392"/>
    <x v="1"/>
    <x v="1"/>
    <n v="82.4"/>
    <n v="164.8"/>
    <x v="87"/>
    <x v="84"/>
    <x v="0"/>
    <x v="0"/>
    <x v="0"/>
    <x v="0"/>
    <x v="7"/>
    <x v="2"/>
    <n v="13"/>
    <x v="0"/>
  </r>
  <r>
    <s v="TX502393"/>
    <x v="2"/>
    <x v="1"/>
    <n v="117.8"/>
    <n v="235.6"/>
    <x v="87"/>
    <x v="88"/>
    <x v="1"/>
    <x v="1"/>
    <x v="2"/>
    <x v="0"/>
    <x v="8"/>
    <x v="1"/>
    <n v="13"/>
    <x v="1"/>
  </r>
  <r>
    <s v="TX502394"/>
    <x v="11"/>
    <x v="12"/>
    <n v="36.700000000000003"/>
    <n v="146.80000000000001"/>
    <x v="87"/>
    <x v="89"/>
    <x v="1"/>
    <x v="1"/>
    <x v="0"/>
    <x v="0"/>
    <x v="8"/>
    <x v="3"/>
    <n v="13"/>
    <x v="1"/>
  </r>
  <r>
    <s v="TX502395"/>
    <x v="17"/>
    <x v="2"/>
    <n v="46.8"/>
    <n v="140.39999999999998"/>
    <x v="87"/>
    <x v="89"/>
    <x v="1"/>
    <x v="4"/>
    <x v="2"/>
    <x v="0"/>
    <x v="10"/>
    <x v="3"/>
    <n v="13"/>
    <x v="1"/>
  </r>
  <r>
    <s v="TX502396"/>
    <x v="3"/>
    <x v="0"/>
    <n v="61.4"/>
    <n v="61.4"/>
    <x v="87"/>
    <x v="89"/>
    <x v="1"/>
    <x v="1"/>
    <x v="0"/>
    <x v="0"/>
    <x v="10"/>
    <x v="3"/>
    <n v="13"/>
    <x v="1"/>
  </r>
  <r>
    <s v="TX502397"/>
    <x v="15"/>
    <x v="1"/>
    <n v="22.9"/>
    <n v="45.8"/>
    <x v="87"/>
    <x v="89"/>
    <x v="1"/>
    <x v="0"/>
    <x v="0"/>
    <x v="0"/>
    <x v="11"/>
    <x v="3"/>
    <n v="13"/>
    <x v="1"/>
  </r>
  <r>
    <s v="TX502398"/>
    <x v="10"/>
    <x v="1"/>
    <n v="22.1"/>
    <n v="44.2"/>
    <x v="87"/>
    <x v="89"/>
    <x v="2"/>
    <x v="4"/>
    <x v="0"/>
    <x v="0"/>
    <x v="11"/>
    <x v="3"/>
    <n v="13"/>
    <x v="2"/>
  </r>
  <r>
    <s v="TX502399"/>
    <x v="12"/>
    <x v="1"/>
    <n v="31"/>
    <n v="62"/>
    <x v="87"/>
    <x v="88"/>
    <x v="2"/>
    <x v="2"/>
    <x v="0"/>
    <x v="0"/>
    <x v="18"/>
    <x v="1"/>
    <n v="13"/>
    <x v="2"/>
  </r>
  <r>
    <s v="TX502400"/>
    <x v="18"/>
    <x v="1"/>
    <n v="84.2"/>
    <n v="168.4"/>
    <x v="87"/>
    <x v="88"/>
    <x v="1"/>
    <x v="2"/>
    <x v="2"/>
    <x v="0"/>
    <x v="13"/>
    <x v="1"/>
    <n v="1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s v="Shorts"/>
    <n v="1"/>
    <n v="10.9"/>
    <n v="10.9"/>
    <x v="0"/>
    <d v="2025-01-06T00:00:00"/>
    <x v="0"/>
    <x v="0"/>
    <n v="4"/>
    <s v="California"/>
    <s v="Alpine County"/>
    <n v="5"/>
    <x v="0"/>
    <s v="Unknown"/>
  </r>
  <r>
    <s v="TX500002"/>
    <s v="Tank Tops"/>
    <n v="2"/>
    <n v="30.6"/>
    <n v="61.2"/>
    <x v="0"/>
    <d v="2025-01-03T00:00:00"/>
    <x v="1"/>
    <x v="0"/>
    <n v="4"/>
    <s v="California"/>
    <s v="Contra Costa County"/>
    <n v="2"/>
    <x v="0"/>
    <s v="Male"/>
  </r>
  <r>
    <s v="TX500003"/>
    <s v="Sneakers"/>
    <n v="3"/>
    <n v="109.4"/>
    <n v="328.20000000000005"/>
    <x v="0"/>
    <d v="2025-01-04T00:00:00"/>
    <x v="2"/>
    <x v="0"/>
    <n v="3"/>
    <s v="California"/>
    <s v="Fresno County"/>
    <n v="3"/>
    <x v="0"/>
    <s v="Female"/>
  </r>
  <r>
    <s v="TX500004"/>
    <s v="Workout Tops"/>
    <n v="7"/>
    <n v="37.700000000000003"/>
    <n v="263.90000000000003"/>
    <x v="0"/>
    <d v="2025-01-02T00:00:00"/>
    <x v="2"/>
    <x v="0"/>
    <n v="4"/>
    <s v="California"/>
    <s v="Fresno County"/>
    <n v="1"/>
    <x v="0"/>
    <s v="Female"/>
  </r>
  <r>
    <s v="TX500005"/>
    <s v="Graphic Tees"/>
    <n v="3"/>
    <n v="56.7"/>
    <n v="170.10000000000002"/>
    <x v="0"/>
    <d v="2025-01-04T00:00:00"/>
    <x v="2"/>
    <x v="0"/>
    <n v="5"/>
    <s v="California"/>
    <s v="Los Angeles County"/>
    <n v="3"/>
    <x v="0"/>
    <s v="Female"/>
  </r>
  <r>
    <s v="TX500006"/>
    <s v="Tank Tops"/>
    <n v="12"/>
    <n v="83.5"/>
    <n v="1002"/>
    <x v="0"/>
    <d v="2025-01-04T00:00:00"/>
    <x v="1"/>
    <x v="1"/>
    <n v="4"/>
    <s v="California"/>
    <s v="Los Angeles County"/>
    <n v="3"/>
    <x v="0"/>
    <s v="Male"/>
  </r>
  <r>
    <s v="TX500007"/>
    <s v="Sandals"/>
    <n v="1"/>
    <n v="55.3"/>
    <n v="55.3"/>
    <x v="0"/>
    <d v="2025-01-02T00:00:00"/>
    <x v="2"/>
    <x v="0"/>
    <n v="4"/>
    <s v="California"/>
    <s v="Los Angeles County"/>
    <n v="1"/>
    <x v="0"/>
    <s v="Female"/>
  </r>
  <r>
    <s v="TX500008"/>
    <s v="Jeans"/>
    <n v="2"/>
    <n v="40.299999999999997"/>
    <n v="80.599999999999994"/>
    <x v="0"/>
    <d v="2025-01-02T00:00:00"/>
    <x v="1"/>
    <x v="2"/>
    <n v="5"/>
    <s v="California"/>
    <s v="Los Angeles County"/>
    <n v="1"/>
    <x v="0"/>
    <s v="Male"/>
  </r>
  <r>
    <s v="TX500009"/>
    <s v="Hoodies &amp; Sweatshirts"/>
    <n v="11"/>
    <n v="35.700000000000003"/>
    <n v="392.70000000000005"/>
    <x v="0"/>
    <d v="2025-01-02T00:00:00"/>
    <x v="2"/>
    <x v="0"/>
    <n v="4"/>
    <s v="California"/>
    <s v="Los Angeles County"/>
    <n v="1"/>
    <x v="0"/>
    <s v="Female"/>
  </r>
  <r>
    <s v="TX500010"/>
    <s v="T-Shirts"/>
    <n v="7"/>
    <n v="22.4"/>
    <n v="156.79999999999998"/>
    <x v="0"/>
    <d v="2025-01-04T00:00:00"/>
    <x v="1"/>
    <x v="0"/>
    <n v="3"/>
    <s v="California"/>
    <s v="Los Angeles County"/>
    <n v="3"/>
    <x v="0"/>
    <s v="Male"/>
  </r>
  <r>
    <s v="TX500011"/>
    <s v="Sundresses"/>
    <n v="2"/>
    <n v="54.4"/>
    <n v="108.8"/>
    <x v="0"/>
    <d v="2025-01-07T00:00:00"/>
    <x v="2"/>
    <x v="0"/>
    <n v="4"/>
    <s v="California"/>
    <s v="Los Angeles County"/>
    <n v="6"/>
    <x v="0"/>
    <s v="Female"/>
  </r>
  <r>
    <s v="TX500012"/>
    <s v="Sundresses"/>
    <n v="2"/>
    <n v="49"/>
    <n v="98"/>
    <x v="0"/>
    <d v="2025-01-03T00:00:00"/>
    <x v="2"/>
    <x v="2"/>
    <n v="3"/>
    <s v="California"/>
    <s v="Los Angeles County"/>
    <n v="2"/>
    <x v="0"/>
    <s v="Female"/>
  </r>
  <r>
    <s v="TX500013"/>
    <s v="Sandals"/>
    <n v="7"/>
    <n v="118.6"/>
    <n v="830.19999999999993"/>
    <x v="0"/>
    <d v="2025-01-05T00:00:00"/>
    <x v="2"/>
    <x v="1"/>
    <n v="4"/>
    <s v="California"/>
    <s v="Nevada County"/>
    <n v="4"/>
    <x v="0"/>
    <s v="Female"/>
  </r>
  <r>
    <s v="TX500014"/>
    <s v="Jeans"/>
    <n v="27"/>
    <n v="88.4"/>
    <n v="2386.8000000000002"/>
    <x v="0"/>
    <d v="2025-01-08T00:00:00"/>
    <x v="1"/>
    <x v="3"/>
    <n v="4"/>
    <s v="California"/>
    <s v="Placer County"/>
    <n v="7"/>
    <x v="0"/>
    <s v="Male"/>
  </r>
  <r>
    <s v="TX500015"/>
    <s v="Bikinis"/>
    <n v="1"/>
    <n v="66.7"/>
    <n v="66.7"/>
    <x v="0"/>
    <d v="2025-01-04T00:00:00"/>
    <x v="1"/>
    <x v="0"/>
    <n v="4"/>
    <s v="California"/>
    <s v="Sacramento County"/>
    <n v="3"/>
    <x v="0"/>
    <s v="Male"/>
  </r>
  <r>
    <s v="TX500016"/>
    <s v="Sundresses"/>
    <n v="10"/>
    <n v="30.9"/>
    <n v="309"/>
    <x v="0"/>
    <d v="2025-01-02T00:00:00"/>
    <x v="1"/>
    <x v="1"/>
    <n v="5"/>
    <s v="California"/>
    <s v="Sacramento County"/>
    <n v="1"/>
    <x v="0"/>
    <s v="Male"/>
  </r>
  <r>
    <s v="TX500017"/>
    <s v="Graphic Tees"/>
    <n v="3"/>
    <n v="31.1"/>
    <n v="93.300000000000011"/>
    <x v="0"/>
    <d v="2025-01-02T00:00:00"/>
    <x v="2"/>
    <x v="0"/>
    <n v="3"/>
    <s v="California"/>
    <s v="Sacramento County"/>
    <n v="1"/>
    <x v="0"/>
    <s v="Female"/>
  </r>
  <r>
    <s v="TX500018"/>
    <s v="Hoodies &amp; Sweatshirts"/>
    <n v="3"/>
    <n v="36.6"/>
    <n v="109.80000000000001"/>
    <x v="0"/>
    <d v="2025-01-04T00:00:00"/>
    <x v="2"/>
    <x v="0"/>
    <n v="4"/>
    <s v="California"/>
    <s v="San Bernardino County"/>
    <n v="3"/>
    <x v="0"/>
    <s v="Female"/>
  </r>
  <r>
    <s v="TX500019"/>
    <s v="Jeans"/>
    <n v="8"/>
    <n v="51.1"/>
    <n v="408.8"/>
    <x v="0"/>
    <d v="2025-01-04T00:00:00"/>
    <x v="2"/>
    <x v="2"/>
    <n v="1"/>
    <s v="California"/>
    <s v="San Bernardino County"/>
    <n v="3"/>
    <x v="0"/>
    <s v="Female"/>
  </r>
  <r>
    <s v="TX500020"/>
    <s v="Sundresses"/>
    <n v="1"/>
    <n v="25.2"/>
    <n v="25.2"/>
    <x v="0"/>
    <d v="2025-01-02T00:00:00"/>
    <x v="2"/>
    <x v="1"/>
    <n v="5"/>
    <s v="California"/>
    <s v="San Diego County"/>
    <n v="1"/>
    <x v="0"/>
    <s v="Female"/>
  </r>
  <r>
    <s v="TX500021"/>
    <s v="Sundresses"/>
    <n v="5"/>
    <n v="43.8"/>
    <n v="219"/>
    <x v="0"/>
    <d v="2025-01-04T00:00:00"/>
    <x v="2"/>
    <x v="2"/>
    <n v="4"/>
    <s v="California"/>
    <s v="San Diego County"/>
    <n v="3"/>
    <x v="0"/>
    <s v="Female"/>
  </r>
  <r>
    <s v="TX500022"/>
    <s v="T-Shirts"/>
    <n v="12"/>
    <n v="46.7"/>
    <n v="560.40000000000009"/>
    <x v="0"/>
    <d v="2025-01-02T00:00:00"/>
    <x v="2"/>
    <x v="1"/>
    <n v="3"/>
    <s v="California"/>
    <s v="San Diego County"/>
    <n v="1"/>
    <x v="0"/>
    <s v="Female"/>
  </r>
  <r>
    <s v="TX500023"/>
    <s v="Workout Tops"/>
    <n v="19"/>
    <n v="79.900000000000006"/>
    <n v="1518.1000000000001"/>
    <x v="0"/>
    <d v="2025-01-02T00:00:00"/>
    <x v="1"/>
    <x v="0"/>
    <n v="5"/>
    <s v="California"/>
    <s v="San Diego County"/>
    <n v="1"/>
    <x v="0"/>
    <s v="Male"/>
  </r>
  <r>
    <s v="TX500024"/>
    <s v="Maxi Dresses"/>
    <n v="8"/>
    <n v="26.4"/>
    <n v="211.2"/>
    <x v="0"/>
    <d v="2025-01-02T00:00:00"/>
    <x v="2"/>
    <x v="3"/>
    <n v="4"/>
    <s v="California"/>
    <s v="San Diego County"/>
    <n v="1"/>
    <x v="0"/>
    <s v="Female"/>
  </r>
  <r>
    <s v="TX500025"/>
    <s v="Casual Dresses"/>
    <n v="8"/>
    <n v="88.8"/>
    <n v="710.4"/>
    <x v="0"/>
    <d v="2025-01-02T00:00:00"/>
    <x v="2"/>
    <x v="4"/>
    <n v="4"/>
    <s v="California"/>
    <s v="San Diego County"/>
    <n v="1"/>
    <x v="0"/>
    <s v="Female"/>
  </r>
  <r>
    <s v="TX500026"/>
    <s v="Shorts"/>
    <n v="10"/>
    <n v="17.5"/>
    <n v="175"/>
    <x v="0"/>
    <d v="2025-01-02T00:00:00"/>
    <x v="2"/>
    <x v="2"/>
    <n v="4"/>
    <s v="California"/>
    <s v="San Mateo County"/>
    <n v="1"/>
    <x v="0"/>
    <s v="Female"/>
  </r>
  <r>
    <s v="TX500027"/>
    <s v="Tank Tops"/>
    <n v="9"/>
    <n v="38.700000000000003"/>
    <n v="348.3"/>
    <x v="0"/>
    <d v="2025-01-04T00:00:00"/>
    <x v="1"/>
    <x v="1"/>
    <n v="4"/>
    <s v="California"/>
    <s v="Santa Barbara County"/>
    <n v="3"/>
    <x v="0"/>
    <s v="Male"/>
  </r>
  <r>
    <s v="TX500028"/>
    <s v="Tote Bags"/>
    <n v="4"/>
    <n v="57.2"/>
    <n v="228.8"/>
    <x v="0"/>
    <d v="2025-01-03T00:00:00"/>
    <x v="0"/>
    <x v="1"/>
    <n v="5"/>
    <s v="California"/>
    <s v="Santa Clara County"/>
    <n v="2"/>
    <x v="0"/>
    <s v="Unknown"/>
  </r>
  <r>
    <s v="TX500029"/>
    <s v="Jeans"/>
    <n v="5"/>
    <n v="50.9"/>
    <n v="254.5"/>
    <x v="0"/>
    <d v="2025-01-07T00:00:00"/>
    <x v="0"/>
    <x v="1"/>
    <n v="5"/>
    <s v="California"/>
    <s v="Tehama County"/>
    <n v="6"/>
    <x v="0"/>
    <s v="Unknown"/>
  </r>
  <r>
    <s v="TX500030"/>
    <s v="Baseball Caps"/>
    <n v="7"/>
    <n v="41"/>
    <n v="287"/>
    <x v="0"/>
    <d v="2025-01-05T00:00:00"/>
    <x v="2"/>
    <x v="1"/>
    <n v="4"/>
    <s v="California"/>
    <s v="Ventura County"/>
    <n v="4"/>
    <x v="0"/>
    <s v="Female"/>
  </r>
  <r>
    <s v="TX500031"/>
    <s v="T-Shirts"/>
    <n v="7"/>
    <n v="19.100000000000001"/>
    <n v="133.70000000000002"/>
    <x v="0"/>
    <d v="2025-01-05T00:00:00"/>
    <x v="1"/>
    <x v="0"/>
    <n v="5"/>
    <s v="California"/>
    <s v="Calaveras County"/>
    <n v="4"/>
    <x v="0"/>
    <s v="Male"/>
  </r>
  <r>
    <s v="TX500032"/>
    <s v="Sneakers"/>
    <n v="5"/>
    <n v="166.1"/>
    <n v="830.5"/>
    <x v="0"/>
    <d v="2025-01-04T00:00:00"/>
    <x v="1"/>
    <x v="0"/>
    <n v="4"/>
    <s v="California"/>
    <s v="Inyo County"/>
    <n v="3"/>
    <x v="0"/>
    <s v="Male"/>
  </r>
  <r>
    <s v="TX500033"/>
    <s v="Graphic Tees"/>
    <n v="3"/>
    <n v="29.9"/>
    <n v="89.699999999999989"/>
    <x v="0"/>
    <d v="2025-01-02T00:00:00"/>
    <x v="1"/>
    <x v="3"/>
    <n v="4"/>
    <s v="California"/>
    <s v="Los Angeles County"/>
    <n v="1"/>
    <x v="0"/>
    <s v="Male"/>
  </r>
  <r>
    <s v="TX500034"/>
    <s v="Bikinis"/>
    <n v="6"/>
    <n v="21.7"/>
    <n v="130.19999999999999"/>
    <x v="0"/>
    <d v="2025-01-03T00:00:00"/>
    <x v="3"/>
    <x v="2"/>
    <n v="5"/>
    <s v="California"/>
    <s v="Los Angeles County"/>
    <n v="2"/>
    <x v="0"/>
    <s v="Other"/>
  </r>
  <r>
    <s v="TX500035"/>
    <s v="Maxi Dresses"/>
    <n v="2"/>
    <n v="32"/>
    <n v="64"/>
    <x v="0"/>
    <d v="2025-01-04T00:00:00"/>
    <x v="1"/>
    <x v="0"/>
    <n v="5"/>
    <s v="California"/>
    <s v="Los Angeles County"/>
    <n v="3"/>
    <x v="0"/>
    <s v="Male"/>
  </r>
  <r>
    <s v="TX500036"/>
    <s v="T-Shirts"/>
    <n v="2"/>
    <n v="15.8"/>
    <n v="31.6"/>
    <x v="0"/>
    <d v="2025-01-02T00:00:00"/>
    <x v="1"/>
    <x v="4"/>
    <n v="5"/>
    <s v="California"/>
    <s v="Los Angeles County"/>
    <n v="1"/>
    <x v="0"/>
    <s v="Male"/>
  </r>
  <r>
    <s v="TX500037"/>
    <s v="Sneakers"/>
    <n v="17"/>
    <n v="203.1"/>
    <n v="3452.7"/>
    <x v="0"/>
    <d v="2025-01-05T00:00:00"/>
    <x v="1"/>
    <x v="3"/>
    <n v="3"/>
    <s v="California"/>
    <s v="Los Angeles County"/>
    <n v="4"/>
    <x v="0"/>
    <s v="Male"/>
  </r>
  <r>
    <s v="TX500038"/>
    <s v="Hoodies &amp; Sweatshirts"/>
    <n v="13"/>
    <n v="39"/>
    <n v="507"/>
    <x v="0"/>
    <d v="2025-01-07T00:00:00"/>
    <x v="1"/>
    <x v="0"/>
    <n v="5"/>
    <s v="California"/>
    <s v="Los Angeles County"/>
    <n v="6"/>
    <x v="0"/>
    <s v="Male"/>
  </r>
  <r>
    <s v="TX500039"/>
    <s v="Bikinis"/>
    <n v="1"/>
    <n v="26.5"/>
    <n v="26.5"/>
    <x v="1"/>
    <d v="2025-01-03T00:00:00"/>
    <x v="1"/>
    <x v="2"/>
    <n v="4"/>
    <s v="California"/>
    <s v="Los Angeles County"/>
    <n v="1"/>
    <x v="0"/>
    <s v="Male"/>
  </r>
  <r>
    <s v="TX500040"/>
    <s v="Sandals"/>
    <n v="1"/>
    <n v="43.1"/>
    <n v="43.1"/>
    <x v="1"/>
    <d v="2025-01-03T00:00:00"/>
    <x v="2"/>
    <x v="2"/>
    <n v="3"/>
    <s v="California"/>
    <s v="Los Angeles County"/>
    <n v="1"/>
    <x v="0"/>
    <s v="Female"/>
  </r>
  <r>
    <s v="TX500041"/>
    <s v="Tank Tops"/>
    <n v="3"/>
    <n v="139"/>
    <n v="417"/>
    <x v="1"/>
    <d v="2025-01-03T00:00:00"/>
    <x v="2"/>
    <x v="4"/>
    <n v="5"/>
    <s v="California"/>
    <s v="Los Angeles County"/>
    <n v="1"/>
    <x v="0"/>
    <s v="Female"/>
  </r>
  <r>
    <s v="TX500042"/>
    <s v="Casual Dresses"/>
    <n v="1"/>
    <n v="80.7"/>
    <n v="80.7"/>
    <x v="1"/>
    <d v="2025-01-03T00:00:00"/>
    <x v="1"/>
    <x v="0"/>
    <n v="5"/>
    <s v="California"/>
    <s v="Napa County"/>
    <n v="1"/>
    <x v="0"/>
    <s v="Male"/>
  </r>
  <r>
    <s v="TX500043"/>
    <s v="Graphic Tees"/>
    <n v="2"/>
    <n v="54.5"/>
    <n v="109"/>
    <x v="1"/>
    <d v="2025-01-04T00:00:00"/>
    <x v="1"/>
    <x v="1"/>
    <n v="3"/>
    <s v="California"/>
    <s v="Sacramento County"/>
    <n v="2"/>
    <x v="0"/>
    <s v="Male"/>
  </r>
  <r>
    <s v="TX500044"/>
    <s v="Jeans"/>
    <n v="3"/>
    <n v="68.599999999999994"/>
    <n v="205.79999999999998"/>
    <x v="1"/>
    <d v="2025-01-02T00:00:00"/>
    <x v="2"/>
    <x v="0"/>
    <n v="3"/>
    <s v="California"/>
    <s v="San Diego County"/>
    <n v="0"/>
    <x v="0"/>
    <s v="Female"/>
  </r>
  <r>
    <s v="TX500045"/>
    <s v="Sneakers"/>
    <n v="4"/>
    <n v="135.9"/>
    <n v="543.6"/>
    <x v="1"/>
    <d v="2025-01-03T00:00:00"/>
    <x v="2"/>
    <x v="2"/>
    <n v="5"/>
    <s v="California"/>
    <s v="San Diego County"/>
    <n v="1"/>
    <x v="0"/>
    <s v="Female"/>
  </r>
  <r>
    <s v="TX500046"/>
    <s v="Sneakers"/>
    <n v="4"/>
    <n v="70.900000000000006"/>
    <n v="283.60000000000002"/>
    <x v="1"/>
    <d v="2025-01-03T00:00:00"/>
    <x v="2"/>
    <x v="0"/>
    <n v="4"/>
    <s v="California"/>
    <s v="San Francisco"/>
    <n v="1"/>
    <x v="0"/>
    <s v="Female"/>
  </r>
  <r>
    <s v="TX500047"/>
    <s v="Tank Tops"/>
    <n v="5"/>
    <n v="63.7"/>
    <n v="318.5"/>
    <x v="1"/>
    <d v="2025-01-03T00:00:00"/>
    <x v="1"/>
    <x v="1"/>
    <n v="3"/>
    <s v="California"/>
    <s v="San Mateo County"/>
    <n v="1"/>
    <x v="0"/>
    <s v="Male"/>
  </r>
  <r>
    <s v="TX500048"/>
    <s v="Tote Bags"/>
    <n v="1"/>
    <n v="29.7"/>
    <n v="29.7"/>
    <x v="1"/>
    <d v="2025-01-04T00:00:00"/>
    <x v="2"/>
    <x v="1"/>
    <n v="4"/>
    <s v="California"/>
    <s v="Santa Clara County"/>
    <n v="2"/>
    <x v="0"/>
    <s v="Female"/>
  </r>
  <r>
    <s v="TX500049"/>
    <s v="Graphic Tees"/>
    <n v="3"/>
    <n v="26.8"/>
    <n v="80.400000000000006"/>
    <x v="1"/>
    <d v="2025-01-11T00:00:00"/>
    <x v="2"/>
    <x v="1"/>
    <n v="5"/>
    <s v="California"/>
    <s v="Santa Clara County"/>
    <n v="9"/>
    <x v="0"/>
    <s v="Female"/>
  </r>
  <r>
    <s v="TX500050"/>
    <s v="Baseball Caps"/>
    <n v="1"/>
    <n v="27"/>
    <n v="27"/>
    <x v="1"/>
    <d v="2025-01-04T00:00:00"/>
    <x v="2"/>
    <x v="0"/>
    <n v="4"/>
    <s v="California"/>
    <s v="Sonoma County"/>
    <n v="2"/>
    <x v="0"/>
    <s v="Female"/>
  </r>
  <r>
    <s v="TX500051"/>
    <s v="T-Shirts"/>
    <n v="1"/>
    <n v="41.4"/>
    <n v="41.4"/>
    <x v="1"/>
    <d v="2025-01-03T00:00:00"/>
    <x v="1"/>
    <x v="1"/>
    <n v="5"/>
    <s v="California"/>
    <s v="Stanislaus County"/>
    <n v="1"/>
    <x v="0"/>
    <s v="Male"/>
  </r>
  <r>
    <s v="TX500052"/>
    <s v="T-Shirts"/>
    <n v="2"/>
    <n v="24.3"/>
    <n v="48.6"/>
    <x v="1"/>
    <d v="2025-01-05T00:00:00"/>
    <x v="2"/>
    <x v="1"/>
    <n v="4"/>
    <s v="California"/>
    <s v="Stanislaus County"/>
    <n v="3"/>
    <x v="0"/>
    <s v="Female"/>
  </r>
  <r>
    <s v="TX500053"/>
    <s v="T-Shirts"/>
    <n v="3"/>
    <n v="41.7"/>
    <n v="125.10000000000001"/>
    <x v="1"/>
    <d v="2025-01-04T00:00:00"/>
    <x v="1"/>
    <x v="0"/>
    <n v="5"/>
    <s v="California"/>
    <s v="Tulare County"/>
    <n v="2"/>
    <x v="0"/>
    <s v="Male"/>
  </r>
  <r>
    <s v="TX500054"/>
    <s v="Shorts"/>
    <n v="2"/>
    <n v="18"/>
    <n v="36"/>
    <x v="1"/>
    <d v="2025-01-03T00:00:00"/>
    <x v="2"/>
    <x v="0"/>
    <n v="5"/>
    <s v="California"/>
    <s v="Alameda County"/>
    <n v="1"/>
    <x v="0"/>
    <s v="Female"/>
  </r>
  <r>
    <s v="TX500055"/>
    <s v="Hoodies &amp; Sweatshirts"/>
    <n v="3"/>
    <n v="91.3"/>
    <n v="273.89999999999998"/>
    <x v="1"/>
    <d v="2025-01-05T00:00:00"/>
    <x v="1"/>
    <x v="2"/>
    <n v="5"/>
    <s v="California"/>
    <s v="Los Angeles County"/>
    <n v="3"/>
    <x v="0"/>
    <s v="Male"/>
  </r>
  <r>
    <s v="TX500056"/>
    <s v="T-Shirts"/>
    <n v="8"/>
    <n v="19.3"/>
    <n v="154.4"/>
    <x v="1"/>
    <d v="2025-01-03T00:00:00"/>
    <x v="1"/>
    <x v="0"/>
    <n v="4"/>
    <s v="California"/>
    <s v="Los Angeles County"/>
    <n v="1"/>
    <x v="0"/>
    <s v="Male"/>
  </r>
  <r>
    <s v="TX500057"/>
    <s v="Casual Dresses"/>
    <n v="13"/>
    <n v="63.2"/>
    <n v="821.6"/>
    <x v="1"/>
    <d v="2025-01-03T00:00:00"/>
    <x v="2"/>
    <x v="0"/>
    <n v="4"/>
    <s v="California"/>
    <s v="Los Angeles County"/>
    <n v="1"/>
    <x v="0"/>
    <s v="Female"/>
  </r>
  <r>
    <s v="TX500058"/>
    <s v="Bikinis"/>
    <n v="9"/>
    <n v="33.299999999999997"/>
    <n v="299.7"/>
    <x v="2"/>
    <d v="2025-01-11T00:00:00"/>
    <x v="2"/>
    <x v="0"/>
    <n v="5"/>
    <s v="California"/>
    <s v="Los Angeles County"/>
    <n v="8"/>
    <x v="0"/>
    <s v="Female"/>
  </r>
  <r>
    <s v="TX500059"/>
    <s v="Hoodies &amp; Sweatshirts"/>
    <n v="2"/>
    <n v="64.2"/>
    <n v="128.4"/>
    <x v="2"/>
    <d v="2025-01-04T00:00:00"/>
    <x v="1"/>
    <x v="0"/>
    <n v="5"/>
    <s v="California"/>
    <s v="Los Angeles County"/>
    <n v="1"/>
    <x v="0"/>
    <s v="Male"/>
  </r>
  <r>
    <s v="TX500060"/>
    <s v="Sundresses"/>
    <n v="3"/>
    <n v="23.1"/>
    <n v="69.300000000000011"/>
    <x v="2"/>
    <d v="2025-01-06T00:00:00"/>
    <x v="2"/>
    <x v="1"/>
    <n v="5"/>
    <s v="California"/>
    <s v="Los Angeles County"/>
    <n v="3"/>
    <x v="0"/>
    <s v="Female"/>
  </r>
  <r>
    <s v="TX500061"/>
    <s v="Crop Tops"/>
    <n v="2"/>
    <n v="71.099999999999994"/>
    <n v="142.19999999999999"/>
    <x v="2"/>
    <d v="2025-01-05T00:00:00"/>
    <x v="2"/>
    <x v="3"/>
    <n v="3"/>
    <s v="California"/>
    <s v="Los Angeles County"/>
    <n v="2"/>
    <x v="0"/>
    <s v="Female"/>
  </r>
  <r>
    <s v="TX500062"/>
    <s v="Shorts"/>
    <n v="2"/>
    <n v="11.5"/>
    <n v="23"/>
    <x v="2"/>
    <d v="2025-01-04T00:00:00"/>
    <x v="2"/>
    <x v="0"/>
    <n v="4"/>
    <s v="California"/>
    <s v="Los Angeles County"/>
    <n v="1"/>
    <x v="0"/>
    <s v="Female"/>
  </r>
  <r>
    <s v="TX500063"/>
    <s v="Crop Tops"/>
    <n v="19"/>
    <n v="69.2"/>
    <n v="1314.8"/>
    <x v="2"/>
    <d v="2025-01-08T00:00:00"/>
    <x v="2"/>
    <x v="0"/>
    <n v="4"/>
    <s v="California"/>
    <s v="Los Angeles County"/>
    <n v="5"/>
    <x v="0"/>
    <s v="Female"/>
  </r>
  <r>
    <s v="TX500064"/>
    <s v="Shorts"/>
    <n v="1"/>
    <n v="26.8"/>
    <n v="26.8"/>
    <x v="2"/>
    <d v="2025-01-04T00:00:00"/>
    <x v="1"/>
    <x v="2"/>
    <n v="2"/>
    <s v="California"/>
    <s v="Los Angeles County"/>
    <n v="1"/>
    <x v="0"/>
    <s v="Male"/>
  </r>
  <r>
    <s v="TX500065"/>
    <s v="Sunglasses"/>
    <n v="3"/>
    <n v="31.2"/>
    <n v="93.6"/>
    <x v="2"/>
    <d v="2025-01-06T00:00:00"/>
    <x v="2"/>
    <x v="0"/>
    <n v="4"/>
    <s v="California"/>
    <s v="Los Angeles County"/>
    <n v="3"/>
    <x v="0"/>
    <s v="Female"/>
  </r>
  <r>
    <s v="TX500066"/>
    <s v="Casual Dresses"/>
    <n v="2"/>
    <n v="113.2"/>
    <n v="226.4"/>
    <x v="2"/>
    <d v="2025-01-04T00:00:00"/>
    <x v="2"/>
    <x v="4"/>
    <n v="4"/>
    <s v="California"/>
    <s v="Los Angeles County"/>
    <n v="1"/>
    <x v="0"/>
    <s v="Female"/>
  </r>
  <r>
    <s v="TX500067"/>
    <s v="Bikinis"/>
    <n v="8"/>
    <n v="21"/>
    <n v="168"/>
    <x v="2"/>
    <d v="2025-01-04T00:00:00"/>
    <x v="1"/>
    <x v="0"/>
    <n v="4"/>
    <s v="California"/>
    <s v="Sacramento County"/>
    <n v="1"/>
    <x v="0"/>
    <s v="Male"/>
  </r>
  <r>
    <s v="TX500068"/>
    <s v="Tank Tops"/>
    <n v="2"/>
    <n v="89.1"/>
    <n v="178.2"/>
    <x v="2"/>
    <d v="2025-01-04T00:00:00"/>
    <x v="2"/>
    <x v="2"/>
    <n v="5"/>
    <s v="California"/>
    <s v="Sacramento County"/>
    <n v="1"/>
    <x v="0"/>
    <s v="Female"/>
  </r>
  <r>
    <s v="TX500069"/>
    <s v="Tank Tops"/>
    <n v="1"/>
    <n v="97.7"/>
    <n v="97.7"/>
    <x v="2"/>
    <d v="2025-01-05T00:00:00"/>
    <x v="2"/>
    <x v="0"/>
    <n v="3"/>
    <s v="California"/>
    <s v="Sacramento County"/>
    <n v="2"/>
    <x v="0"/>
    <s v="Female"/>
  </r>
  <r>
    <s v="TX500070"/>
    <s v="Crop Tops"/>
    <n v="4"/>
    <n v="97.7"/>
    <n v="390.8"/>
    <x v="2"/>
    <d v="2025-01-05T00:00:00"/>
    <x v="1"/>
    <x v="3"/>
    <n v="4"/>
    <s v="California"/>
    <s v="Sacramento County"/>
    <n v="2"/>
    <x v="0"/>
    <s v="Male"/>
  </r>
  <r>
    <s v="TX500071"/>
    <s v="Pajama Sets"/>
    <n v="3"/>
    <n v="47.4"/>
    <n v="142.19999999999999"/>
    <x v="2"/>
    <d v="2025-01-06T00:00:00"/>
    <x v="1"/>
    <x v="3"/>
    <n v="5"/>
    <s v="California"/>
    <s v="San Diego County"/>
    <n v="3"/>
    <x v="0"/>
    <s v="Male"/>
  </r>
  <r>
    <s v="TX500072"/>
    <s v="Hoodies &amp; Sweatshirts"/>
    <n v="1"/>
    <n v="89.6"/>
    <n v="89.6"/>
    <x v="2"/>
    <d v="2025-01-06T00:00:00"/>
    <x v="2"/>
    <x v="0"/>
    <n v="5"/>
    <s v="California"/>
    <s v="San Diego County"/>
    <n v="3"/>
    <x v="0"/>
    <s v="Female"/>
  </r>
  <r>
    <s v="TX500073"/>
    <s v="Bikinis"/>
    <n v="18"/>
    <n v="28.4"/>
    <n v="511.2"/>
    <x v="2"/>
    <d v="2025-01-06T00:00:00"/>
    <x v="2"/>
    <x v="3"/>
    <n v="5"/>
    <s v="California"/>
    <s v="San Francisco"/>
    <n v="3"/>
    <x v="0"/>
    <s v="Female"/>
  </r>
  <r>
    <s v="TX500074"/>
    <s v="Shorts"/>
    <n v="2"/>
    <n v="17.899999999999999"/>
    <n v="35.799999999999997"/>
    <x v="2"/>
    <d v="2025-01-04T00:00:00"/>
    <x v="2"/>
    <x v="0"/>
    <n v="5"/>
    <s v="California"/>
    <s v="San Mateo County"/>
    <n v="1"/>
    <x v="0"/>
    <s v="Female"/>
  </r>
  <r>
    <s v="TX500075"/>
    <s v="Sundresses"/>
    <n v="2"/>
    <n v="48.4"/>
    <n v="96.8"/>
    <x v="2"/>
    <d v="2025-01-06T00:00:00"/>
    <x v="1"/>
    <x v="1"/>
    <n v="4"/>
    <s v="California"/>
    <s v="San Mateo County"/>
    <n v="3"/>
    <x v="0"/>
    <s v="Male"/>
  </r>
  <r>
    <s v="TX500076"/>
    <s v="Casual Dresses"/>
    <n v="4"/>
    <n v="44.4"/>
    <n v="177.6"/>
    <x v="2"/>
    <d v="2025-01-04T00:00:00"/>
    <x v="3"/>
    <x v="1"/>
    <n v="3"/>
    <s v="California"/>
    <s v="Santa Clara County"/>
    <n v="1"/>
    <x v="0"/>
    <s v="Other"/>
  </r>
  <r>
    <s v="TX500077"/>
    <s v="Sneakers"/>
    <n v="8"/>
    <n v="103.7"/>
    <n v="829.6"/>
    <x v="2"/>
    <d v="2025-01-04T00:00:00"/>
    <x v="2"/>
    <x v="0"/>
    <n v="3"/>
    <s v="California"/>
    <s v="Stanislaus County"/>
    <n v="1"/>
    <x v="0"/>
    <s v="Female"/>
  </r>
  <r>
    <s v="TX500078"/>
    <s v="Sandals"/>
    <n v="4"/>
    <n v="58.6"/>
    <n v="234.4"/>
    <x v="2"/>
    <d v="2025-01-05T00:00:00"/>
    <x v="1"/>
    <x v="3"/>
    <n v="4"/>
    <s v="California"/>
    <s v="Stanislaus County"/>
    <n v="2"/>
    <x v="0"/>
    <s v="Male"/>
  </r>
  <r>
    <s v="TX500079"/>
    <s v="Sundresses"/>
    <n v="4"/>
    <n v="54.8"/>
    <n v="219.2"/>
    <x v="2"/>
    <d v="2025-01-07T00:00:00"/>
    <x v="2"/>
    <x v="2"/>
    <n v="3"/>
    <s v="California"/>
    <s v="Ventura County"/>
    <n v="4"/>
    <x v="0"/>
    <s v="Female"/>
  </r>
  <r>
    <s v="TX500080"/>
    <s v="Casual Dresses"/>
    <n v="3"/>
    <n v="78.8"/>
    <n v="236.39999999999998"/>
    <x v="2"/>
    <d v="2025-01-09T00:00:00"/>
    <x v="2"/>
    <x v="4"/>
    <n v="3"/>
    <s v="California"/>
    <s v="Alameda County"/>
    <n v="6"/>
    <x v="0"/>
    <s v="Female"/>
  </r>
  <r>
    <s v="TX500081"/>
    <s v="Leggings"/>
    <n v="5"/>
    <n v="36.799999999999997"/>
    <n v="184"/>
    <x v="2"/>
    <d v="2025-01-06T00:00:00"/>
    <x v="1"/>
    <x v="4"/>
    <n v="3"/>
    <s v="California"/>
    <s v="Kern County"/>
    <n v="3"/>
    <x v="0"/>
    <s v="Male"/>
  </r>
  <r>
    <s v="TX500082"/>
    <s v="Jeans"/>
    <n v="6"/>
    <n v="50.6"/>
    <n v="303.60000000000002"/>
    <x v="2"/>
    <d v="2025-01-05T00:00:00"/>
    <x v="2"/>
    <x v="3"/>
    <n v="4"/>
    <s v="California"/>
    <s v="Los Angeles County"/>
    <n v="2"/>
    <x v="0"/>
    <s v="Female"/>
  </r>
  <r>
    <s v="TX500083"/>
    <s v="Crop Tops"/>
    <n v="3"/>
    <n v="36.799999999999997"/>
    <n v="110.39999999999999"/>
    <x v="2"/>
    <d v="2025-01-03T00:00:00"/>
    <x v="1"/>
    <x v="2"/>
    <n v="3"/>
    <s v="California"/>
    <s v="Los Angeles County"/>
    <n v="0"/>
    <x v="0"/>
    <s v="Male"/>
  </r>
  <r>
    <s v="TX500084"/>
    <s v="T-Shirts"/>
    <n v="9"/>
    <n v="41.8"/>
    <n v="376.2"/>
    <x v="3"/>
    <d v="2025-01-10T00:00:00"/>
    <x v="2"/>
    <x v="3"/>
    <n v="4"/>
    <s v="California"/>
    <s v="Los Angeles County"/>
    <n v="6"/>
    <x v="0"/>
    <s v="Female"/>
  </r>
  <r>
    <s v="TX500085"/>
    <s v="Leggings"/>
    <n v="1"/>
    <n v="77.3"/>
    <n v="77.3"/>
    <x v="3"/>
    <d v="2025-01-05T00:00:00"/>
    <x v="1"/>
    <x v="4"/>
    <n v="2"/>
    <s v="California"/>
    <s v="Los Angeles County"/>
    <n v="1"/>
    <x v="0"/>
    <s v="Male"/>
  </r>
  <r>
    <s v="TX500086"/>
    <s v="T-Shirts"/>
    <n v="4"/>
    <n v="19.8"/>
    <n v="79.2"/>
    <x v="3"/>
    <d v="2025-01-10T00:00:00"/>
    <x v="1"/>
    <x v="1"/>
    <n v="5"/>
    <s v="California"/>
    <s v="Los Angeles County"/>
    <n v="6"/>
    <x v="0"/>
    <s v="Male"/>
  </r>
  <r>
    <s v="TX500087"/>
    <s v="Tote Bags"/>
    <n v="4"/>
    <n v="15.5"/>
    <n v="62"/>
    <x v="3"/>
    <d v="2025-01-05T00:00:00"/>
    <x v="2"/>
    <x v="1"/>
    <n v="5"/>
    <s v="California"/>
    <s v="Los Angeles County"/>
    <n v="1"/>
    <x v="0"/>
    <s v="Female"/>
  </r>
  <r>
    <s v="TX500088"/>
    <s v="Casual Dresses"/>
    <n v="1"/>
    <n v="46.8"/>
    <n v="46.8"/>
    <x v="3"/>
    <d v="2025-01-08T00:00:00"/>
    <x v="1"/>
    <x v="0"/>
    <n v="5"/>
    <s v="California"/>
    <s v="Los Angeles County"/>
    <n v="4"/>
    <x v="0"/>
    <s v="Male"/>
  </r>
  <r>
    <s v="TX500089"/>
    <s v="Sundresses"/>
    <n v="9"/>
    <n v="28.6"/>
    <n v="257.40000000000003"/>
    <x v="3"/>
    <d v="2025-01-08T00:00:00"/>
    <x v="1"/>
    <x v="0"/>
    <n v="5"/>
    <s v="California"/>
    <s v="Los Angeles County"/>
    <n v="4"/>
    <x v="0"/>
    <s v="Male"/>
  </r>
  <r>
    <s v="TX500090"/>
    <s v="Sneakers"/>
    <n v="1"/>
    <n v="97.7"/>
    <n v="97.7"/>
    <x v="3"/>
    <d v="2025-01-07T00:00:00"/>
    <x v="2"/>
    <x v="1"/>
    <n v="4"/>
    <s v="California"/>
    <s v="Los Angeles County"/>
    <n v="3"/>
    <x v="0"/>
    <s v="Female"/>
  </r>
  <r>
    <s v="TX500091"/>
    <s v="Sundresses"/>
    <n v="5"/>
    <n v="54.7"/>
    <n v="273.5"/>
    <x v="3"/>
    <d v="2025-01-07T00:00:00"/>
    <x v="0"/>
    <x v="0"/>
    <n v="5"/>
    <s v="California"/>
    <s v="Riverside County"/>
    <n v="3"/>
    <x v="0"/>
    <s v="Unknown"/>
  </r>
  <r>
    <s v="TX500092"/>
    <s v="Sneakers"/>
    <n v="6"/>
    <n v="130.5"/>
    <n v="783"/>
    <x v="3"/>
    <d v="2025-01-06T00:00:00"/>
    <x v="2"/>
    <x v="0"/>
    <n v="3"/>
    <s v="California"/>
    <s v="Riverside County"/>
    <n v="2"/>
    <x v="0"/>
    <s v="Female"/>
  </r>
  <r>
    <s v="TX500093"/>
    <s v="Maxi Dresses"/>
    <n v="2"/>
    <n v="50.4"/>
    <n v="100.8"/>
    <x v="3"/>
    <d v="2025-01-06T00:00:00"/>
    <x v="1"/>
    <x v="2"/>
    <n v="5"/>
    <s v="California"/>
    <s v="Sacramento County"/>
    <n v="2"/>
    <x v="0"/>
    <s v="Male"/>
  </r>
  <r>
    <s v="TX500094"/>
    <s v="Jeans"/>
    <n v="13"/>
    <n v="61.5"/>
    <n v="799.5"/>
    <x v="3"/>
    <d v="2025-01-05T00:00:00"/>
    <x v="0"/>
    <x v="3"/>
    <n v="3"/>
    <s v="California"/>
    <s v="Santa Clara County"/>
    <n v="1"/>
    <x v="0"/>
    <s v="Unknown"/>
  </r>
  <r>
    <s v="TX500095"/>
    <s v="Sundresses"/>
    <n v="4"/>
    <n v="30.1"/>
    <n v="120.4"/>
    <x v="3"/>
    <d v="2025-01-05T00:00:00"/>
    <x v="2"/>
    <x v="0"/>
    <n v="5"/>
    <s v="California"/>
    <s v="Alameda County"/>
    <n v="1"/>
    <x v="0"/>
    <s v="Female"/>
  </r>
  <r>
    <s v="TX500096"/>
    <s v="Sneakers"/>
    <n v="5"/>
    <n v="74.8"/>
    <n v="374"/>
    <x v="3"/>
    <d v="2025-01-05T00:00:00"/>
    <x v="2"/>
    <x v="1"/>
    <n v="4"/>
    <s v="California"/>
    <s v="Contra Costa County"/>
    <n v="1"/>
    <x v="0"/>
    <s v="Female"/>
  </r>
  <r>
    <s v="TX500097"/>
    <s v="Sunglasses"/>
    <n v="3"/>
    <n v="64.900000000000006"/>
    <n v="194.70000000000002"/>
    <x v="3"/>
    <d v="2025-01-11T00:00:00"/>
    <x v="1"/>
    <x v="0"/>
    <n v="4"/>
    <s v="California"/>
    <s v="Fresno County"/>
    <n v="7"/>
    <x v="0"/>
    <s v="Male"/>
  </r>
  <r>
    <s v="TX500098"/>
    <s v="Sundresses"/>
    <n v="2"/>
    <n v="50.5"/>
    <n v="101"/>
    <x v="3"/>
    <d v="2025-01-06T00:00:00"/>
    <x v="1"/>
    <x v="1"/>
    <n v="4"/>
    <s v="California"/>
    <s v="Kern County"/>
    <n v="2"/>
    <x v="0"/>
    <s v="Male"/>
  </r>
  <r>
    <s v="TX500099"/>
    <s v="Maxi Dresses"/>
    <n v="7"/>
    <n v="63"/>
    <n v="441"/>
    <x v="3"/>
    <d v="2025-01-07T00:00:00"/>
    <x v="1"/>
    <x v="3"/>
    <n v="5"/>
    <s v="California"/>
    <s v="Los Angeles County"/>
    <n v="3"/>
    <x v="0"/>
    <s v="Male"/>
  </r>
  <r>
    <s v="TX500100"/>
    <s v="Sneakers"/>
    <n v="3"/>
    <n v="93.6"/>
    <n v="280.79999999999995"/>
    <x v="3"/>
    <d v="2025-01-17T00:00:00"/>
    <x v="2"/>
    <x v="0"/>
    <n v="5"/>
    <s v="California"/>
    <s v="Los Angeles County"/>
    <n v="13"/>
    <x v="0"/>
    <s v="Female"/>
  </r>
  <r>
    <s v="TX500101"/>
    <s v="Sandals"/>
    <n v="30"/>
    <n v="41.4"/>
    <n v="1242"/>
    <x v="3"/>
    <d v="2025-01-08T00:00:00"/>
    <x v="1"/>
    <x v="2"/>
    <n v="5"/>
    <s v="California"/>
    <s v="Los Angeles County"/>
    <n v="4"/>
    <x v="0"/>
    <s v="Male"/>
  </r>
  <r>
    <s v="TX500102"/>
    <s v="Sneakers"/>
    <n v="2"/>
    <n v="160"/>
    <n v="320"/>
    <x v="4"/>
    <d v="2025-01-06T00:00:00"/>
    <x v="1"/>
    <x v="2"/>
    <n v="5"/>
    <s v="California"/>
    <s v="Placer County"/>
    <n v="1"/>
    <x v="1"/>
    <s v="Male"/>
  </r>
  <r>
    <s v="TX500103"/>
    <s v="Jewelry"/>
    <n v="11"/>
    <n v="10.5"/>
    <n v="115.5"/>
    <x v="4"/>
    <d v="2025-01-08T00:00:00"/>
    <x v="2"/>
    <x v="4"/>
    <n v="4"/>
    <s v="California"/>
    <s v="San Diego County"/>
    <n v="3"/>
    <x v="1"/>
    <s v="Female"/>
  </r>
  <r>
    <s v="TX500104"/>
    <s v="Bikinis"/>
    <n v="2"/>
    <n v="53"/>
    <n v="106"/>
    <x v="4"/>
    <d v="2025-01-05T00:00:00"/>
    <x v="1"/>
    <x v="2"/>
    <n v="2"/>
    <s v="California"/>
    <s v="San Francisco"/>
    <n v="0"/>
    <x v="1"/>
    <s v="Male"/>
  </r>
  <r>
    <s v="TX500105"/>
    <s v="T-Shirts"/>
    <n v="3"/>
    <n v="18.5"/>
    <n v="55.5"/>
    <x v="4"/>
    <d v="2025-01-10T00:00:00"/>
    <x v="2"/>
    <x v="1"/>
    <n v="5"/>
    <s v="California"/>
    <s v="Santa Clara County"/>
    <n v="5"/>
    <x v="1"/>
    <s v="Female"/>
  </r>
  <r>
    <s v="TX500106"/>
    <s v="Sunglasses"/>
    <n v="3"/>
    <n v="84.5"/>
    <n v="253.5"/>
    <x v="4"/>
    <d v="2025-01-07T00:00:00"/>
    <x v="2"/>
    <x v="4"/>
    <n v="3"/>
    <s v="California"/>
    <s v="Ventura County"/>
    <n v="2"/>
    <x v="1"/>
    <s v="Female"/>
  </r>
  <r>
    <s v="TX500107"/>
    <s v="Crop Tops"/>
    <n v="7"/>
    <n v="31.2"/>
    <n v="218.4"/>
    <x v="4"/>
    <d v="2025-01-05T00:00:00"/>
    <x v="2"/>
    <x v="2"/>
    <n v="5"/>
    <s v="California"/>
    <s v="Los Angeles County"/>
    <n v="0"/>
    <x v="1"/>
    <s v="Female"/>
  </r>
  <r>
    <s v="TX500108"/>
    <s v="T-Shirts"/>
    <n v="18"/>
    <n v="32.6"/>
    <n v="586.80000000000007"/>
    <x v="4"/>
    <d v="2025-01-06T00:00:00"/>
    <x v="1"/>
    <x v="1"/>
    <n v="3"/>
    <s v="California"/>
    <s v="Los Angeles County"/>
    <n v="1"/>
    <x v="1"/>
    <s v="Male"/>
  </r>
  <r>
    <s v="TX500109"/>
    <s v="Bikinis"/>
    <n v="4"/>
    <n v="45.4"/>
    <n v="181.6"/>
    <x v="4"/>
    <d v="2025-01-07T00:00:00"/>
    <x v="1"/>
    <x v="1"/>
    <n v="4"/>
    <s v="California"/>
    <s v="Los Angeles County"/>
    <n v="2"/>
    <x v="1"/>
    <s v="Male"/>
  </r>
  <r>
    <s v="TX500110"/>
    <s v="Sneakers"/>
    <n v="12"/>
    <n v="120"/>
    <n v="1440"/>
    <x v="4"/>
    <d v="2025-01-06T00:00:00"/>
    <x v="2"/>
    <x v="2"/>
    <n v="2"/>
    <s v="California"/>
    <s v="Los Angeles County"/>
    <n v="1"/>
    <x v="1"/>
    <s v="Female"/>
  </r>
  <r>
    <s v="TX500111"/>
    <s v="Shorts"/>
    <n v="4"/>
    <n v="18.899999999999999"/>
    <n v="75.599999999999994"/>
    <x v="4"/>
    <d v="2025-01-07T00:00:00"/>
    <x v="1"/>
    <x v="0"/>
    <n v="5"/>
    <s v="California"/>
    <s v="Los Angeles County"/>
    <n v="2"/>
    <x v="1"/>
    <s v="Male"/>
  </r>
  <r>
    <s v="TX500112"/>
    <s v="Graphic Tees"/>
    <n v="1"/>
    <n v="32"/>
    <n v="32"/>
    <x v="4"/>
    <d v="2025-01-07T00:00:00"/>
    <x v="2"/>
    <x v="4"/>
    <n v="4"/>
    <s v="California"/>
    <s v="Los Angeles County"/>
    <n v="2"/>
    <x v="1"/>
    <s v="Female"/>
  </r>
  <r>
    <s v="TX500113"/>
    <s v="Hoodies &amp; Sweatshirts"/>
    <n v="2"/>
    <n v="37.299999999999997"/>
    <n v="74.599999999999994"/>
    <x v="4"/>
    <d v="2025-01-06T00:00:00"/>
    <x v="1"/>
    <x v="2"/>
    <n v="4"/>
    <s v="California"/>
    <s v="Los Angeles County"/>
    <n v="1"/>
    <x v="1"/>
    <s v="Male"/>
  </r>
  <r>
    <s v="TX500114"/>
    <s v="Leggings"/>
    <n v="1"/>
    <n v="119.8"/>
    <n v="119.8"/>
    <x v="4"/>
    <d v="2025-01-06T00:00:00"/>
    <x v="1"/>
    <x v="1"/>
    <n v="3"/>
    <s v="California"/>
    <s v="Los Angeles County"/>
    <n v="1"/>
    <x v="1"/>
    <s v="Male"/>
  </r>
  <r>
    <s v="TX500115"/>
    <s v="Bikinis"/>
    <n v="2"/>
    <n v="26.4"/>
    <n v="52.8"/>
    <x v="4"/>
    <d v="2025-01-08T00:00:00"/>
    <x v="1"/>
    <x v="2"/>
    <n v="4"/>
    <s v="California"/>
    <s v="Los Angeles County"/>
    <n v="3"/>
    <x v="1"/>
    <s v="Male"/>
  </r>
  <r>
    <s v="TX500116"/>
    <s v="Jeans"/>
    <n v="6"/>
    <n v="76.5"/>
    <n v="459"/>
    <x v="4"/>
    <d v="2025-01-06T00:00:00"/>
    <x v="2"/>
    <x v="1"/>
    <n v="3"/>
    <s v="California"/>
    <s v="Los Angeles County"/>
    <n v="1"/>
    <x v="1"/>
    <s v="Female"/>
  </r>
  <r>
    <s v="TX500117"/>
    <s v="Graphic Tees"/>
    <n v="10"/>
    <n v="45.7"/>
    <n v="457"/>
    <x v="4"/>
    <d v="2025-01-06T00:00:00"/>
    <x v="2"/>
    <x v="2"/>
    <n v="4"/>
    <s v="California"/>
    <s v="Merced County"/>
    <n v="1"/>
    <x v="1"/>
    <s v="Female"/>
  </r>
  <r>
    <s v="TX500118"/>
    <s v="Tank Tops"/>
    <n v="12"/>
    <n v="92.6"/>
    <n v="1111.1999999999998"/>
    <x v="4"/>
    <d v="2025-01-07T00:00:00"/>
    <x v="2"/>
    <x v="2"/>
    <n v="4"/>
    <s v="California"/>
    <s v="Orange County"/>
    <n v="2"/>
    <x v="1"/>
    <s v="Female"/>
  </r>
  <r>
    <s v="TX500119"/>
    <s v="Jeans"/>
    <n v="6"/>
    <n v="60.1"/>
    <n v="360.6"/>
    <x v="4"/>
    <d v="2025-01-06T00:00:00"/>
    <x v="1"/>
    <x v="1"/>
    <n v="4"/>
    <s v="California"/>
    <s v="Riverside County"/>
    <n v="1"/>
    <x v="1"/>
    <s v="Male"/>
  </r>
  <r>
    <s v="TX500120"/>
    <s v="Tank Tops"/>
    <n v="3"/>
    <n v="73"/>
    <n v="219"/>
    <x v="4"/>
    <d v="2025-01-06T00:00:00"/>
    <x v="2"/>
    <x v="3"/>
    <n v="3"/>
    <s v="California"/>
    <s v="Sacramento County"/>
    <n v="1"/>
    <x v="1"/>
    <s v="Female"/>
  </r>
  <r>
    <s v="TX500121"/>
    <s v="Jeans"/>
    <n v="3"/>
    <n v="44.3"/>
    <n v="132.89999999999998"/>
    <x v="4"/>
    <d v="2025-01-09T00:00:00"/>
    <x v="0"/>
    <x v="2"/>
    <n v="5"/>
    <s v="California"/>
    <s v="Sacramento County"/>
    <n v="4"/>
    <x v="1"/>
    <s v="Unknown"/>
  </r>
  <r>
    <s v="TX500122"/>
    <s v="Jeans"/>
    <n v="3"/>
    <n v="63.3"/>
    <n v="189.89999999999998"/>
    <x v="4"/>
    <d v="2025-01-06T00:00:00"/>
    <x v="1"/>
    <x v="2"/>
    <n v="4"/>
    <s v="California"/>
    <s v="Sacramento County"/>
    <n v="1"/>
    <x v="1"/>
    <s v="Male"/>
  </r>
  <r>
    <s v="TX500123"/>
    <s v="Casual Dresses"/>
    <n v="1"/>
    <n v="66.8"/>
    <n v="66.8"/>
    <x v="4"/>
    <d v="2025-01-06T00:00:00"/>
    <x v="2"/>
    <x v="1"/>
    <n v="4"/>
    <s v="California"/>
    <s v="Sacramento County"/>
    <n v="1"/>
    <x v="1"/>
    <s v="Female"/>
  </r>
  <r>
    <s v="TX500124"/>
    <s v="Sneakers"/>
    <n v="2"/>
    <n v="59.7"/>
    <n v="119.4"/>
    <x v="4"/>
    <d v="2025-01-06T00:00:00"/>
    <x v="2"/>
    <x v="0"/>
    <n v="4"/>
    <s v="California"/>
    <s v="San Bernardino County"/>
    <n v="1"/>
    <x v="1"/>
    <s v="Female"/>
  </r>
  <r>
    <s v="TX500125"/>
    <s v="Tank Tops"/>
    <n v="6"/>
    <n v="92"/>
    <n v="552"/>
    <x v="4"/>
    <d v="2025-01-07T00:00:00"/>
    <x v="1"/>
    <x v="0"/>
    <n v="2"/>
    <s v="California"/>
    <s v="San Bernardino County"/>
    <n v="2"/>
    <x v="1"/>
    <s v="Male"/>
  </r>
  <r>
    <s v="TX500126"/>
    <s v="Hoodies &amp; Sweatshirts"/>
    <n v="2"/>
    <n v="87.6"/>
    <n v="175.2"/>
    <x v="4"/>
    <d v="2025-01-07T00:00:00"/>
    <x v="1"/>
    <x v="1"/>
    <n v="3"/>
    <s v="California"/>
    <s v="San Diego County"/>
    <n v="2"/>
    <x v="1"/>
    <s v="Male"/>
  </r>
  <r>
    <s v="TX500127"/>
    <s v="Jeans"/>
    <n v="3"/>
    <n v="84.5"/>
    <n v="253.5"/>
    <x v="4"/>
    <d v="2025-01-06T00:00:00"/>
    <x v="2"/>
    <x v="1"/>
    <n v="3"/>
    <s v="California"/>
    <s v="San Diego County"/>
    <n v="1"/>
    <x v="1"/>
    <s v="Female"/>
  </r>
  <r>
    <s v="TX500128"/>
    <s v="Tank Tops"/>
    <n v="2"/>
    <n v="116.3"/>
    <n v="232.6"/>
    <x v="5"/>
    <d v="2025-01-08T00:00:00"/>
    <x v="1"/>
    <x v="2"/>
    <n v="5"/>
    <s v="California"/>
    <s v="San Diego County"/>
    <n v="2"/>
    <x v="1"/>
    <s v="Male"/>
  </r>
  <r>
    <s v="TX500129"/>
    <s v="Jeans"/>
    <n v="5"/>
    <n v="52.7"/>
    <n v="263.5"/>
    <x v="5"/>
    <d v="2025-01-10T00:00:00"/>
    <x v="1"/>
    <x v="0"/>
    <n v="4"/>
    <s v="California"/>
    <s v="San Diego County"/>
    <n v="4"/>
    <x v="1"/>
    <s v="Male"/>
  </r>
  <r>
    <s v="TX500130"/>
    <s v="Sunglasses"/>
    <n v="3"/>
    <n v="34.200000000000003"/>
    <n v="102.60000000000001"/>
    <x v="5"/>
    <d v="2025-01-07T00:00:00"/>
    <x v="1"/>
    <x v="0"/>
    <n v="5"/>
    <s v="California"/>
    <s v="San Joaquin County"/>
    <n v="1"/>
    <x v="1"/>
    <s v="Male"/>
  </r>
  <r>
    <s v="TX500131"/>
    <s v="Sundresses"/>
    <n v="1"/>
    <n v="23.3"/>
    <n v="23.3"/>
    <x v="5"/>
    <d v="2025-01-15T00:00:00"/>
    <x v="3"/>
    <x v="2"/>
    <n v="5"/>
    <s v="California"/>
    <s v="San Mateo County"/>
    <n v="9"/>
    <x v="1"/>
    <s v="Other"/>
  </r>
  <r>
    <s v="TX500132"/>
    <s v="Shorts"/>
    <n v="26"/>
    <n v="25.9"/>
    <n v="673.4"/>
    <x v="5"/>
    <d v="2025-01-09T00:00:00"/>
    <x v="2"/>
    <x v="4"/>
    <n v="3"/>
    <s v="California"/>
    <s v="San Mateo County"/>
    <n v="3"/>
    <x v="1"/>
    <s v="Female"/>
  </r>
  <r>
    <s v="TX500133"/>
    <s v="Jeans"/>
    <n v="29"/>
    <n v="54.9"/>
    <n v="1592.1"/>
    <x v="5"/>
    <d v="2025-01-07T00:00:00"/>
    <x v="1"/>
    <x v="1"/>
    <n v="5"/>
    <s v="California"/>
    <s v="San Mateo County"/>
    <n v="1"/>
    <x v="1"/>
    <s v="Male"/>
  </r>
  <r>
    <s v="TX500134"/>
    <s v="Sandals"/>
    <n v="3"/>
    <n v="75.8"/>
    <n v="227.39999999999998"/>
    <x v="5"/>
    <d v="2025-01-11T00:00:00"/>
    <x v="3"/>
    <x v="1"/>
    <n v="4"/>
    <s v="California"/>
    <s v="Sonoma County"/>
    <n v="5"/>
    <x v="1"/>
    <s v="Other"/>
  </r>
  <r>
    <s v="TX500135"/>
    <s v="Tank Tops"/>
    <n v="9"/>
    <n v="44.9"/>
    <n v="404.09999999999997"/>
    <x v="5"/>
    <d v="2025-01-09T00:00:00"/>
    <x v="2"/>
    <x v="2"/>
    <n v="5"/>
    <s v="California"/>
    <s v="Fresno County"/>
    <n v="3"/>
    <x v="1"/>
    <s v="Female"/>
  </r>
  <r>
    <s v="TX500136"/>
    <s v="Maxi Dresses"/>
    <n v="2"/>
    <n v="48.8"/>
    <n v="97.6"/>
    <x v="5"/>
    <d v="2025-01-08T00:00:00"/>
    <x v="2"/>
    <x v="3"/>
    <n v="4"/>
    <s v="California"/>
    <s v="Glenn County"/>
    <n v="2"/>
    <x v="1"/>
    <s v="Female"/>
  </r>
  <r>
    <s v="TX500137"/>
    <s v="Crop Tops"/>
    <n v="1"/>
    <n v="20.3"/>
    <n v="20.3"/>
    <x v="5"/>
    <d v="2025-01-07T00:00:00"/>
    <x v="2"/>
    <x v="0"/>
    <n v="5"/>
    <s v="California"/>
    <s v="Kern County"/>
    <n v="1"/>
    <x v="1"/>
    <s v="Female"/>
  </r>
  <r>
    <s v="TX500138"/>
    <s v="Sandals"/>
    <n v="7"/>
    <n v="36.4"/>
    <n v="254.79999999999998"/>
    <x v="5"/>
    <d v="2025-01-09T00:00:00"/>
    <x v="2"/>
    <x v="0"/>
    <n v="3"/>
    <s v="California"/>
    <s v="Los Angeles County"/>
    <n v="3"/>
    <x v="1"/>
    <s v="Female"/>
  </r>
  <r>
    <s v="TX500139"/>
    <s v="Shorts"/>
    <n v="1"/>
    <n v="19"/>
    <n v="19"/>
    <x v="5"/>
    <d v="2025-01-11T00:00:00"/>
    <x v="2"/>
    <x v="1"/>
    <n v="5"/>
    <s v="California"/>
    <s v="Los Angeles County"/>
    <n v="5"/>
    <x v="1"/>
    <s v="Female"/>
  </r>
  <r>
    <s v="TX500140"/>
    <s v="T-Shirts"/>
    <n v="1"/>
    <n v="17.8"/>
    <n v="17.8"/>
    <x v="5"/>
    <d v="2025-01-06T00:00:00"/>
    <x v="1"/>
    <x v="0"/>
    <n v="4"/>
    <s v="California"/>
    <s v="Los Angeles County"/>
    <n v="0"/>
    <x v="1"/>
    <s v="Male"/>
  </r>
  <r>
    <s v="TX500141"/>
    <s v="Sneakers"/>
    <n v="6"/>
    <n v="139.6"/>
    <n v="837.59999999999991"/>
    <x v="5"/>
    <d v="2025-01-09T00:00:00"/>
    <x v="1"/>
    <x v="0"/>
    <n v="4"/>
    <s v="California"/>
    <s v="Los Angeles County"/>
    <n v="3"/>
    <x v="1"/>
    <s v="Male"/>
  </r>
  <r>
    <s v="TX500142"/>
    <s v="Sundresses"/>
    <n v="1"/>
    <n v="31.7"/>
    <n v="31.7"/>
    <x v="5"/>
    <d v="2025-01-06T00:00:00"/>
    <x v="0"/>
    <x v="0"/>
    <n v="4"/>
    <s v="California"/>
    <s v="Los Angeles County"/>
    <n v="0"/>
    <x v="1"/>
    <s v="Unknown"/>
  </r>
  <r>
    <s v="TX500143"/>
    <s v="T-Shirts"/>
    <n v="8"/>
    <n v="26.3"/>
    <n v="210.4"/>
    <x v="5"/>
    <d v="2025-01-09T00:00:00"/>
    <x v="2"/>
    <x v="4"/>
    <n v="2"/>
    <s v="California"/>
    <s v="Los Angeles County"/>
    <n v="3"/>
    <x v="1"/>
    <s v="Female"/>
  </r>
  <r>
    <s v="TX500144"/>
    <s v="Graphic Tees"/>
    <n v="2"/>
    <n v="47.8"/>
    <n v="95.6"/>
    <x v="5"/>
    <d v="2025-01-07T00:00:00"/>
    <x v="0"/>
    <x v="0"/>
    <n v="4"/>
    <s v="California"/>
    <s v="Los Angeles County"/>
    <n v="1"/>
    <x v="1"/>
    <s v="Unknown"/>
  </r>
  <r>
    <s v="TX500145"/>
    <s v="Sundresses"/>
    <n v="3"/>
    <n v="69.400000000000006"/>
    <n v="208.20000000000002"/>
    <x v="5"/>
    <d v="2025-01-10T00:00:00"/>
    <x v="2"/>
    <x v="0"/>
    <n v="4"/>
    <s v="California"/>
    <s v="Los Angeles County"/>
    <n v="4"/>
    <x v="1"/>
    <s v="Female"/>
  </r>
  <r>
    <s v="TX500146"/>
    <s v="Leggings"/>
    <n v="12"/>
    <n v="25.8"/>
    <n v="309.60000000000002"/>
    <x v="5"/>
    <d v="2025-01-07T00:00:00"/>
    <x v="1"/>
    <x v="4"/>
    <n v="2"/>
    <s v="California"/>
    <s v="Los Angeles County"/>
    <n v="1"/>
    <x v="1"/>
    <s v="Male"/>
  </r>
  <r>
    <s v="TX500147"/>
    <s v="Shorts"/>
    <n v="4"/>
    <n v="26.4"/>
    <n v="105.6"/>
    <x v="5"/>
    <d v="2025-01-07T00:00:00"/>
    <x v="1"/>
    <x v="1"/>
    <n v="5"/>
    <s v="California"/>
    <s v="Los Angeles County"/>
    <n v="1"/>
    <x v="1"/>
    <s v="Male"/>
  </r>
  <r>
    <s v="TX500148"/>
    <s v="T-Shirts"/>
    <n v="4"/>
    <n v="15.7"/>
    <n v="62.8"/>
    <x v="5"/>
    <d v="2025-01-07T00:00:00"/>
    <x v="1"/>
    <x v="2"/>
    <n v="4"/>
    <s v="California"/>
    <s v="Los Angeles County"/>
    <n v="1"/>
    <x v="1"/>
    <s v="Male"/>
  </r>
  <r>
    <s v="TX500149"/>
    <s v="T-Shirts"/>
    <n v="1"/>
    <n v="39.700000000000003"/>
    <n v="39.700000000000003"/>
    <x v="5"/>
    <d v="2025-01-10T00:00:00"/>
    <x v="1"/>
    <x v="0"/>
    <n v="4"/>
    <s v="California"/>
    <s v="Los Angeles County"/>
    <n v="4"/>
    <x v="1"/>
    <s v="Male"/>
  </r>
  <r>
    <s v="TX500150"/>
    <s v="Bikinis"/>
    <n v="4"/>
    <n v="31.1"/>
    <n v="124.4"/>
    <x v="5"/>
    <d v="2025-01-08T00:00:00"/>
    <x v="2"/>
    <x v="2"/>
    <n v="3"/>
    <s v="California"/>
    <s v="Los Angeles County"/>
    <n v="2"/>
    <x v="1"/>
    <s v="Female"/>
  </r>
  <r>
    <s v="TX500151"/>
    <s v="Tote Bags"/>
    <n v="15"/>
    <n v="23.4"/>
    <n v="351"/>
    <x v="5"/>
    <d v="2025-01-15T00:00:00"/>
    <x v="1"/>
    <x v="0"/>
    <n v="4"/>
    <s v="California"/>
    <s v="Los Angeles County"/>
    <n v="9"/>
    <x v="1"/>
    <s v="Male"/>
  </r>
  <r>
    <s v="TX500152"/>
    <s v="Tank Tops"/>
    <n v="4"/>
    <n v="57.1"/>
    <n v="228.4"/>
    <x v="6"/>
    <d v="2025-01-08T00:00:00"/>
    <x v="1"/>
    <x v="2"/>
    <n v="4"/>
    <s v="California"/>
    <s v="Orange County"/>
    <n v="1"/>
    <x v="1"/>
    <s v="Male"/>
  </r>
  <r>
    <s v="TX500153"/>
    <s v="Sneakers"/>
    <n v="5"/>
    <n v="89.9"/>
    <n v="449.5"/>
    <x v="6"/>
    <d v="2025-01-07T00:00:00"/>
    <x v="2"/>
    <x v="0"/>
    <n v="1"/>
    <s v="California"/>
    <s v="Riverside County"/>
    <n v="0"/>
    <x v="1"/>
    <s v="Female"/>
  </r>
  <r>
    <s v="TX500154"/>
    <s v="Bikinis"/>
    <n v="7"/>
    <n v="48.1"/>
    <n v="336.7"/>
    <x v="6"/>
    <d v="2025-01-09T00:00:00"/>
    <x v="2"/>
    <x v="1"/>
    <n v="5"/>
    <s v="California"/>
    <s v="Sacramento County"/>
    <n v="2"/>
    <x v="1"/>
    <s v="Female"/>
  </r>
  <r>
    <s v="TX500155"/>
    <s v="T-Shirts"/>
    <n v="2"/>
    <n v="29.3"/>
    <n v="58.6"/>
    <x v="6"/>
    <d v="2025-01-07T00:00:00"/>
    <x v="2"/>
    <x v="1"/>
    <n v="3"/>
    <s v="California"/>
    <s v="Sacramento County"/>
    <n v="0"/>
    <x v="1"/>
    <s v="Female"/>
  </r>
  <r>
    <s v="TX500156"/>
    <s v="T-Shirts"/>
    <n v="4"/>
    <n v="28.8"/>
    <n v="115.2"/>
    <x v="6"/>
    <d v="2025-01-08T00:00:00"/>
    <x v="2"/>
    <x v="0"/>
    <n v="2"/>
    <s v="California"/>
    <s v="Sacramento County"/>
    <n v="1"/>
    <x v="1"/>
    <s v="Female"/>
  </r>
  <r>
    <s v="TX500157"/>
    <s v="Bikinis"/>
    <n v="5"/>
    <n v="40.5"/>
    <n v="202.5"/>
    <x v="6"/>
    <d v="2025-01-11T00:00:00"/>
    <x v="2"/>
    <x v="3"/>
    <n v="4"/>
    <s v="California"/>
    <s v="Sacramento County"/>
    <n v="4"/>
    <x v="1"/>
    <s v="Female"/>
  </r>
  <r>
    <s v="TX500158"/>
    <s v="Leggings"/>
    <n v="14"/>
    <n v="65.099999999999994"/>
    <n v="911.39999999999986"/>
    <x v="6"/>
    <d v="2025-01-08T00:00:00"/>
    <x v="2"/>
    <x v="4"/>
    <n v="4"/>
    <s v="California"/>
    <s v="San Bernardino County"/>
    <n v="1"/>
    <x v="1"/>
    <s v="Female"/>
  </r>
  <r>
    <s v="TX500159"/>
    <s v="T-Shirts"/>
    <n v="4"/>
    <n v="40.299999999999997"/>
    <n v="161.19999999999999"/>
    <x v="6"/>
    <d v="2025-01-12T00:00:00"/>
    <x v="2"/>
    <x v="2"/>
    <n v="4"/>
    <s v="California"/>
    <s v="San Bernardino County"/>
    <n v="5"/>
    <x v="1"/>
    <s v="Female"/>
  </r>
  <r>
    <s v="TX500160"/>
    <s v="Jeans"/>
    <n v="5"/>
    <n v="51.8"/>
    <n v="259"/>
    <x v="6"/>
    <d v="2025-01-08T00:00:00"/>
    <x v="1"/>
    <x v="2"/>
    <n v="5"/>
    <s v="California"/>
    <s v="San Diego County"/>
    <n v="1"/>
    <x v="1"/>
    <s v="Male"/>
  </r>
  <r>
    <s v="TX500161"/>
    <s v="Jeans"/>
    <n v="3"/>
    <n v="61.3"/>
    <n v="183.89999999999998"/>
    <x v="6"/>
    <d v="2025-01-08T00:00:00"/>
    <x v="2"/>
    <x v="3"/>
    <n v="4"/>
    <s v="California"/>
    <s v="San Diego County"/>
    <n v="1"/>
    <x v="1"/>
    <s v="Female"/>
  </r>
  <r>
    <s v="TX500162"/>
    <s v="Sneakers"/>
    <n v="4"/>
    <n v="122.5"/>
    <n v="490"/>
    <x v="6"/>
    <d v="2025-01-08T00:00:00"/>
    <x v="1"/>
    <x v="0"/>
    <n v="4"/>
    <s v="California"/>
    <s v="San Diego County"/>
    <n v="1"/>
    <x v="1"/>
    <s v="Male"/>
  </r>
  <r>
    <s v="TX500163"/>
    <s v="Shorts"/>
    <n v="9"/>
    <n v="12.5"/>
    <n v="112.5"/>
    <x v="6"/>
    <d v="2025-01-08T00:00:00"/>
    <x v="0"/>
    <x v="1"/>
    <n v="5"/>
    <s v="California"/>
    <s v="San Diego County"/>
    <n v="1"/>
    <x v="1"/>
    <s v="Unknown"/>
  </r>
  <r>
    <s v="TX500164"/>
    <s v="Crop Tops"/>
    <n v="8"/>
    <n v="37.5"/>
    <n v="300"/>
    <x v="6"/>
    <d v="2025-01-08T00:00:00"/>
    <x v="2"/>
    <x v="0"/>
    <n v="4"/>
    <s v="California"/>
    <s v="San Mateo County"/>
    <n v="1"/>
    <x v="1"/>
    <s v="Female"/>
  </r>
  <r>
    <s v="TX500165"/>
    <s v="Jeans"/>
    <n v="3"/>
    <n v="40"/>
    <n v="120"/>
    <x v="6"/>
    <d v="2025-01-10T00:00:00"/>
    <x v="1"/>
    <x v="0"/>
    <n v="2"/>
    <s v="California"/>
    <s v="Santa Clara County"/>
    <n v="3"/>
    <x v="1"/>
    <s v="Male"/>
  </r>
  <r>
    <s v="TX500166"/>
    <s v="Pajama Sets"/>
    <n v="8"/>
    <n v="38.5"/>
    <n v="308"/>
    <x v="6"/>
    <d v="2025-01-12T00:00:00"/>
    <x v="2"/>
    <x v="2"/>
    <n v="3"/>
    <s v="California"/>
    <s v="Santa Clara County"/>
    <n v="5"/>
    <x v="1"/>
    <s v="Female"/>
  </r>
  <r>
    <s v="TX500167"/>
    <s v="Sneakers"/>
    <n v="2"/>
    <n v="86.4"/>
    <n v="172.8"/>
    <x v="6"/>
    <d v="2025-01-09T00:00:00"/>
    <x v="2"/>
    <x v="0"/>
    <n v="4"/>
    <s v="California"/>
    <s v="Sonoma County"/>
    <n v="2"/>
    <x v="1"/>
    <s v="Female"/>
  </r>
  <r>
    <s v="TX500168"/>
    <s v="Bikinis"/>
    <n v="1"/>
    <n v="50.7"/>
    <n v="50.7"/>
    <x v="6"/>
    <d v="2025-01-11T00:00:00"/>
    <x v="2"/>
    <x v="1"/>
    <n v="4"/>
    <s v="California"/>
    <s v="Sonoma County"/>
    <n v="4"/>
    <x v="1"/>
    <s v="Female"/>
  </r>
  <r>
    <s v="TX500169"/>
    <s v="Bikinis"/>
    <n v="2"/>
    <n v="61"/>
    <n v="122"/>
    <x v="6"/>
    <d v="2025-01-18T00:00:00"/>
    <x v="2"/>
    <x v="4"/>
    <n v="3"/>
    <s v="California"/>
    <s v="Sonoma County"/>
    <n v="11"/>
    <x v="1"/>
    <s v="Female"/>
  </r>
  <r>
    <s v="TX500170"/>
    <s v="Graphic Tees"/>
    <n v="2"/>
    <n v="19.899999999999999"/>
    <n v="39.799999999999997"/>
    <x v="6"/>
    <d v="2025-01-10T00:00:00"/>
    <x v="2"/>
    <x v="1"/>
    <n v="4"/>
    <s v="California"/>
    <s v="Yolo County"/>
    <n v="3"/>
    <x v="1"/>
    <s v="Female"/>
  </r>
  <r>
    <s v="TX500171"/>
    <s v="Sandals"/>
    <n v="1"/>
    <n v="78.3"/>
    <n v="78.3"/>
    <x v="6"/>
    <d v="2025-01-07T00:00:00"/>
    <x v="2"/>
    <x v="0"/>
    <n v="5"/>
    <s v="California"/>
    <s v="Contra Costa County"/>
    <n v="0"/>
    <x v="1"/>
    <s v="Female"/>
  </r>
  <r>
    <s v="TX500172"/>
    <s v="Shorts"/>
    <n v="19"/>
    <n v="10.4"/>
    <n v="197.6"/>
    <x v="6"/>
    <d v="2025-01-09T00:00:00"/>
    <x v="1"/>
    <x v="0"/>
    <n v="5"/>
    <s v="California"/>
    <s v="Fresno County"/>
    <n v="2"/>
    <x v="1"/>
    <s v="Male"/>
  </r>
  <r>
    <s v="TX500173"/>
    <s v="Bikinis"/>
    <n v="1"/>
    <n v="36.1"/>
    <n v="36.1"/>
    <x v="6"/>
    <d v="2025-01-10T00:00:00"/>
    <x v="1"/>
    <x v="3"/>
    <n v="5"/>
    <s v="California"/>
    <s v="Los Angeles County"/>
    <n v="3"/>
    <x v="1"/>
    <s v="Male"/>
  </r>
  <r>
    <s v="TX500174"/>
    <s v="Baseball Caps"/>
    <n v="2"/>
    <n v="17.3"/>
    <n v="34.6"/>
    <x v="6"/>
    <d v="2025-01-09T00:00:00"/>
    <x v="2"/>
    <x v="1"/>
    <n v="5"/>
    <s v="California"/>
    <s v="Los Angeles County"/>
    <n v="2"/>
    <x v="1"/>
    <s v="Female"/>
  </r>
  <r>
    <s v="TX500175"/>
    <s v="Bikinis"/>
    <n v="2"/>
    <n v="30.5"/>
    <n v="61"/>
    <x v="6"/>
    <d v="2025-01-08T00:00:00"/>
    <x v="2"/>
    <x v="1"/>
    <n v="5"/>
    <s v="California"/>
    <s v="Los Angeles County"/>
    <n v="1"/>
    <x v="1"/>
    <s v="Female"/>
  </r>
  <r>
    <s v="TX500176"/>
    <s v="Leggings"/>
    <n v="62"/>
    <n v="70.099999999999994"/>
    <n v="4346.2"/>
    <x v="6"/>
    <d v="2025-01-07T00:00:00"/>
    <x v="2"/>
    <x v="2"/>
    <n v="4"/>
    <s v="California"/>
    <s v="Los Angeles County"/>
    <n v="0"/>
    <x v="1"/>
    <s v="Female"/>
  </r>
  <r>
    <s v="TX500177"/>
    <s v="Workout Tops"/>
    <n v="1"/>
    <n v="76.099999999999994"/>
    <n v="76.099999999999994"/>
    <x v="6"/>
    <d v="2025-01-07T00:00:00"/>
    <x v="2"/>
    <x v="2"/>
    <n v="3"/>
    <s v="California"/>
    <s v="Los Angeles County"/>
    <n v="0"/>
    <x v="1"/>
    <s v="Female"/>
  </r>
  <r>
    <s v="TX500178"/>
    <s v="Crop Tops"/>
    <n v="13"/>
    <n v="34.200000000000003"/>
    <n v="444.6"/>
    <x v="6"/>
    <d v="2025-01-08T00:00:00"/>
    <x v="1"/>
    <x v="0"/>
    <n v="4"/>
    <s v="California"/>
    <s v="Los Angeles County"/>
    <n v="1"/>
    <x v="1"/>
    <s v="Male"/>
  </r>
  <r>
    <s v="TX500179"/>
    <s v="T-Shirts"/>
    <n v="5"/>
    <n v="30.3"/>
    <n v="151.5"/>
    <x v="6"/>
    <d v="2025-01-12T00:00:00"/>
    <x v="2"/>
    <x v="4"/>
    <n v="4"/>
    <s v="California"/>
    <s v="Los Angeles County"/>
    <n v="5"/>
    <x v="1"/>
    <s v="Female"/>
  </r>
  <r>
    <s v="TX500180"/>
    <s v="Jeans"/>
    <n v="5"/>
    <n v="52.5"/>
    <n v="262.5"/>
    <x v="6"/>
    <d v="2025-01-11T00:00:00"/>
    <x v="0"/>
    <x v="3"/>
    <n v="4"/>
    <s v="California"/>
    <s v="Los Angeles County"/>
    <n v="4"/>
    <x v="1"/>
    <s v="Unknown"/>
  </r>
  <r>
    <s v="TX500181"/>
    <s v="Sundresses"/>
    <n v="11"/>
    <n v="28.7"/>
    <n v="315.7"/>
    <x v="6"/>
    <d v="2025-01-08T00:00:00"/>
    <x v="2"/>
    <x v="2"/>
    <n v="4"/>
    <s v="California"/>
    <s v="Los Angeles County"/>
    <n v="1"/>
    <x v="1"/>
    <s v="Female"/>
  </r>
  <r>
    <s v="TX500182"/>
    <s v="Hoodies &amp; Sweatshirts"/>
    <n v="7"/>
    <n v="52"/>
    <n v="364"/>
    <x v="6"/>
    <d v="2025-01-08T00:00:00"/>
    <x v="1"/>
    <x v="1"/>
    <n v="2"/>
    <s v="California"/>
    <s v="Los Angeles County"/>
    <n v="1"/>
    <x v="1"/>
    <s v="Male"/>
  </r>
  <r>
    <s v="TX500183"/>
    <s v="Shorts"/>
    <n v="1"/>
    <n v="13.3"/>
    <n v="13.3"/>
    <x v="7"/>
    <d v="2025-01-12T00:00:00"/>
    <x v="2"/>
    <x v="2"/>
    <n v="3"/>
    <s v="California"/>
    <s v="Los Angeles County"/>
    <n v="4"/>
    <x v="1"/>
    <s v="Female"/>
  </r>
  <r>
    <s v="TX500184"/>
    <s v="Shorts"/>
    <n v="3"/>
    <n v="15.7"/>
    <n v="47.099999999999994"/>
    <x v="7"/>
    <d v="2025-01-09T00:00:00"/>
    <x v="2"/>
    <x v="1"/>
    <n v="4"/>
    <s v="California"/>
    <s v="Mendocino County"/>
    <n v="1"/>
    <x v="1"/>
    <s v="Female"/>
  </r>
  <r>
    <s v="TX500185"/>
    <s v="T-Shirts"/>
    <n v="2"/>
    <n v="25.6"/>
    <n v="51.2"/>
    <x v="7"/>
    <d v="2025-01-09T00:00:00"/>
    <x v="1"/>
    <x v="0"/>
    <n v="5"/>
    <s v="California"/>
    <s v="Riverside County"/>
    <n v="1"/>
    <x v="1"/>
    <s v="Male"/>
  </r>
  <r>
    <s v="TX500186"/>
    <s v="T-Shirts"/>
    <n v="1"/>
    <n v="43.4"/>
    <n v="43.4"/>
    <x v="7"/>
    <d v="2025-01-13T00:00:00"/>
    <x v="1"/>
    <x v="0"/>
    <n v="4"/>
    <s v="California"/>
    <s v="Sacramento County"/>
    <n v="5"/>
    <x v="1"/>
    <s v="Male"/>
  </r>
  <r>
    <s v="TX500187"/>
    <s v="Maxi Dresses"/>
    <n v="9"/>
    <n v="33.4"/>
    <n v="300.59999999999997"/>
    <x v="7"/>
    <d v="2025-01-08T00:00:00"/>
    <x v="2"/>
    <x v="0"/>
    <n v="4"/>
    <s v="California"/>
    <s v="San Diego County"/>
    <n v="0"/>
    <x v="1"/>
    <s v="Female"/>
  </r>
  <r>
    <s v="TX500188"/>
    <s v="T-Shirts"/>
    <n v="19"/>
    <n v="55"/>
    <n v="1045"/>
    <x v="7"/>
    <d v="2025-01-09T00:00:00"/>
    <x v="2"/>
    <x v="1"/>
    <n v="5"/>
    <s v="California"/>
    <s v="San Diego County"/>
    <n v="1"/>
    <x v="1"/>
    <s v="Female"/>
  </r>
  <r>
    <s v="TX500189"/>
    <s v="T-Shirts"/>
    <n v="3"/>
    <n v="23.6"/>
    <n v="70.800000000000011"/>
    <x v="7"/>
    <d v="2025-01-09T00:00:00"/>
    <x v="1"/>
    <x v="0"/>
    <n v="5"/>
    <s v="California"/>
    <s v="San Diego County"/>
    <n v="1"/>
    <x v="1"/>
    <s v="Male"/>
  </r>
  <r>
    <s v="TX500190"/>
    <s v="Casual Dresses"/>
    <n v="9"/>
    <n v="104"/>
    <n v="936"/>
    <x v="7"/>
    <d v="2025-01-10T00:00:00"/>
    <x v="2"/>
    <x v="2"/>
    <n v="5"/>
    <s v="California"/>
    <s v="San Francisco"/>
    <n v="2"/>
    <x v="1"/>
    <s v="Female"/>
  </r>
  <r>
    <s v="TX500191"/>
    <s v="Jeans"/>
    <n v="2"/>
    <n v="51.8"/>
    <n v="103.6"/>
    <x v="7"/>
    <d v="2025-01-12T00:00:00"/>
    <x v="0"/>
    <x v="0"/>
    <n v="5"/>
    <s v="California"/>
    <s v="Santa Barbara County"/>
    <n v="4"/>
    <x v="1"/>
    <s v="Unknown"/>
  </r>
  <r>
    <s v="TX500192"/>
    <s v="Bikinis"/>
    <n v="5"/>
    <n v="34.5"/>
    <n v="172.5"/>
    <x v="7"/>
    <d v="2025-01-10T00:00:00"/>
    <x v="0"/>
    <x v="2"/>
    <n v="5"/>
    <s v="California"/>
    <s v="Santa Clara County"/>
    <n v="2"/>
    <x v="1"/>
    <s v="Unknown"/>
  </r>
  <r>
    <s v="TX500193"/>
    <s v="Jeans"/>
    <n v="2"/>
    <n v="51.8"/>
    <n v="103.6"/>
    <x v="7"/>
    <d v="2025-01-10T00:00:00"/>
    <x v="1"/>
    <x v="1"/>
    <n v="5"/>
    <s v="California"/>
    <s v="Siskiyou County"/>
    <n v="2"/>
    <x v="1"/>
    <s v="Male"/>
  </r>
  <r>
    <s v="TX500194"/>
    <s v="Leggings"/>
    <n v="43"/>
    <n v="131.5"/>
    <n v="5654.5"/>
    <x v="7"/>
    <d v="2025-01-09T00:00:00"/>
    <x v="2"/>
    <x v="0"/>
    <n v="5"/>
    <s v="California"/>
    <s v="Sonoma County"/>
    <n v="1"/>
    <x v="1"/>
    <s v="Female"/>
  </r>
  <r>
    <s v="TX500195"/>
    <s v="T-Shirts"/>
    <n v="7"/>
    <n v="47.8"/>
    <n v="334.59999999999997"/>
    <x v="7"/>
    <d v="2025-01-08T00:00:00"/>
    <x v="2"/>
    <x v="0"/>
    <n v="4"/>
    <s v="California"/>
    <s v="Stanislaus County"/>
    <n v="0"/>
    <x v="1"/>
    <s v="Female"/>
  </r>
  <r>
    <s v="TX500196"/>
    <s v="Shorts"/>
    <n v="2"/>
    <n v="10.199999999999999"/>
    <n v="20.399999999999999"/>
    <x v="7"/>
    <d v="2025-01-10T00:00:00"/>
    <x v="2"/>
    <x v="0"/>
    <n v="4"/>
    <s v="California"/>
    <s v="Stanislaus County"/>
    <n v="2"/>
    <x v="1"/>
    <s v="Female"/>
  </r>
  <r>
    <s v="TX500197"/>
    <s v="T-Shirts"/>
    <n v="8"/>
    <n v="41"/>
    <n v="328"/>
    <x v="7"/>
    <d v="2025-01-08T00:00:00"/>
    <x v="2"/>
    <x v="1"/>
    <n v="5"/>
    <s v="California"/>
    <s v="Stanislaus County"/>
    <n v="0"/>
    <x v="1"/>
    <s v="Female"/>
  </r>
  <r>
    <s v="TX500198"/>
    <s v="Bikinis"/>
    <n v="7"/>
    <n v="50.8"/>
    <n v="355.59999999999997"/>
    <x v="7"/>
    <d v="2025-01-11T00:00:00"/>
    <x v="2"/>
    <x v="1"/>
    <n v="4"/>
    <s v="California"/>
    <s v="Alameda County"/>
    <n v="3"/>
    <x v="1"/>
    <s v="Female"/>
  </r>
  <r>
    <s v="TX500199"/>
    <s v="Leggings"/>
    <n v="3"/>
    <n v="39.6"/>
    <n v="118.80000000000001"/>
    <x v="7"/>
    <d v="2025-01-09T00:00:00"/>
    <x v="1"/>
    <x v="2"/>
    <n v="5"/>
    <s v="California"/>
    <s v="Contra Costa County"/>
    <n v="1"/>
    <x v="1"/>
    <s v="Male"/>
  </r>
  <r>
    <s v="TX500200"/>
    <s v="Sandals"/>
    <n v="2"/>
    <n v="69.5"/>
    <n v="139"/>
    <x v="7"/>
    <d v="2025-01-10T00:00:00"/>
    <x v="1"/>
    <x v="0"/>
    <n v="5"/>
    <s v="California"/>
    <s v="Fresno County"/>
    <n v="2"/>
    <x v="1"/>
    <s v="Male"/>
  </r>
  <r>
    <s v="TX500201"/>
    <s v="T-Shirts"/>
    <n v="8"/>
    <n v="32.6"/>
    <n v="260.8"/>
    <x v="7"/>
    <d v="2025-01-11T00:00:00"/>
    <x v="1"/>
    <x v="1"/>
    <n v="4"/>
    <s v="California"/>
    <s v="Los Angeles County"/>
    <n v="3"/>
    <x v="1"/>
    <s v="Male"/>
  </r>
  <r>
    <s v="TX500202"/>
    <s v="Hoodies &amp; Sweatshirts"/>
    <n v="2"/>
    <n v="49.1"/>
    <n v="98.2"/>
    <x v="7"/>
    <d v="2025-01-16T00:00:00"/>
    <x v="1"/>
    <x v="3"/>
    <n v="5"/>
    <s v="California"/>
    <s v="Los Angeles County"/>
    <n v="8"/>
    <x v="1"/>
    <s v="Male"/>
  </r>
  <r>
    <s v="TX500203"/>
    <s v="Jeans"/>
    <n v="2"/>
    <n v="49.4"/>
    <n v="98.8"/>
    <x v="8"/>
    <d v="2025-01-10T00:00:00"/>
    <x v="2"/>
    <x v="2"/>
    <n v="4"/>
    <s v="California"/>
    <s v="Los Angeles County"/>
    <n v="1"/>
    <x v="1"/>
    <s v="Female"/>
  </r>
  <r>
    <s v="TX500204"/>
    <s v="Hoodies &amp; Sweatshirts"/>
    <n v="7"/>
    <n v="65.099999999999994"/>
    <n v="455.69999999999993"/>
    <x v="8"/>
    <d v="2025-01-12T00:00:00"/>
    <x v="2"/>
    <x v="2"/>
    <n v="5"/>
    <s v="California"/>
    <s v="Los Angeles County"/>
    <n v="3"/>
    <x v="1"/>
    <s v="Female"/>
  </r>
  <r>
    <s v="TX500205"/>
    <s v="Workout Tops"/>
    <n v="2"/>
    <n v="52.1"/>
    <n v="104.2"/>
    <x v="8"/>
    <d v="2025-01-13T00:00:00"/>
    <x v="2"/>
    <x v="2"/>
    <n v="4"/>
    <s v="California"/>
    <s v="Los Angeles County"/>
    <n v="4"/>
    <x v="1"/>
    <s v="Female"/>
  </r>
  <r>
    <s v="TX500206"/>
    <s v="Sneakers"/>
    <n v="4"/>
    <n v="129.19999999999999"/>
    <n v="516.79999999999995"/>
    <x v="8"/>
    <d v="2025-01-10T00:00:00"/>
    <x v="2"/>
    <x v="1"/>
    <n v="4"/>
    <s v="California"/>
    <s v="Los Angeles County"/>
    <n v="1"/>
    <x v="1"/>
    <s v="Female"/>
  </r>
  <r>
    <s v="TX500207"/>
    <s v="Tank Tops"/>
    <n v="19"/>
    <n v="81.8"/>
    <n v="1554.2"/>
    <x v="8"/>
    <d v="2025-01-09T00:00:00"/>
    <x v="2"/>
    <x v="1"/>
    <n v="3"/>
    <s v="California"/>
    <s v="Los Angeles County"/>
    <n v="0"/>
    <x v="1"/>
    <s v="Female"/>
  </r>
  <r>
    <s v="TX500208"/>
    <s v="Pajama Sets"/>
    <n v="1"/>
    <n v="24.9"/>
    <n v="24.9"/>
    <x v="8"/>
    <d v="2025-01-13T00:00:00"/>
    <x v="2"/>
    <x v="1"/>
    <n v="4"/>
    <s v="California"/>
    <s v="Los Angeles County"/>
    <n v="4"/>
    <x v="1"/>
    <s v="Female"/>
  </r>
  <r>
    <s v="TX500209"/>
    <s v="Shorts"/>
    <n v="3"/>
    <n v="49.4"/>
    <n v="148.19999999999999"/>
    <x v="8"/>
    <d v="2025-01-12T00:00:00"/>
    <x v="2"/>
    <x v="4"/>
    <n v="2"/>
    <s v="California"/>
    <s v="Los Angeles County"/>
    <n v="3"/>
    <x v="1"/>
    <s v="Female"/>
  </r>
  <r>
    <s v="TX500210"/>
    <s v="T-Shirts"/>
    <n v="2"/>
    <n v="22.7"/>
    <n v="45.4"/>
    <x v="8"/>
    <d v="2025-01-10T00:00:00"/>
    <x v="1"/>
    <x v="3"/>
    <n v="5"/>
    <s v="California"/>
    <s v="Los Angeles County"/>
    <n v="1"/>
    <x v="1"/>
    <s v="Male"/>
  </r>
  <r>
    <s v="TX500211"/>
    <s v="Tank Tops"/>
    <n v="1"/>
    <n v="77.3"/>
    <n v="77.3"/>
    <x v="8"/>
    <d v="2025-01-09T00:00:00"/>
    <x v="2"/>
    <x v="0"/>
    <n v="5"/>
    <s v="California"/>
    <s v="Sacramento County"/>
    <n v="0"/>
    <x v="1"/>
    <s v="Female"/>
  </r>
  <r>
    <s v="TX500212"/>
    <s v="Tank Tops"/>
    <n v="5"/>
    <n v="109.1"/>
    <n v="545.5"/>
    <x v="8"/>
    <d v="2025-01-12T00:00:00"/>
    <x v="2"/>
    <x v="0"/>
    <n v="4"/>
    <s v="California"/>
    <s v="Sacramento County"/>
    <n v="3"/>
    <x v="1"/>
    <s v="Female"/>
  </r>
  <r>
    <s v="TX500213"/>
    <s v="Sneakers"/>
    <n v="4"/>
    <n v="53.9"/>
    <n v="215.6"/>
    <x v="8"/>
    <d v="2025-01-10T00:00:00"/>
    <x v="1"/>
    <x v="0"/>
    <n v="3"/>
    <s v="California"/>
    <s v="San Diego County"/>
    <n v="1"/>
    <x v="1"/>
    <s v="Male"/>
  </r>
  <r>
    <s v="TX500214"/>
    <s v="Sundresses"/>
    <n v="26"/>
    <n v="21.2"/>
    <n v="551.19999999999993"/>
    <x v="8"/>
    <d v="2025-01-09T00:00:00"/>
    <x v="2"/>
    <x v="0"/>
    <n v="4"/>
    <s v="California"/>
    <s v="San Mateo County"/>
    <n v="0"/>
    <x v="1"/>
    <s v="Female"/>
  </r>
  <r>
    <s v="TX500215"/>
    <s v="Sunglasses"/>
    <n v="4"/>
    <n v="69"/>
    <n v="276"/>
    <x v="8"/>
    <d v="2025-01-11T00:00:00"/>
    <x v="2"/>
    <x v="1"/>
    <n v="3"/>
    <s v="California"/>
    <s v="Sonoma County"/>
    <n v="2"/>
    <x v="1"/>
    <s v="Female"/>
  </r>
  <r>
    <s v="TX500216"/>
    <s v="Jeans"/>
    <n v="3"/>
    <n v="46.2"/>
    <n v="138.60000000000002"/>
    <x v="8"/>
    <d v="2025-01-11T00:00:00"/>
    <x v="2"/>
    <x v="0"/>
    <n v="5"/>
    <s v="California"/>
    <s v="Sutter County"/>
    <n v="2"/>
    <x v="1"/>
    <s v="Female"/>
  </r>
  <r>
    <s v="TX500217"/>
    <s v="Tank Tops"/>
    <n v="5"/>
    <n v="97.4"/>
    <n v="487"/>
    <x v="8"/>
    <d v="2025-01-13T00:00:00"/>
    <x v="2"/>
    <x v="4"/>
    <n v="5"/>
    <s v="California"/>
    <s v="Alameda County"/>
    <n v="4"/>
    <x v="1"/>
    <s v="Female"/>
  </r>
  <r>
    <s v="TX500218"/>
    <s v="T-Shirts"/>
    <n v="5"/>
    <n v="21"/>
    <n v="105"/>
    <x v="8"/>
    <d v="2025-01-10T00:00:00"/>
    <x v="1"/>
    <x v="0"/>
    <n v="3"/>
    <s v="California"/>
    <s v="Alameda County"/>
    <n v="1"/>
    <x v="1"/>
    <s v="Male"/>
  </r>
  <r>
    <s v="TX500219"/>
    <s v="Sandals"/>
    <n v="2"/>
    <n v="32.700000000000003"/>
    <n v="65.400000000000006"/>
    <x v="9"/>
    <d v="2025-01-13T00:00:00"/>
    <x v="2"/>
    <x v="1"/>
    <n v="4"/>
    <s v="California"/>
    <s v="Fresno County"/>
    <n v="3"/>
    <x v="1"/>
    <s v="Female"/>
  </r>
  <r>
    <s v="TX500220"/>
    <s v="Jeans"/>
    <n v="4"/>
    <n v="48"/>
    <n v="192"/>
    <x v="9"/>
    <d v="2025-01-11T00:00:00"/>
    <x v="1"/>
    <x v="3"/>
    <n v="4"/>
    <s v="California"/>
    <s v="Los Angeles County"/>
    <n v="1"/>
    <x v="1"/>
    <s v="Male"/>
  </r>
  <r>
    <s v="TX500221"/>
    <s v="Jeans"/>
    <n v="3"/>
    <n v="68.2"/>
    <n v="204.60000000000002"/>
    <x v="9"/>
    <d v="2025-01-14T00:00:00"/>
    <x v="0"/>
    <x v="0"/>
    <n v="5"/>
    <s v="California"/>
    <s v="Los Angeles County"/>
    <n v="4"/>
    <x v="1"/>
    <s v="Unknown"/>
  </r>
  <r>
    <s v="TX500222"/>
    <s v="Sandals"/>
    <n v="1"/>
    <n v="45.4"/>
    <n v="45.4"/>
    <x v="9"/>
    <d v="2025-01-12T00:00:00"/>
    <x v="1"/>
    <x v="1"/>
    <n v="4"/>
    <s v="California"/>
    <s v="Los Angeles County"/>
    <n v="2"/>
    <x v="1"/>
    <s v="Male"/>
  </r>
  <r>
    <s v="TX500223"/>
    <s v="Casual Dresses"/>
    <n v="2"/>
    <n v="53.9"/>
    <n v="107.8"/>
    <x v="9"/>
    <d v="2025-01-11T00:00:00"/>
    <x v="2"/>
    <x v="2"/>
    <n v="4"/>
    <s v="California"/>
    <s v="Los Angeles County"/>
    <n v="1"/>
    <x v="1"/>
    <s v="Female"/>
  </r>
  <r>
    <s v="TX500224"/>
    <s v="Sneakers"/>
    <n v="4"/>
    <n v="62.1"/>
    <n v="248.4"/>
    <x v="9"/>
    <d v="2025-01-14T00:00:00"/>
    <x v="2"/>
    <x v="0"/>
    <n v="4"/>
    <s v="California"/>
    <s v="Nevada County"/>
    <n v="4"/>
    <x v="1"/>
    <s v="Female"/>
  </r>
  <r>
    <s v="TX500225"/>
    <s v="Tote Bags"/>
    <n v="7"/>
    <n v="33.1"/>
    <n v="231.70000000000002"/>
    <x v="9"/>
    <d v="2025-01-15T00:00:00"/>
    <x v="1"/>
    <x v="1"/>
    <n v="4"/>
    <s v="California"/>
    <s v="Sacramento County"/>
    <n v="5"/>
    <x v="1"/>
    <s v="Male"/>
  </r>
  <r>
    <s v="TX500226"/>
    <s v="Leggings"/>
    <n v="5"/>
    <n v="35.200000000000003"/>
    <n v="176"/>
    <x v="9"/>
    <d v="2025-01-10T00:00:00"/>
    <x v="2"/>
    <x v="1"/>
    <n v="4"/>
    <s v="California"/>
    <s v="Sacramento County"/>
    <n v="0"/>
    <x v="1"/>
    <s v="Female"/>
  </r>
  <r>
    <s v="TX500227"/>
    <s v="Sundresses"/>
    <n v="3"/>
    <n v="32.1"/>
    <n v="96.300000000000011"/>
    <x v="9"/>
    <d v="2025-01-15T00:00:00"/>
    <x v="1"/>
    <x v="3"/>
    <n v="4"/>
    <s v="California"/>
    <s v="San Diego County"/>
    <n v="5"/>
    <x v="1"/>
    <s v="Male"/>
  </r>
  <r>
    <s v="TX500228"/>
    <s v="Maxi Dresses"/>
    <n v="1"/>
    <n v="38.1"/>
    <n v="38.1"/>
    <x v="9"/>
    <d v="2025-01-15T00:00:00"/>
    <x v="2"/>
    <x v="0"/>
    <n v="5"/>
    <s v="California"/>
    <s v="San Diego County"/>
    <n v="5"/>
    <x v="1"/>
    <s v="Female"/>
  </r>
  <r>
    <s v="TX500229"/>
    <s v="T-Shirts"/>
    <n v="1"/>
    <n v="65.2"/>
    <n v="65.2"/>
    <x v="9"/>
    <d v="2025-01-15T00:00:00"/>
    <x v="2"/>
    <x v="3"/>
    <n v="3"/>
    <s v="California"/>
    <s v="San Diego County"/>
    <n v="5"/>
    <x v="1"/>
    <s v="Female"/>
  </r>
  <r>
    <s v="TX500230"/>
    <s v="Bikinis"/>
    <n v="7"/>
    <n v="55.2"/>
    <n v="386.40000000000003"/>
    <x v="9"/>
    <d v="2025-01-11T00:00:00"/>
    <x v="1"/>
    <x v="2"/>
    <n v="4"/>
    <s v="California"/>
    <s v="Santa Clara County"/>
    <n v="1"/>
    <x v="1"/>
    <s v="Male"/>
  </r>
  <r>
    <s v="TX500231"/>
    <s v="Jeans"/>
    <n v="1"/>
    <n v="62"/>
    <n v="62"/>
    <x v="9"/>
    <d v="2025-01-14T00:00:00"/>
    <x v="2"/>
    <x v="0"/>
    <n v="4"/>
    <s v="California"/>
    <s v="Santa Clara County"/>
    <n v="4"/>
    <x v="1"/>
    <s v="Female"/>
  </r>
  <r>
    <s v="TX500232"/>
    <s v="Hoodies &amp; Sweatshirts"/>
    <n v="3"/>
    <n v="45.9"/>
    <n v="137.69999999999999"/>
    <x v="9"/>
    <d v="2025-01-11T00:00:00"/>
    <x v="2"/>
    <x v="2"/>
    <n v="4"/>
    <s v="California"/>
    <s v="Santa Cruz County"/>
    <n v="1"/>
    <x v="1"/>
    <s v="Female"/>
  </r>
  <r>
    <s v="TX500233"/>
    <s v="Leggings"/>
    <n v="3"/>
    <n v="58.3"/>
    <n v="174.89999999999998"/>
    <x v="9"/>
    <d v="2025-01-10T00:00:00"/>
    <x v="1"/>
    <x v="1"/>
    <n v="3"/>
    <s v="California"/>
    <s v="Sonoma County"/>
    <n v="0"/>
    <x v="1"/>
    <s v="Male"/>
  </r>
  <r>
    <s v="TX500234"/>
    <s v="T-Shirts"/>
    <n v="2"/>
    <n v="22.3"/>
    <n v="44.6"/>
    <x v="9"/>
    <d v="2025-01-13T00:00:00"/>
    <x v="2"/>
    <x v="0"/>
    <n v="5"/>
    <s v="California"/>
    <s v="Tulare County"/>
    <n v="3"/>
    <x v="1"/>
    <s v="Female"/>
  </r>
  <r>
    <s v="TX500235"/>
    <s v="Jewelry"/>
    <n v="5"/>
    <n v="24"/>
    <n v="120"/>
    <x v="9"/>
    <d v="2025-01-11T00:00:00"/>
    <x v="1"/>
    <x v="4"/>
    <n v="4"/>
    <s v="California"/>
    <s v="Contra Costa County"/>
    <n v="1"/>
    <x v="1"/>
    <s v="Male"/>
  </r>
  <r>
    <s v="TX500236"/>
    <s v="Shorts"/>
    <n v="10"/>
    <n v="21.3"/>
    <n v="213"/>
    <x v="9"/>
    <d v="2025-01-10T00:00:00"/>
    <x v="2"/>
    <x v="1"/>
    <n v="5"/>
    <s v="California"/>
    <s v="Kern County"/>
    <n v="0"/>
    <x v="1"/>
    <s v="Female"/>
  </r>
  <r>
    <s v="TX500237"/>
    <s v="Jeans"/>
    <n v="41"/>
    <n v="57.8"/>
    <n v="2369.7999999999997"/>
    <x v="9"/>
    <d v="2025-01-12T00:00:00"/>
    <x v="2"/>
    <x v="0"/>
    <n v="5"/>
    <s v="California"/>
    <s v="Los Angeles County"/>
    <n v="2"/>
    <x v="1"/>
    <s v="Female"/>
  </r>
  <r>
    <s v="TX500238"/>
    <s v="Bikinis"/>
    <n v="3"/>
    <n v="67.599999999999994"/>
    <n v="202.79999999999998"/>
    <x v="9"/>
    <d v="2025-01-11T00:00:00"/>
    <x v="2"/>
    <x v="0"/>
    <n v="4"/>
    <s v="California"/>
    <s v="Los Angeles County"/>
    <n v="1"/>
    <x v="1"/>
    <s v="Female"/>
  </r>
  <r>
    <s v="TX500239"/>
    <s v="Jeans"/>
    <n v="6"/>
    <n v="66.7"/>
    <n v="400.20000000000005"/>
    <x v="9"/>
    <d v="2025-01-14T00:00:00"/>
    <x v="1"/>
    <x v="4"/>
    <n v="3"/>
    <s v="California"/>
    <s v="Los Angeles County"/>
    <n v="4"/>
    <x v="1"/>
    <s v="Male"/>
  </r>
  <r>
    <s v="TX500240"/>
    <s v="Tank Tops"/>
    <n v="4"/>
    <n v="53.1"/>
    <n v="212.4"/>
    <x v="9"/>
    <d v="2025-01-12T00:00:00"/>
    <x v="2"/>
    <x v="1"/>
    <n v="4"/>
    <s v="California"/>
    <s v="Los Angeles County"/>
    <n v="2"/>
    <x v="1"/>
    <s v="Female"/>
  </r>
  <r>
    <s v="TX500241"/>
    <s v="Casual Dresses"/>
    <n v="3"/>
    <n v="57.4"/>
    <n v="172.2"/>
    <x v="9"/>
    <d v="2025-01-13T00:00:00"/>
    <x v="2"/>
    <x v="0"/>
    <n v="5"/>
    <s v="California"/>
    <s v="Mendocino County"/>
    <n v="3"/>
    <x v="1"/>
    <s v="Female"/>
  </r>
  <r>
    <s v="TX500242"/>
    <s v="Sneakers"/>
    <n v="5"/>
    <n v="58.1"/>
    <n v="290.5"/>
    <x v="9"/>
    <d v="2025-01-10T00:00:00"/>
    <x v="1"/>
    <x v="2"/>
    <n v="5"/>
    <s v="California"/>
    <s v="Sacramento County"/>
    <n v="0"/>
    <x v="1"/>
    <s v="Male"/>
  </r>
  <r>
    <s v="TX500243"/>
    <s v="Sandals"/>
    <n v="3"/>
    <n v="31.8"/>
    <n v="95.4"/>
    <x v="10"/>
    <d v="2025-01-13T00:00:00"/>
    <x v="1"/>
    <x v="3"/>
    <n v="4"/>
    <s v="California"/>
    <s v="Sacramento County"/>
    <n v="2"/>
    <x v="1"/>
    <s v="Male"/>
  </r>
  <r>
    <s v="TX500244"/>
    <s v="Graphic Tees"/>
    <n v="3"/>
    <n v="31.5"/>
    <n v="94.5"/>
    <x v="10"/>
    <d v="2025-01-14T00:00:00"/>
    <x v="1"/>
    <x v="0"/>
    <n v="3"/>
    <s v="California"/>
    <s v="San Diego County"/>
    <n v="3"/>
    <x v="1"/>
    <s v="Male"/>
  </r>
  <r>
    <s v="TX500245"/>
    <s v="Jeans"/>
    <n v="7"/>
    <n v="55.9"/>
    <n v="391.3"/>
    <x v="10"/>
    <d v="2025-01-15T00:00:00"/>
    <x v="2"/>
    <x v="1"/>
    <n v="5"/>
    <s v="California"/>
    <s v="San Diego County"/>
    <n v="4"/>
    <x v="1"/>
    <s v="Female"/>
  </r>
  <r>
    <s v="TX500246"/>
    <s v="T-Shirts"/>
    <n v="2"/>
    <n v="36.4"/>
    <n v="72.8"/>
    <x v="10"/>
    <d v="2025-01-12T00:00:00"/>
    <x v="1"/>
    <x v="1"/>
    <n v="3"/>
    <s v="California"/>
    <s v="San Mateo County"/>
    <n v="1"/>
    <x v="1"/>
    <s v="Male"/>
  </r>
  <r>
    <s v="TX500247"/>
    <s v="Tank Tops"/>
    <n v="5"/>
    <n v="47.3"/>
    <n v="236.5"/>
    <x v="10"/>
    <d v="2025-01-14T00:00:00"/>
    <x v="1"/>
    <x v="2"/>
    <n v="4"/>
    <s v="California"/>
    <s v="Santa Barbara County"/>
    <n v="3"/>
    <x v="1"/>
    <s v="Male"/>
  </r>
  <r>
    <s v="TX500248"/>
    <s v="Jeans"/>
    <n v="3"/>
    <n v="82.5"/>
    <n v="247.5"/>
    <x v="10"/>
    <d v="2025-01-12T00:00:00"/>
    <x v="1"/>
    <x v="0"/>
    <n v="4"/>
    <s v="California"/>
    <s v="Santa Clara County"/>
    <n v="1"/>
    <x v="1"/>
    <s v="Male"/>
  </r>
  <r>
    <s v="TX500249"/>
    <s v="Shorts"/>
    <n v="1"/>
    <n v="14.3"/>
    <n v="14.3"/>
    <x v="10"/>
    <d v="2025-01-12T00:00:00"/>
    <x v="2"/>
    <x v="0"/>
    <n v="4"/>
    <s v="California"/>
    <s v="Alameda County"/>
    <n v="1"/>
    <x v="1"/>
    <s v="Female"/>
  </r>
  <r>
    <s v="TX500250"/>
    <s v="Sneakers"/>
    <n v="6"/>
    <n v="57.6"/>
    <n v="345.6"/>
    <x v="10"/>
    <d v="2025-01-25T00:00:00"/>
    <x v="2"/>
    <x v="0"/>
    <n v="4"/>
    <s v="California"/>
    <s v="Alameda County"/>
    <n v="14"/>
    <x v="1"/>
    <s v="Female"/>
  </r>
  <r>
    <s v="TX500251"/>
    <s v="Sneakers"/>
    <n v="3"/>
    <n v="142.4"/>
    <n v="427.20000000000005"/>
    <x v="10"/>
    <d v="2025-01-13T00:00:00"/>
    <x v="1"/>
    <x v="4"/>
    <n v="3"/>
    <s v="California"/>
    <s v="Alameda County"/>
    <n v="2"/>
    <x v="1"/>
    <s v="Male"/>
  </r>
  <r>
    <s v="TX500252"/>
    <s v="Casual Dresses"/>
    <n v="1"/>
    <n v="30.2"/>
    <n v="30.2"/>
    <x v="10"/>
    <d v="2025-01-15T00:00:00"/>
    <x v="1"/>
    <x v="1"/>
    <n v="5"/>
    <s v="California"/>
    <s v="Fresno County"/>
    <n v="4"/>
    <x v="1"/>
    <s v="Male"/>
  </r>
  <r>
    <s v="TX500253"/>
    <s v="Leggings"/>
    <n v="3"/>
    <n v="65.3"/>
    <n v="195.89999999999998"/>
    <x v="10"/>
    <d v="2025-01-12T00:00:00"/>
    <x v="3"/>
    <x v="1"/>
    <n v="4"/>
    <s v="California"/>
    <s v="Imperial County"/>
    <n v="1"/>
    <x v="1"/>
    <s v="Other"/>
  </r>
  <r>
    <s v="TX500254"/>
    <s v="Shorts"/>
    <n v="2"/>
    <n v="33.4"/>
    <n v="66.8"/>
    <x v="10"/>
    <d v="2025-01-12T00:00:00"/>
    <x v="1"/>
    <x v="1"/>
    <n v="3"/>
    <s v="California"/>
    <s v="Kern County"/>
    <n v="1"/>
    <x v="1"/>
    <s v="Male"/>
  </r>
  <r>
    <s v="TX500255"/>
    <s v="Hoodies &amp; Sweatshirts"/>
    <n v="2"/>
    <n v="45.1"/>
    <n v="90.2"/>
    <x v="10"/>
    <d v="2025-01-19T00:00:00"/>
    <x v="1"/>
    <x v="0"/>
    <n v="4"/>
    <s v="California"/>
    <s v="Kings County"/>
    <n v="8"/>
    <x v="1"/>
    <s v="Male"/>
  </r>
  <r>
    <s v="TX500256"/>
    <s v="Sneakers"/>
    <n v="7"/>
    <n v="61.7"/>
    <n v="431.90000000000003"/>
    <x v="10"/>
    <d v="2025-01-13T00:00:00"/>
    <x v="2"/>
    <x v="4"/>
    <n v="4"/>
    <s v="California"/>
    <s v="Los Angeles County"/>
    <n v="2"/>
    <x v="1"/>
    <s v="Female"/>
  </r>
  <r>
    <s v="TX500257"/>
    <s v="Sundresses"/>
    <n v="3"/>
    <n v="45.1"/>
    <n v="135.30000000000001"/>
    <x v="11"/>
    <d v="2025-01-13T00:00:00"/>
    <x v="1"/>
    <x v="4"/>
    <n v="3"/>
    <s v="California"/>
    <s v="Los Angeles County"/>
    <n v="1"/>
    <x v="2"/>
    <s v="Male"/>
  </r>
  <r>
    <s v="TX500258"/>
    <s v="Crop Tops"/>
    <n v="5"/>
    <n v="22.7"/>
    <n v="113.5"/>
    <x v="11"/>
    <d v="2025-01-17T00:00:00"/>
    <x v="1"/>
    <x v="0"/>
    <n v="5"/>
    <s v="California"/>
    <s v="Plumas County"/>
    <n v="5"/>
    <x v="2"/>
    <s v="Male"/>
  </r>
  <r>
    <s v="TX500259"/>
    <s v="T-Shirts"/>
    <n v="1"/>
    <n v="17.600000000000001"/>
    <n v="17.600000000000001"/>
    <x v="11"/>
    <d v="2025-01-13T00:00:00"/>
    <x v="2"/>
    <x v="0"/>
    <n v="5"/>
    <s v="California"/>
    <s v="Riverside County"/>
    <n v="1"/>
    <x v="2"/>
    <s v="Female"/>
  </r>
  <r>
    <s v="TX500260"/>
    <s v="Baseball Caps"/>
    <n v="2"/>
    <n v="11.3"/>
    <n v="22.6"/>
    <x v="11"/>
    <d v="2025-01-15T00:00:00"/>
    <x v="2"/>
    <x v="3"/>
    <n v="5"/>
    <s v="California"/>
    <s v="Riverside County"/>
    <n v="3"/>
    <x v="2"/>
    <s v="Female"/>
  </r>
  <r>
    <s v="TX500261"/>
    <s v="Jeans"/>
    <n v="3"/>
    <n v="53.4"/>
    <n v="160.19999999999999"/>
    <x v="11"/>
    <d v="2025-01-15T00:00:00"/>
    <x v="1"/>
    <x v="3"/>
    <n v="5"/>
    <s v="California"/>
    <s v="San Benito County"/>
    <n v="3"/>
    <x v="2"/>
    <s v="Male"/>
  </r>
  <r>
    <s v="TX500262"/>
    <s v="Jeans"/>
    <n v="11"/>
    <n v="51.1"/>
    <n v="562.1"/>
    <x v="11"/>
    <d v="2025-01-14T00:00:00"/>
    <x v="2"/>
    <x v="2"/>
    <n v="5"/>
    <s v="California"/>
    <s v="San Diego County"/>
    <n v="2"/>
    <x v="2"/>
    <s v="Female"/>
  </r>
  <r>
    <s v="TX500263"/>
    <s v="T-Shirts"/>
    <n v="2"/>
    <n v="27.5"/>
    <n v="55"/>
    <x v="11"/>
    <d v="2025-01-13T00:00:00"/>
    <x v="1"/>
    <x v="4"/>
    <n v="3"/>
    <s v="California"/>
    <s v="San Diego County"/>
    <n v="1"/>
    <x v="2"/>
    <s v="Male"/>
  </r>
  <r>
    <s v="TX500264"/>
    <s v="Sundresses"/>
    <n v="1"/>
    <n v="33.5"/>
    <n v="33.5"/>
    <x v="11"/>
    <d v="2025-01-14T00:00:00"/>
    <x v="2"/>
    <x v="0"/>
    <n v="2"/>
    <s v="California"/>
    <s v="San Diego County"/>
    <n v="2"/>
    <x v="2"/>
    <s v="Female"/>
  </r>
  <r>
    <s v="TX500265"/>
    <s v="Graphic Tees"/>
    <n v="1"/>
    <n v="59.5"/>
    <n v="59.5"/>
    <x v="11"/>
    <d v="2025-01-12T00:00:00"/>
    <x v="1"/>
    <x v="0"/>
    <n v="5"/>
    <s v="California"/>
    <s v="Sonoma County"/>
    <n v="0"/>
    <x v="2"/>
    <s v="Male"/>
  </r>
  <r>
    <s v="TX500266"/>
    <s v="Pajama Sets"/>
    <n v="4"/>
    <n v="23.5"/>
    <n v="94"/>
    <x v="11"/>
    <d v="2025-01-13T00:00:00"/>
    <x v="2"/>
    <x v="3"/>
    <n v="1"/>
    <s v="California"/>
    <s v="Stanislaus County"/>
    <n v="1"/>
    <x v="2"/>
    <s v="Female"/>
  </r>
  <r>
    <s v="TX500267"/>
    <s v="Jeans"/>
    <n v="1"/>
    <n v="49.7"/>
    <n v="49.7"/>
    <x v="11"/>
    <d v="2025-01-13T00:00:00"/>
    <x v="0"/>
    <x v="1"/>
    <n v="5"/>
    <s v="California"/>
    <s v="Tulare County"/>
    <n v="1"/>
    <x v="2"/>
    <s v="Unknown"/>
  </r>
  <r>
    <s v="TX500268"/>
    <s v="Jeans"/>
    <n v="4"/>
    <n v="44.2"/>
    <n v="176.8"/>
    <x v="11"/>
    <d v="2025-01-15T00:00:00"/>
    <x v="2"/>
    <x v="0"/>
    <n v="5"/>
    <s v="California"/>
    <s v="Alameda County"/>
    <n v="3"/>
    <x v="2"/>
    <s v="Female"/>
  </r>
  <r>
    <s v="TX500269"/>
    <s v="T-Shirts"/>
    <n v="1"/>
    <n v="22.1"/>
    <n v="22.1"/>
    <x v="11"/>
    <d v="2025-01-16T00:00:00"/>
    <x v="2"/>
    <x v="1"/>
    <n v="3"/>
    <s v="California"/>
    <s v="Imperial County"/>
    <n v="4"/>
    <x v="2"/>
    <s v="Female"/>
  </r>
  <r>
    <s v="TX500270"/>
    <s v="Jeans"/>
    <n v="3"/>
    <n v="90.9"/>
    <n v="272.70000000000005"/>
    <x v="11"/>
    <d v="2025-01-13T00:00:00"/>
    <x v="2"/>
    <x v="2"/>
    <n v="2"/>
    <s v="California"/>
    <s v="Los Angeles County"/>
    <n v="1"/>
    <x v="2"/>
    <s v="Female"/>
  </r>
  <r>
    <s v="TX500271"/>
    <s v="T-Shirts"/>
    <n v="3"/>
    <n v="44.5"/>
    <n v="133.5"/>
    <x v="11"/>
    <d v="2025-01-13T00:00:00"/>
    <x v="2"/>
    <x v="1"/>
    <n v="4"/>
    <s v="California"/>
    <s v="Los Angeles County"/>
    <n v="1"/>
    <x v="2"/>
    <s v="Female"/>
  </r>
  <r>
    <s v="TX500272"/>
    <s v="Sundresses"/>
    <n v="6"/>
    <n v="32.299999999999997"/>
    <n v="193.79999999999998"/>
    <x v="11"/>
    <d v="2025-01-16T00:00:00"/>
    <x v="2"/>
    <x v="0"/>
    <n v="4"/>
    <s v="California"/>
    <s v="Los Angeles County"/>
    <n v="4"/>
    <x v="2"/>
    <s v="Female"/>
  </r>
  <r>
    <s v="TX500273"/>
    <s v="Pajama Sets"/>
    <n v="3"/>
    <n v="87.5"/>
    <n v="262.5"/>
    <x v="11"/>
    <d v="2025-01-13T00:00:00"/>
    <x v="2"/>
    <x v="1"/>
    <n v="3"/>
    <s v="California"/>
    <s v="Los Angeles County"/>
    <n v="1"/>
    <x v="2"/>
    <s v="Female"/>
  </r>
  <r>
    <s v="TX500274"/>
    <s v="Sunglasses"/>
    <n v="5"/>
    <n v="48.7"/>
    <n v="243.5"/>
    <x v="11"/>
    <d v="2025-01-13T00:00:00"/>
    <x v="1"/>
    <x v="2"/>
    <n v="4"/>
    <s v="California"/>
    <s v="Los Angeles County"/>
    <n v="1"/>
    <x v="2"/>
    <s v="Male"/>
  </r>
  <r>
    <s v="TX500275"/>
    <s v="Shorts"/>
    <n v="5"/>
    <n v="22.5"/>
    <n v="112.5"/>
    <x v="11"/>
    <d v="2025-01-13T00:00:00"/>
    <x v="1"/>
    <x v="0"/>
    <n v="4"/>
    <s v="California"/>
    <s v="Los Angeles County"/>
    <n v="1"/>
    <x v="2"/>
    <s v="Male"/>
  </r>
  <r>
    <s v="TX500276"/>
    <s v="Tank Tops"/>
    <n v="8"/>
    <n v="65.900000000000006"/>
    <n v="527.20000000000005"/>
    <x v="11"/>
    <d v="2025-01-15T00:00:00"/>
    <x v="2"/>
    <x v="1"/>
    <n v="5"/>
    <s v="California"/>
    <s v="Los Angeles County"/>
    <n v="3"/>
    <x v="2"/>
    <s v="Female"/>
  </r>
  <r>
    <s v="TX500277"/>
    <s v="Jeans"/>
    <n v="5"/>
    <n v="41.9"/>
    <n v="209.5"/>
    <x v="11"/>
    <d v="2025-01-19T00:00:00"/>
    <x v="0"/>
    <x v="0"/>
    <n v="4"/>
    <s v="California"/>
    <s v="Los Angeles County"/>
    <n v="7"/>
    <x v="2"/>
    <s v="Unknown"/>
  </r>
  <r>
    <s v="TX500278"/>
    <s v="Tank Tops"/>
    <n v="5"/>
    <n v="67.5"/>
    <n v="337.5"/>
    <x v="11"/>
    <d v="2025-01-13T00:00:00"/>
    <x v="2"/>
    <x v="0"/>
    <n v="5"/>
    <s v="California"/>
    <s v="Los Angeles County"/>
    <n v="1"/>
    <x v="2"/>
    <s v="Female"/>
  </r>
  <r>
    <s v="TX500279"/>
    <s v="Sundresses"/>
    <n v="1"/>
    <n v="60.4"/>
    <n v="60.4"/>
    <x v="12"/>
    <d v="2025-01-15T00:00:00"/>
    <x v="2"/>
    <x v="1"/>
    <n v="3"/>
    <s v="California"/>
    <s v="Los Angeles County"/>
    <n v="2"/>
    <x v="2"/>
    <s v="Female"/>
  </r>
  <r>
    <s v="TX500280"/>
    <s v="Tank Tops"/>
    <n v="7"/>
    <n v="30.4"/>
    <n v="212.79999999999998"/>
    <x v="12"/>
    <d v="2025-01-16T00:00:00"/>
    <x v="2"/>
    <x v="4"/>
    <n v="4"/>
    <s v="California"/>
    <s v="Los Angeles County"/>
    <n v="3"/>
    <x v="2"/>
    <s v="Female"/>
  </r>
  <r>
    <s v="TX500281"/>
    <s v="Baseball Caps"/>
    <n v="2"/>
    <n v="24.5"/>
    <n v="49"/>
    <x v="12"/>
    <d v="2025-01-14T00:00:00"/>
    <x v="1"/>
    <x v="3"/>
    <n v="5"/>
    <s v="California"/>
    <s v="Los Angeles County"/>
    <n v="1"/>
    <x v="2"/>
    <s v="Male"/>
  </r>
  <r>
    <s v="TX500282"/>
    <s v="Sneakers"/>
    <n v="3"/>
    <n v="105.9"/>
    <n v="317.70000000000005"/>
    <x v="12"/>
    <d v="2025-01-18T00:00:00"/>
    <x v="1"/>
    <x v="0"/>
    <n v="4"/>
    <s v="California"/>
    <s v="Madera County"/>
    <n v="5"/>
    <x v="2"/>
    <s v="Male"/>
  </r>
  <r>
    <s v="TX500283"/>
    <s v="Bikinis"/>
    <n v="24"/>
    <n v="25.9"/>
    <n v="621.59999999999991"/>
    <x v="12"/>
    <d v="2025-01-14T00:00:00"/>
    <x v="2"/>
    <x v="4"/>
    <n v="4"/>
    <s v="California"/>
    <s v="Riverside County"/>
    <n v="1"/>
    <x v="2"/>
    <s v="Female"/>
  </r>
  <r>
    <s v="TX500284"/>
    <s v="Jeans"/>
    <n v="3"/>
    <n v="66.8"/>
    <n v="200.39999999999998"/>
    <x v="12"/>
    <d v="2025-01-13T00:00:00"/>
    <x v="1"/>
    <x v="0"/>
    <n v="4"/>
    <s v="California"/>
    <s v="Riverside County"/>
    <n v="0"/>
    <x v="2"/>
    <s v="Male"/>
  </r>
  <r>
    <s v="TX500285"/>
    <s v="Jeans"/>
    <n v="3"/>
    <n v="112.3"/>
    <n v="336.9"/>
    <x v="12"/>
    <d v="2025-01-14T00:00:00"/>
    <x v="1"/>
    <x v="2"/>
    <n v="2"/>
    <s v="California"/>
    <s v="Sacramento County"/>
    <n v="1"/>
    <x v="2"/>
    <s v="Male"/>
  </r>
  <r>
    <s v="TX500286"/>
    <s v="Tank Tops"/>
    <n v="6"/>
    <n v="94.1"/>
    <n v="564.59999999999991"/>
    <x v="12"/>
    <d v="2025-01-14T00:00:00"/>
    <x v="2"/>
    <x v="0"/>
    <n v="2"/>
    <s v="California"/>
    <s v="Sacramento County"/>
    <n v="1"/>
    <x v="2"/>
    <s v="Female"/>
  </r>
  <r>
    <s v="TX500287"/>
    <s v="Sandals"/>
    <n v="1"/>
    <n v="40.700000000000003"/>
    <n v="40.700000000000003"/>
    <x v="12"/>
    <d v="2025-01-16T00:00:00"/>
    <x v="2"/>
    <x v="2"/>
    <n v="4"/>
    <s v="California"/>
    <s v="Sacramento County"/>
    <n v="3"/>
    <x v="2"/>
    <s v="Female"/>
  </r>
  <r>
    <s v="TX500288"/>
    <s v="Workout Tops"/>
    <n v="2"/>
    <n v="71.400000000000006"/>
    <n v="142.80000000000001"/>
    <x v="12"/>
    <d v="2025-01-14T00:00:00"/>
    <x v="1"/>
    <x v="0"/>
    <n v="4"/>
    <s v="California"/>
    <s v="San Bernardino County"/>
    <n v="1"/>
    <x v="2"/>
    <s v="Male"/>
  </r>
  <r>
    <s v="TX500289"/>
    <s v="Shorts"/>
    <n v="18"/>
    <n v="15.6"/>
    <n v="280.8"/>
    <x v="12"/>
    <d v="2025-01-14T00:00:00"/>
    <x v="1"/>
    <x v="1"/>
    <n v="1"/>
    <s v="California"/>
    <s v="San Diego County"/>
    <n v="1"/>
    <x v="2"/>
    <s v="Male"/>
  </r>
  <r>
    <s v="TX500290"/>
    <s v="Bikinis"/>
    <n v="4"/>
    <n v="37.799999999999997"/>
    <n v="151.19999999999999"/>
    <x v="12"/>
    <d v="2025-01-14T00:00:00"/>
    <x v="1"/>
    <x v="2"/>
    <n v="5"/>
    <s v="California"/>
    <s v="San Diego County"/>
    <n v="1"/>
    <x v="2"/>
    <s v="Male"/>
  </r>
  <r>
    <s v="TX500291"/>
    <s v="Graphic Tees"/>
    <n v="3"/>
    <n v="28.1"/>
    <n v="84.300000000000011"/>
    <x v="12"/>
    <d v="2025-01-17T00:00:00"/>
    <x v="1"/>
    <x v="0"/>
    <n v="4"/>
    <s v="California"/>
    <s v="San Diego County"/>
    <n v="4"/>
    <x v="2"/>
    <s v="Male"/>
  </r>
  <r>
    <s v="TX500292"/>
    <s v="Hoodies &amp; Sweatshirts"/>
    <n v="6"/>
    <n v="51.4"/>
    <n v="308.39999999999998"/>
    <x v="12"/>
    <d v="2025-01-17T00:00:00"/>
    <x v="1"/>
    <x v="0"/>
    <n v="4"/>
    <s v="California"/>
    <s v="San Diego County"/>
    <n v="4"/>
    <x v="2"/>
    <s v="Male"/>
  </r>
  <r>
    <s v="TX500293"/>
    <s v="Hoodies &amp; Sweatshirts"/>
    <n v="2"/>
    <n v="97.7"/>
    <n v="195.4"/>
    <x v="12"/>
    <d v="2025-01-15T00:00:00"/>
    <x v="2"/>
    <x v="4"/>
    <n v="5"/>
    <s v="California"/>
    <s v="San Francisco"/>
    <n v="2"/>
    <x v="2"/>
    <s v="Female"/>
  </r>
  <r>
    <s v="TX500294"/>
    <s v="Tank Tops"/>
    <n v="4"/>
    <n v="63.8"/>
    <n v="255.2"/>
    <x v="12"/>
    <d v="2025-01-14T00:00:00"/>
    <x v="1"/>
    <x v="2"/>
    <n v="4"/>
    <s v="California"/>
    <s v="Solano County"/>
    <n v="1"/>
    <x v="2"/>
    <s v="Male"/>
  </r>
  <r>
    <s v="TX500295"/>
    <s v="Tote Bags"/>
    <n v="2"/>
    <n v="20.100000000000001"/>
    <n v="40.200000000000003"/>
    <x v="12"/>
    <d v="2025-01-15T00:00:00"/>
    <x v="1"/>
    <x v="0"/>
    <n v="5"/>
    <s v="California"/>
    <s v="Tulare County"/>
    <n v="2"/>
    <x v="2"/>
    <s v="Male"/>
  </r>
  <r>
    <s v="TX500296"/>
    <s v="Maxi Dresses"/>
    <n v="3"/>
    <n v="50.4"/>
    <n v="151.19999999999999"/>
    <x v="12"/>
    <d v="2025-01-16T00:00:00"/>
    <x v="2"/>
    <x v="3"/>
    <n v="4"/>
    <s v="California"/>
    <s v="Ventura County"/>
    <n v="3"/>
    <x v="2"/>
    <s v="Female"/>
  </r>
  <r>
    <s v="TX500297"/>
    <s v="Shorts"/>
    <n v="1"/>
    <n v="16.2"/>
    <n v="16.2"/>
    <x v="12"/>
    <d v="2025-01-26T00:00:00"/>
    <x v="2"/>
    <x v="1"/>
    <n v="4"/>
    <s v="California"/>
    <s v="Contra Costa County"/>
    <n v="13"/>
    <x v="2"/>
    <s v="Female"/>
  </r>
  <r>
    <s v="TX500298"/>
    <s v="Jeans"/>
    <n v="7"/>
    <n v="80.900000000000006"/>
    <n v="566.30000000000007"/>
    <x v="12"/>
    <d v="2025-01-15T00:00:00"/>
    <x v="1"/>
    <x v="4"/>
    <n v="2"/>
    <s v="California"/>
    <s v="Fresno County"/>
    <n v="2"/>
    <x v="2"/>
    <s v="Male"/>
  </r>
  <r>
    <s v="TX500299"/>
    <s v="Sundresses"/>
    <n v="6"/>
    <n v="95.2"/>
    <n v="571.20000000000005"/>
    <x v="12"/>
    <d v="2025-01-15T00:00:00"/>
    <x v="2"/>
    <x v="0"/>
    <n v="5"/>
    <s v="California"/>
    <s v="Fresno County"/>
    <n v="2"/>
    <x v="2"/>
    <s v="Female"/>
  </r>
  <r>
    <s v="TX500300"/>
    <s v="Sandals"/>
    <n v="8"/>
    <n v="70.400000000000006"/>
    <n v="563.20000000000005"/>
    <x v="12"/>
    <d v="2025-01-14T00:00:00"/>
    <x v="1"/>
    <x v="1"/>
    <n v="3"/>
    <s v="California"/>
    <s v="Los Angeles County"/>
    <n v="1"/>
    <x v="2"/>
    <s v="Male"/>
  </r>
  <r>
    <s v="TX500301"/>
    <s v="Shorts"/>
    <n v="5"/>
    <n v="10.7"/>
    <n v="53.5"/>
    <x v="12"/>
    <d v="2025-01-17T00:00:00"/>
    <x v="2"/>
    <x v="2"/>
    <n v="4"/>
    <s v="California"/>
    <s v="Los Angeles County"/>
    <n v="4"/>
    <x v="2"/>
    <s v="Female"/>
  </r>
  <r>
    <s v="TX500302"/>
    <s v="T-Shirts"/>
    <n v="5"/>
    <n v="19.600000000000001"/>
    <n v="98"/>
    <x v="12"/>
    <d v="2025-01-15T00:00:00"/>
    <x v="2"/>
    <x v="0"/>
    <n v="1"/>
    <s v="California"/>
    <s v="Los Angeles County"/>
    <n v="2"/>
    <x v="2"/>
    <s v="Female"/>
  </r>
  <r>
    <s v="TX500303"/>
    <s v="T-Shirts"/>
    <n v="11"/>
    <n v="34.700000000000003"/>
    <n v="381.70000000000005"/>
    <x v="12"/>
    <d v="2025-01-15T00:00:00"/>
    <x v="2"/>
    <x v="0"/>
    <n v="5"/>
    <s v="California"/>
    <s v="Los Angeles County"/>
    <n v="2"/>
    <x v="2"/>
    <s v="Female"/>
  </r>
  <r>
    <s v="TX500304"/>
    <s v="Bikinis"/>
    <n v="9"/>
    <n v="34.1"/>
    <n v="306.90000000000003"/>
    <x v="12"/>
    <d v="2025-01-14T00:00:00"/>
    <x v="2"/>
    <x v="4"/>
    <n v="3"/>
    <s v="California"/>
    <s v="Los Angeles County"/>
    <n v="1"/>
    <x v="2"/>
    <s v="Female"/>
  </r>
  <r>
    <s v="TX500305"/>
    <s v="Shorts"/>
    <n v="49"/>
    <n v="29.3"/>
    <n v="1435.7"/>
    <x v="12"/>
    <d v="2025-01-13T00:00:00"/>
    <x v="1"/>
    <x v="0"/>
    <n v="3"/>
    <s v="California"/>
    <s v="Los Angeles County"/>
    <n v="0"/>
    <x v="2"/>
    <s v="Male"/>
  </r>
  <r>
    <s v="TX500306"/>
    <s v="Tank Tops"/>
    <n v="1"/>
    <n v="55.2"/>
    <n v="55.2"/>
    <x v="12"/>
    <d v="2025-01-14T00:00:00"/>
    <x v="2"/>
    <x v="0"/>
    <n v="3"/>
    <s v="California"/>
    <s v="Los Angeles County"/>
    <n v="1"/>
    <x v="2"/>
    <s v="Female"/>
  </r>
  <r>
    <s v="TX500307"/>
    <s v="Leggings"/>
    <n v="3"/>
    <n v="26"/>
    <n v="78"/>
    <x v="12"/>
    <d v="2025-01-16T00:00:00"/>
    <x v="2"/>
    <x v="0"/>
    <n v="5"/>
    <s v="California"/>
    <s v="Los Angeles County"/>
    <n v="3"/>
    <x v="2"/>
    <s v="Female"/>
  </r>
  <r>
    <s v="TX500308"/>
    <s v="Baseball Caps"/>
    <n v="2"/>
    <n v="14.2"/>
    <n v="28.4"/>
    <x v="12"/>
    <d v="2025-01-18T00:00:00"/>
    <x v="2"/>
    <x v="3"/>
    <n v="4"/>
    <s v="California"/>
    <s v="Modoc County"/>
    <n v="5"/>
    <x v="2"/>
    <s v="Female"/>
  </r>
  <r>
    <s v="TX500309"/>
    <s v="T-Shirts"/>
    <n v="9"/>
    <n v="22.7"/>
    <n v="204.29999999999998"/>
    <x v="13"/>
    <d v="2025-01-15T00:00:00"/>
    <x v="1"/>
    <x v="1"/>
    <n v="4"/>
    <s v="California"/>
    <s v="Sacramento County"/>
    <n v="1"/>
    <x v="2"/>
    <s v="Male"/>
  </r>
  <r>
    <s v="TX500310"/>
    <s v="Shorts"/>
    <n v="15"/>
    <n v="19.8"/>
    <n v="297"/>
    <x v="13"/>
    <d v="2025-01-14T00:00:00"/>
    <x v="2"/>
    <x v="0"/>
    <n v="5"/>
    <s v="California"/>
    <s v="Sacramento County"/>
    <n v="0"/>
    <x v="2"/>
    <s v="Female"/>
  </r>
  <r>
    <s v="TX500311"/>
    <s v="Shorts"/>
    <n v="3"/>
    <n v="31.7"/>
    <n v="95.1"/>
    <x v="13"/>
    <d v="2025-01-15T00:00:00"/>
    <x v="1"/>
    <x v="2"/>
    <n v="4"/>
    <s v="California"/>
    <s v="Sacramento County"/>
    <n v="1"/>
    <x v="2"/>
    <s v="Male"/>
  </r>
  <r>
    <s v="TX500312"/>
    <s v="T-Shirts"/>
    <n v="4"/>
    <n v="30.4"/>
    <n v="121.6"/>
    <x v="13"/>
    <d v="2025-01-18T00:00:00"/>
    <x v="1"/>
    <x v="0"/>
    <n v="4"/>
    <s v="California"/>
    <s v="Sacramento County"/>
    <n v="4"/>
    <x v="2"/>
    <s v="Male"/>
  </r>
  <r>
    <s v="TX500313"/>
    <s v="Shorts"/>
    <n v="4"/>
    <n v="25.6"/>
    <n v="102.4"/>
    <x v="13"/>
    <d v="2025-01-15T00:00:00"/>
    <x v="1"/>
    <x v="3"/>
    <n v="4"/>
    <s v="California"/>
    <s v="San Diego County"/>
    <n v="1"/>
    <x v="2"/>
    <s v="Male"/>
  </r>
  <r>
    <s v="TX500314"/>
    <s v="Sandals"/>
    <n v="2"/>
    <n v="34.9"/>
    <n v="69.8"/>
    <x v="13"/>
    <d v="2025-01-15T00:00:00"/>
    <x v="2"/>
    <x v="2"/>
    <n v="4"/>
    <s v="California"/>
    <s v="San Mateo County"/>
    <n v="1"/>
    <x v="2"/>
    <s v="Female"/>
  </r>
  <r>
    <s v="TX500315"/>
    <s v="Hoodies &amp; Sweatshirts"/>
    <n v="6"/>
    <n v="42.7"/>
    <n v="256.20000000000005"/>
    <x v="13"/>
    <d v="2025-01-17T00:00:00"/>
    <x v="1"/>
    <x v="2"/>
    <n v="3"/>
    <s v="California"/>
    <s v="Santa Clara County"/>
    <n v="3"/>
    <x v="2"/>
    <s v="Male"/>
  </r>
  <r>
    <s v="TX500316"/>
    <s v="T-Shirts"/>
    <n v="1"/>
    <n v="23.9"/>
    <n v="23.9"/>
    <x v="13"/>
    <d v="2025-01-16T00:00:00"/>
    <x v="2"/>
    <x v="3"/>
    <n v="4"/>
    <s v="California"/>
    <s v="Santa Clara County"/>
    <n v="2"/>
    <x v="2"/>
    <s v="Female"/>
  </r>
  <r>
    <s v="TX500317"/>
    <s v="Jeans"/>
    <n v="1"/>
    <n v="124.3"/>
    <n v="124.3"/>
    <x v="13"/>
    <d v="2025-01-15T00:00:00"/>
    <x v="0"/>
    <x v="2"/>
    <n v="3"/>
    <s v="California"/>
    <s v="Alameda County"/>
    <n v="1"/>
    <x v="2"/>
    <s v="Unknown"/>
  </r>
  <r>
    <s v="TX500318"/>
    <s v="T-Shirts"/>
    <n v="6"/>
    <n v="35.9"/>
    <n v="215.39999999999998"/>
    <x v="13"/>
    <d v="2025-01-15T00:00:00"/>
    <x v="2"/>
    <x v="0"/>
    <n v="3"/>
    <s v="California"/>
    <s v="Contra Costa County"/>
    <n v="1"/>
    <x v="2"/>
    <s v="Female"/>
  </r>
  <r>
    <s v="TX500319"/>
    <s v="Sneakers"/>
    <n v="2"/>
    <n v="69.099999999999994"/>
    <n v="138.19999999999999"/>
    <x v="13"/>
    <d v="2025-01-17T00:00:00"/>
    <x v="2"/>
    <x v="0"/>
    <n v="5"/>
    <s v="California"/>
    <s v="Kern County"/>
    <n v="3"/>
    <x v="2"/>
    <s v="Female"/>
  </r>
  <r>
    <s v="TX500320"/>
    <s v="Hoodies &amp; Sweatshirts"/>
    <n v="1"/>
    <n v="58.4"/>
    <n v="58.4"/>
    <x v="13"/>
    <d v="2025-01-18T00:00:00"/>
    <x v="1"/>
    <x v="0"/>
    <n v="4"/>
    <s v="California"/>
    <s v="Kern County"/>
    <n v="4"/>
    <x v="2"/>
    <s v="Male"/>
  </r>
  <r>
    <s v="TX500321"/>
    <s v="Sandals"/>
    <n v="1"/>
    <n v="65.2"/>
    <n v="65.2"/>
    <x v="13"/>
    <d v="2025-01-16T00:00:00"/>
    <x v="3"/>
    <x v="4"/>
    <n v="2"/>
    <s v="California"/>
    <s v="Los Angeles County"/>
    <n v="2"/>
    <x v="2"/>
    <s v="Other"/>
  </r>
  <r>
    <s v="TX500322"/>
    <s v="T-Shirts"/>
    <n v="17"/>
    <n v="32.700000000000003"/>
    <n v="555.90000000000009"/>
    <x v="13"/>
    <d v="2025-01-21T00:00:00"/>
    <x v="0"/>
    <x v="4"/>
    <n v="4"/>
    <s v="California"/>
    <s v="Los Angeles County"/>
    <n v="7"/>
    <x v="2"/>
    <s v="Unknown"/>
  </r>
  <r>
    <s v="TX500323"/>
    <s v="Bikinis"/>
    <n v="7"/>
    <n v="24.4"/>
    <n v="170.79999999999998"/>
    <x v="13"/>
    <d v="2025-01-15T00:00:00"/>
    <x v="2"/>
    <x v="0"/>
    <n v="4"/>
    <s v="California"/>
    <s v="Los Angeles County"/>
    <n v="1"/>
    <x v="2"/>
    <s v="Female"/>
  </r>
  <r>
    <s v="TX500324"/>
    <s v="Baseball Caps"/>
    <n v="2"/>
    <n v="50.4"/>
    <n v="100.8"/>
    <x v="13"/>
    <d v="2025-01-20T00:00:00"/>
    <x v="1"/>
    <x v="0"/>
    <n v="3"/>
    <s v="California"/>
    <s v="Los Angeles County"/>
    <n v="6"/>
    <x v="2"/>
    <s v="Male"/>
  </r>
  <r>
    <s v="TX500325"/>
    <s v="Tank Tops"/>
    <n v="2"/>
    <n v="100"/>
    <n v="200"/>
    <x v="13"/>
    <d v="2025-01-15T00:00:00"/>
    <x v="2"/>
    <x v="0"/>
    <n v="4"/>
    <s v="California"/>
    <s v="Los Angeles County"/>
    <n v="1"/>
    <x v="2"/>
    <s v="Female"/>
  </r>
  <r>
    <s v="TX500326"/>
    <s v="Bikinis"/>
    <n v="3"/>
    <n v="43"/>
    <n v="129"/>
    <x v="14"/>
    <d v="2025-01-15T00:00:00"/>
    <x v="2"/>
    <x v="2"/>
    <n v="3"/>
    <s v="California"/>
    <s v="Los Angeles County"/>
    <n v="0"/>
    <x v="2"/>
    <s v="Female"/>
  </r>
  <r>
    <s v="TX500327"/>
    <s v="Tank Tops"/>
    <n v="5"/>
    <n v="64.400000000000006"/>
    <n v="322"/>
    <x v="14"/>
    <d v="2025-01-17T00:00:00"/>
    <x v="1"/>
    <x v="2"/>
    <n v="3"/>
    <s v="California"/>
    <s v="Los Angeles County"/>
    <n v="2"/>
    <x v="2"/>
    <s v="Male"/>
  </r>
  <r>
    <s v="TX500328"/>
    <s v="Leggings"/>
    <n v="2"/>
    <n v="57.4"/>
    <n v="114.8"/>
    <x v="14"/>
    <d v="2025-01-16T00:00:00"/>
    <x v="1"/>
    <x v="2"/>
    <n v="3"/>
    <s v="California"/>
    <s v="Los Angeles County"/>
    <n v="1"/>
    <x v="2"/>
    <s v="Male"/>
  </r>
  <r>
    <s v="TX500329"/>
    <s v="Sneakers"/>
    <n v="3"/>
    <n v="55.1"/>
    <n v="165.3"/>
    <x v="14"/>
    <d v="2025-01-18T00:00:00"/>
    <x v="2"/>
    <x v="1"/>
    <n v="4"/>
    <s v="California"/>
    <s v="Los Angeles County"/>
    <n v="3"/>
    <x v="2"/>
    <s v="Female"/>
  </r>
  <r>
    <s v="TX500330"/>
    <s v="Hoodies &amp; Sweatshirts"/>
    <n v="4"/>
    <n v="45.4"/>
    <n v="181.6"/>
    <x v="14"/>
    <d v="2025-01-16T00:00:00"/>
    <x v="2"/>
    <x v="1"/>
    <n v="4"/>
    <s v="California"/>
    <s v="Los Angeles County"/>
    <n v="1"/>
    <x v="2"/>
    <s v="Female"/>
  </r>
  <r>
    <s v="TX500331"/>
    <s v="Workout Tops"/>
    <n v="3"/>
    <n v="93.3"/>
    <n v="279.89999999999998"/>
    <x v="14"/>
    <d v="2025-01-16T00:00:00"/>
    <x v="2"/>
    <x v="0"/>
    <n v="4"/>
    <s v="California"/>
    <s v="Mariposa County"/>
    <n v="1"/>
    <x v="2"/>
    <s v="Female"/>
  </r>
  <r>
    <s v="TX500332"/>
    <s v="Sneakers"/>
    <n v="19"/>
    <n v="158.19999999999999"/>
    <n v="3005.7999999999997"/>
    <x v="14"/>
    <d v="2025-01-16T00:00:00"/>
    <x v="2"/>
    <x v="1"/>
    <n v="5"/>
    <s v="California"/>
    <s v="Napa County"/>
    <n v="1"/>
    <x v="2"/>
    <s v="Female"/>
  </r>
  <r>
    <s v="TX500333"/>
    <s v="Sneakers"/>
    <n v="2"/>
    <n v="74.900000000000006"/>
    <n v="149.80000000000001"/>
    <x v="14"/>
    <d v="2025-01-17T00:00:00"/>
    <x v="1"/>
    <x v="3"/>
    <n v="4"/>
    <s v="California"/>
    <s v="Sacramento County"/>
    <n v="2"/>
    <x v="2"/>
    <s v="Male"/>
  </r>
  <r>
    <s v="TX500334"/>
    <s v="T-Shirts"/>
    <n v="7"/>
    <n v="26"/>
    <n v="182"/>
    <x v="14"/>
    <d v="2025-01-18T00:00:00"/>
    <x v="2"/>
    <x v="1"/>
    <n v="4"/>
    <s v="California"/>
    <s v="San Diego County"/>
    <n v="3"/>
    <x v="2"/>
    <s v="Female"/>
  </r>
  <r>
    <s v="TX500335"/>
    <s v="Sundresses"/>
    <n v="6"/>
    <n v="37.5"/>
    <n v="225"/>
    <x v="14"/>
    <d v="2025-01-16T00:00:00"/>
    <x v="2"/>
    <x v="0"/>
    <n v="3"/>
    <s v="California"/>
    <s v="San Diego County"/>
    <n v="1"/>
    <x v="2"/>
    <s v="Female"/>
  </r>
  <r>
    <s v="TX500336"/>
    <s v="Jeans"/>
    <n v="2"/>
    <n v="75.8"/>
    <n v="151.6"/>
    <x v="14"/>
    <d v="2025-01-21T00:00:00"/>
    <x v="1"/>
    <x v="0"/>
    <n v="4"/>
    <s v="California"/>
    <s v="San Diego County"/>
    <n v="6"/>
    <x v="2"/>
    <s v="Male"/>
  </r>
  <r>
    <s v="TX500337"/>
    <s v="Hoodies &amp; Sweatshirts"/>
    <n v="1"/>
    <n v="48.5"/>
    <n v="48.5"/>
    <x v="14"/>
    <d v="2025-01-27T00:00:00"/>
    <x v="0"/>
    <x v="4"/>
    <n v="5"/>
    <s v="California"/>
    <s v="San Diego County"/>
    <n v="12"/>
    <x v="2"/>
    <s v="Unknown"/>
  </r>
  <r>
    <s v="TX500338"/>
    <s v="Jeans"/>
    <n v="3"/>
    <n v="98.9"/>
    <n v="296.70000000000005"/>
    <x v="14"/>
    <d v="2025-01-17T00:00:00"/>
    <x v="2"/>
    <x v="4"/>
    <n v="3"/>
    <s v="California"/>
    <s v="San Diego County"/>
    <n v="2"/>
    <x v="2"/>
    <s v="Female"/>
  </r>
  <r>
    <s v="TX500339"/>
    <s v="Tank Tops"/>
    <n v="12"/>
    <n v="50.9"/>
    <n v="610.79999999999995"/>
    <x v="14"/>
    <d v="2025-01-15T00:00:00"/>
    <x v="1"/>
    <x v="4"/>
    <n v="4"/>
    <s v="California"/>
    <s v="San Diego County"/>
    <n v="0"/>
    <x v="2"/>
    <s v="Male"/>
  </r>
  <r>
    <s v="TX500340"/>
    <s v="Casual Dresses"/>
    <n v="6"/>
    <n v="84.7"/>
    <n v="508.20000000000005"/>
    <x v="14"/>
    <d v="2025-01-15T00:00:00"/>
    <x v="2"/>
    <x v="2"/>
    <n v="4"/>
    <s v="California"/>
    <s v="San Diego County"/>
    <n v="0"/>
    <x v="2"/>
    <s v="Female"/>
  </r>
  <r>
    <s v="TX500341"/>
    <s v="T-Shirts"/>
    <n v="1"/>
    <n v="20.7"/>
    <n v="20.7"/>
    <x v="14"/>
    <d v="2025-01-17T00:00:00"/>
    <x v="2"/>
    <x v="3"/>
    <n v="5"/>
    <s v="California"/>
    <s v="San Diego County"/>
    <n v="2"/>
    <x v="2"/>
    <s v="Female"/>
  </r>
  <r>
    <s v="TX500342"/>
    <s v="Casual Dresses"/>
    <n v="9"/>
    <n v="57.8"/>
    <n v="520.19999999999993"/>
    <x v="14"/>
    <d v="2025-01-26T00:00:00"/>
    <x v="1"/>
    <x v="0"/>
    <n v="2"/>
    <s v="California"/>
    <s v="San Francisco"/>
    <n v="11"/>
    <x v="2"/>
    <s v="Male"/>
  </r>
  <r>
    <s v="TX500343"/>
    <s v="Sneakers"/>
    <n v="2"/>
    <n v="106.9"/>
    <n v="213.8"/>
    <x v="14"/>
    <d v="2025-01-17T00:00:00"/>
    <x v="2"/>
    <x v="0"/>
    <n v="5"/>
    <s v="California"/>
    <s v="San Luis Obispo County"/>
    <n v="2"/>
    <x v="2"/>
    <s v="Female"/>
  </r>
  <r>
    <s v="TX500344"/>
    <s v="Workout Tops"/>
    <n v="5"/>
    <n v="45.2"/>
    <n v="226"/>
    <x v="14"/>
    <d v="2025-01-19T00:00:00"/>
    <x v="2"/>
    <x v="1"/>
    <n v="4"/>
    <s v="California"/>
    <s v="Alameda County"/>
    <n v="4"/>
    <x v="2"/>
    <s v="Female"/>
  </r>
  <r>
    <s v="TX500345"/>
    <s v="T-Shirts"/>
    <n v="13"/>
    <n v="34.6"/>
    <n v="449.8"/>
    <x v="14"/>
    <d v="2025-01-15T00:00:00"/>
    <x v="2"/>
    <x v="1"/>
    <n v="3"/>
    <s v="California"/>
    <s v="Alameda County"/>
    <n v="0"/>
    <x v="2"/>
    <s v="Female"/>
  </r>
  <r>
    <s v="TX500346"/>
    <s v="Crop Tops"/>
    <n v="1"/>
    <n v="43.8"/>
    <n v="43.8"/>
    <x v="14"/>
    <d v="2025-01-17T00:00:00"/>
    <x v="0"/>
    <x v="0"/>
    <n v="5"/>
    <s v="California"/>
    <s v="Alameda County"/>
    <n v="2"/>
    <x v="2"/>
    <s v="Unknown"/>
  </r>
  <r>
    <s v="TX500347"/>
    <s v="Crop Tops"/>
    <n v="1"/>
    <n v="20.399999999999999"/>
    <n v="20.399999999999999"/>
    <x v="14"/>
    <d v="2025-01-17T00:00:00"/>
    <x v="1"/>
    <x v="4"/>
    <n v="3"/>
    <s v="California"/>
    <s v="Alameda County"/>
    <n v="2"/>
    <x v="2"/>
    <s v="Male"/>
  </r>
  <r>
    <s v="TX500348"/>
    <s v="Tank Tops"/>
    <n v="1"/>
    <n v="36.700000000000003"/>
    <n v="36.700000000000003"/>
    <x v="14"/>
    <d v="2025-01-16T00:00:00"/>
    <x v="1"/>
    <x v="0"/>
    <n v="3"/>
    <s v="California"/>
    <s v="Contra Costa County"/>
    <n v="1"/>
    <x v="2"/>
    <s v="Male"/>
  </r>
  <r>
    <s v="TX500349"/>
    <s v="T-Shirts"/>
    <n v="3"/>
    <n v="27.2"/>
    <n v="81.599999999999994"/>
    <x v="14"/>
    <d v="2025-01-19T00:00:00"/>
    <x v="1"/>
    <x v="0"/>
    <n v="5"/>
    <s v="California"/>
    <s v="Contra Costa County"/>
    <n v="4"/>
    <x v="2"/>
    <s v="Male"/>
  </r>
  <r>
    <s v="TX500350"/>
    <s v="Jeans"/>
    <n v="1"/>
    <n v="58.2"/>
    <n v="58.2"/>
    <x v="14"/>
    <d v="2025-01-16T00:00:00"/>
    <x v="2"/>
    <x v="0"/>
    <n v="5"/>
    <s v="California"/>
    <s v="El Dorado County"/>
    <n v="1"/>
    <x v="2"/>
    <s v="Female"/>
  </r>
  <r>
    <s v="TX500351"/>
    <s v="T-Shirts"/>
    <n v="3"/>
    <n v="25.6"/>
    <n v="76.800000000000011"/>
    <x v="14"/>
    <d v="2025-01-16T00:00:00"/>
    <x v="1"/>
    <x v="4"/>
    <n v="2"/>
    <s v="California"/>
    <s v="Fresno County"/>
    <n v="1"/>
    <x v="2"/>
    <s v="Male"/>
  </r>
  <r>
    <s v="TX500352"/>
    <s v="Bikinis"/>
    <n v="1"/>
    <n v="21.2"/>
    <n v="21.2"/>
    <x v="14"/>
    <d v="2025-01-15T00:00:00"/>
    <x v="2"/>
    <x v="1"/>
    <n v="5"/>
    <s v="California"/>
    <s v="Los Angeles County"/>
    <n v="0"/>
    <x v="2"/>
    <s v="Female"/>
  </r>
  <r>
    <s v="TX500353"/>
    <s v="Jeans"/>
    <n v="2"/>
    <n v="48.2"/>
    <n v="96.4"/>
    <x v="14"/>
    <d v="2025-01-23T00:00:00"/>
    <x v="2"/>
    <x v="0"/>
    <n v="5"/>
    <s v="California"/>
    <s v="Los Angeles County"/>
    <n v="8"/>
    <x v="2"/>
    <s v="Female"/>
  </r>
  <r>
    <s v="TX500354"/>
    <s v="Tank Tops"/>
    <n v="4"/>
    <n v="83.4"/>
    <n v="333.6"/>
    <x v="15"/>
    <d v="2025-01-17T00:00:00"/>
    <x v="1"/>
    <x v="0"/>
    <n v="4"/>
    <s v="California"/>
    <s v="Los Angeles County"/>
    <n v="1"/>
    <x v="2"/>
    <s v="Male"/>
  </r>
  <r>
    <s v="TX500355"/>
    <s v="Sundresses"/>
    <n v="3"/>
    <n v="45.3"/>
    <n v="135.89999999999998"/>
    <x v="15"/>
    <d v="2025-01-22T00:00:00"/>
    <x v="1"/>
    <x v="2"/>
    <n v="3"/>
    <s v="California"/>
    <s v="Los Angeles County"/>
    <n v="6"/>
    <x v="2"/>
    <s v="Male"/>
  </r>
  <r>
    <s v="TX500356"/>
    <s v="Pajama Sets"/>
    <n v="1"/>
    <n v="42"/>
    <n v="42"/>
    <x v="15"/>
    <d v="2025-01-17T00:00:00"/>
    <x v="0"/>
    <x v="0"/>
    <n v="4"/>
    <s v="California"/>
    <s v="Los Angeles County"/>
    <n v="1"/>
    <x v="2"/>
    <s v="Unknown"/>
  </r>
  <r>
    <s v="TX500357"/>
    <s v="Shorts"/>
    <n v="9"/>
    <n v="21.8"/>
    <n v="196.20000000000002"/>
    <x v="15"/>
    <d v="2025-01-18T00:00:00"/>
    <x v="2"/>
    <x v="1"/>
    <n v="4"/>
    <s v="California"/>
    <s v="Los Angeles County"/>
    <n v="2"/>
    <x v="2"/>
    <s v="Female"/>
  </r>
  <r>
    <s v="TX500358"/>
    <s v="T-Shirts"/>
    <n v="18"/>
    <n v="21.4"/>
    <n v="385.2"/>
    <x v="15"/>
    <d v="2025-01-19T00:00:00"/>
    <x v="2"/>
    <x v="1"/>
    <n v="5"/>
    <s v="California"/>
    <s v="Los Angeles County"/>
    <n v="3"/>
    <x v="2"/>
    <s v="Female"/>
  </r>
  <r>
    <s v="TX500359"/>
    <s v="Bikinis"/>
    <n v="3"/>
    <n v="45"/>
    <n v="135"/>
    <x v="15"/>
    <d v="2025-01-16T00:00:00"/>
    <x v="2"/>
    <x v="1"/>
    <n v="5"/>
    <s v="California"/>
    <s v="Los Angeles County"/>
    <n v="0"/>
    <x v="2"/>
    <s v="Female"/>
  </r>
  <r>
    <s v="TX500360"/>
    <s v="Baseball Caps"/>
    <n v="1"/>
    <n v="39.6"/>
    <n v="39.6"/>
    <x v="15"/>
    <d v="2025-01-17T00:00:00"/>
    <x v="1"/>
    <x v="0"/>
    <n v="5"/>
    <s v="California"/>
    <s v="Los Angeles County"/>
    <n v="1"/>
    <x v="2"/>
    <s v="Male"/>
  </r>
  <r>
    <s v="TX500361"/>
    <s v="Casual Dresses"/>
    <n v="3"/>
    <n v="79.8"/>
    <n v="239.39999999999998"/>
    <x v="15"/>
    <d v="2025-01-22T00:00:00"/>
    <x v="2"/>
    <x v="1"/>
    <n v="2"/>
    <s v="California"/>
    <s v="Los Angeles County"/>
    <n v="6"/>
    <x v="2"/>
    <s v="Female"/>
  </r>
  <r>
    <s v="TX500362"/>
    <s v="Tank Tops"/>
    <n v="4"/>
    <n v="63.6"/>
    <n v="254.4"/>
    <x v="15"/>
    <d v="2025-01-17T00:00:00"/>
    <x v="3"/>
    <x v="0"/>
    <n v="5"/>
    <s v="California"/>
    <s v="Merced County"/>
    <n v="1"/>
    <x v="2"/>
    <s v="Other"/>
  </r>
  <r>
    <s v="TX500363"/>
    <s v="Hoodies &amp; Sweatshirts"/>
    <n v="10"/>
    <n v="92.7"/>
    <n v="927"/>
    <x v="15"/>
    <d v="2025-01-20T00:00:00"/>
    <x v="1"/>
    <x v="1"/>
    <n v="5"/>
    <s v="California"/>
    <s v="Sacramento County"/>
    <n v="4"/>
    <x v="2"/>
    <s v="Male"/>
  </r>
  <r>
    <s v="TX500364"/>
    <s v="Tank Tops"/>
    <n v="4"/>
    <n v="48.4"/>
    <n v="193.6"/>
    <x v="15"/>
    <d v="2025-01-18T00:00:00"/>
    <x v="2"/>
    <x v="1"/>
    <n v="5"/>
    <s v="California"/>
    <s v="Sacramento County"/>
    <n v="2"/>
    <x v="2"/>
    <s v="Female"/>
  </r>
  <r>
    <s v="TX500365"/>
    <s v="Sundresses"/>
    <n v="8"/>
    <n v="36"/>
    <n v="288"/>
    <x v="15"/>
    <d v="2025-01-19T00:00:00"/>
    <x v="1"/>
    <x v="2"/>
    <n v="5"/>
    <s v="California"/>
    <s v="San Diego County"/>
    <n v="3"/>
    <x v="2"/>
    <s v="Male"/>
  </r>
  <r>
    <s v="TX500366"/>
    <s v="T-Shirts"/>
    <n v="12"/>
    <n v="27"/>
    <n v="324"/>
    <x v="15"/>
    <d v="2025-01-18T00:00:00"/>
    <x v="2"/>
    <x v="2"/>
    <n v="3"/>
    <s v="California"/>
    <s v="San Diego County"/>
    <n v="2"/>
    <x v="2"/>
    <s v="Female"/>
  </r>
  <r>
    <s v="TX500367"/>
    <s v="Sneakers"/>
    <n v="8"/>
    <n v="53.9"/>
    <n v="431.2"/>
    <x v="15"/>
    <d v="2025-01-17T00:00:00"/>
    <x v="0"/>
    <x v="0"/>
    <n v="4"/>
    <s v="California"/>
    <s v="San Diego County"/>
    <n v="1"/>
    <x v="2"/>
    <s v="Unknown"/>
  </r>
  <r>
    <s v="TX500368"/>
    <s v="Workout Tops"/>
    <n v="9"/>
    <n v="48.4"/>
    <n v="435.59999999999997"/>
    <x v="15"/>
    <d v="2025-01-17T00:00:00"/>
    <x v="2"/>
    <x v="1"/>
    <n v="4"/>
    <s v="California"/>
    <s v="San Mateo County"/>
    <n v="1"/>
    <x v="2"/>
    <s v="Female"/>
  </r>
  <r>
    <s v="TX500369"/>
    <s v="Pajama Sets"/>
    <n v="2"/>
    <n v="49.9"/>
    <n v="99.8"/>
    <x v="15"/>
    <d v="2025-01-21T00:00:00"/>
    <x v="1"/>
    <x v="4"/>
    <n v="2"/>
    <s v="California"/>
    <s v="Santa Barbara County"/>
    <n v="5"/>
    <x v="2"/>
    <s v="Male"/>
  </r>
  <r>
    <s v="TX500370"/>
    <s v="Tank Tops"/>
    <n v="3"/>
    <n v="51.7"/>
    <n v="155.10000000000002"/>
    <x v="15"/>
    <d v="2025-01-17T00:00:00"/>
    <x v="2"/>
    <x v="0"/>
    <n v="5"/>
    <s v="California"/>
    <s v="Santa Clara County"/>
    <n v="1"/>
    <x v="2"/>
    <s v="Female"/>
  </r>
  <r>
    <s v="TX500371"/>
    <s v="T-Shirts"/>
    <n v="3"/>
    <n v="41.8"/>
    <n v="125.39999999999999"/>
    <x v="15"/>
    <d v="2025-01-18T00:00:00"/>
    <x v="2"/>
    <x v="2"/>
    <n v="4"/>
    <s v="California"/>
    <s v="Sonoma County"/>
    <n v="2"/>
    <x v="2"/>
    <s v="Female"/>
  </r>
  <r>
    <s v="TX500372"/>
    <s v="Graphic Tees"/>
    <n v="4"/>
    <n v="36.200000000000003"/>
    <n v="144.80000000000001"/>
    <x v="16"/>
    <d v="2025-01-18T00:00:00"/>
    <x v="1"/>
    <x v="2"/>
    <n v="5"/>
    <s v="California"/>
    <s v="Alameda County"/>
    <n v="1"/>
    <x v="2"/>
    <s v="Male"/>
  </r>
  <r>
    <s v="TX500373"/>
    <s v="Sneakers"/>
    <n v="1"/>
    <n v="150.9"/>
    <n v="150.9"/>
    <x v="16"/>
    <d v="2025-01-27T00:00:00"/>
    <x v="1"/>
    <x v="0"/>
    <n v="4"/>
    <s v="California"/>
    <s v="Contra Costa County"/>
    <n v="10"/>
    <x v="2"/>
    <s v="Male"/>
  </r>
  <r>
    <s v="TX500374"/>
    <s v="Leggings"/>
    <n v="4"/>
    <n v="77.599999999999994"/>
    <n v="310.39999999999998"/>
    <x v="16"/>
    <d v="2025-01-18T00:00:00"/>
    <x v="0"/>
    <x v="2"/>
    <n v="4"/>
    <s v="California"/>
    <s v="Los Angeles County"/>
    <n v="1"/>
    <x v="2"/>
    <s v="Unknown"/>
  </r>
  <r>
    <s v="TX500375"/>
    <s v="Tote Bags"/>
    <n v="5"/>
    <n v="65.5"/>
    <n v="327.5"/>
    <x v="16"/>
    <d v="2025-01-17T00:00:00"/>
    <x v="1"/>
    <x v="1"/>
    <n v="4"/>
    <s v="California"/>
    <s v="Los Angeles County"/>
    <n v="0"/>
    <x v="2"/>
    <s v="Male"/>
  </r>
  <r>
    <s v="TX500376"/>
    <s v="Jeans"/>
    <n v="3"/>
    <n v="90.1"/>
    <n v="270.29999999999995"/>
    <x v="16"/>
    <d v="2025-01-19T00:00:00"/>
    <x v="2"/>
    <x v="0"/>
    <n v="4"/>
    <s v="California"/>
    <s v="Los Angeles County"/>
    <n v="2"/>
    <x v="2"/>
    <s v="Female"/>
  </r>
  <r>
    <s v="TX500377"/>
    <s v="Tank Tops"/>
    <n v="2"/>
    <n v="108.3"/>
    <n v="216.6"/>
    <x v="16"/>
    <d v="2025-01-20T00:00:00"/>
    <x v="3"/>
    <x v="4"/>
    <n v="4"/>
    <s v="California"/>
    <s v="Los Angeles County"/>
    <n v="3"/>
    <x v="2"/>
    <s v="Other"/>
  </r>
  <r>
    <s v="TX500378"/>
    <s v="Sandals"/>
    <n v="3"/>
    <n v="59.9"/>
    <n v="179.7"/>
    <x v="16"/>
    <d v="2025-01-21T00:00:00"/>
    <x v="2"/>
    <x v="0"/>
    <n v="4"/>
    <s v="California"/>
    <s v="Los Angeles County"/>
    <n v="4"/>
    <x v="2"/>
    <s v="Female"/>
  </r>
  <r>
    <s v="TX500379"/>
    <s v="Sneakers"/>
    <n v="17"/>
    <n v="139"/>
    <n v="2363"/>
    <x v="16"/>
    <d v="2025-01-19T00:00:00"/>
    <x v="2"/>
    <x v="1"/>
    <n v="2"/>
    <s v="California"/>
    <s v="Los Angeles County"/>
    <n v="2"/>
    <x v="2"/>
    <s v="Female"/>
  </r>
  <r>
    <s v="TX500380"/>
    <s v="Jeans"/>
    <n v="3"/>
    <n v="87.3"/>
    <n v="261.89999999999998"/>
    <x v="16"/>
    <d v="2025-01-18T00:00:00"/>
    <x v="2"/>
    <x v="0"/>
    <n v="4"/>
    <s v="California"/>
    <s v="Los Angeles County"/>
    <n v="1"/>
    <x v="2"/>
    <s v="Female"/>
  </r>
  <r>
    <s v="TX500381"/>
    <s v="Maxi Dresses"/>
    <n v="4"/>
    <n v="42.3"/>
    <n v="169.2"/>
    <x v="16"/>
    <d v="2025-01-17T00:00:00"/>
    <x v="1"/>
    <x v="0"/>
    <n v="4"/>
    <s v="California"/>
    <s v="Los Angeles County"/>
    <n v="0"/>
    <x v="2"/>
    <s v="Male"/>
  </r>
  <r>
    <s v="TX500382"/>
    <s v="Baseball Caps"/>
    <n v="8"/>
    <n v="103.6"/>
    <n v="828.8"/>
    <x v="16"/>
    <d v="2025-01-18T00:00:00"/>
    <x v="3"/>
    <x v="0"/>
    <n v="3"/>
    <s v="California"/>
    <s v="Los Angeles County"/>
    <n v="1"/>
    <x v="2"/>
    <s v="Other"/>
  </r>
  <r>
    <s v="TX500383"/>
    <s v="Jeans"/>
    <n v="2"/>
    <n v="90.9"/>
    <n v="181.8"/>
    <x v="16"/>
    <d v="2025-01-18T00:00:00"/>
    <x v="1"/>
    <x v="1"/>
    <n v="4"/>
    <s v="California"/>
    <s v="Sacramento County"/>
    <n v="1"/>
    <x v="2"/>
    <s v="Male"/>
  </r>
  <r>
    <s v="TX500384"/>
    <s v="Sundresses"/>
    <n v="16"/>
    <n v="100.9"/>
    <n v="1614.4"/>
    <x v="16"/>
    <d v="2025-01-18T00:00:00"/>
    <x v="2"/>
    <x v="1"/>
    <n v="4"/>
    <s v="California"/>
    <s v="Sacramento County"/>
    <n v="1"/>
    <x v="2"/>
    <s v="Female"/>
  </r>
  <r>
    <s v="TX500385"/>
    <s v="Graphic Tees"/>
    <n v="5"/>
    <n v="36"/>
    <n v="180"/>
    <x v="16"/>
    <d v="2025-01-19T00:00:00"/>
    <x v="2"/>
    <x v="1"/>
    <n v="4"/>
    <s v="California"/>
    <s v="San Bernardino County"/>
    <n v="2"/>
    <x v="2"/>
    <s v="Female"/>
  </r>
  <r>
    <s v="TX500386"/>
    <s v="Jeans"/>
    <n v="6"/>
    <n v="83.3"/>
    <n v="499.79999999999995"/>
    <x v="16"/>
    <d v="2025-01-20T00:00:00"/>
    <x v="0"/>
    <x v="2"/>
    <n v="4"/>
    <s v="California"/>
    <s v="San Bernardino County"/>
    <n v="3"/>
    <x v="2"/>
    <s v="Unknown"/>
  </r>
  <r>
    <s v="TX500387"/>
    <s v="Sneakers"/>
    <n v="17"/>
    <n v="60.3"/>
    <n v="1025.0999999999999"/>
    <x v="16"/>
    <d v="2025-01-18T00:00:00"/>
    <x v="1"/>
    <x v="2"/>
    <n v="3"/>
    <s v="California"/>
    <s v="San Bernardino County"/>
    <n v="1"/>
    <x v="2"/>
    <s v="Male"/>
  </r>
  <r>
    <s v="TX500388"/>
    <s v="Sneakers"/>
    <n v="6"/>
    <n v="120.3"/>
    <n v="721.8"/>
    <x v="16"/>
    <d v="2025-01-18T00:00:00"/>
    <x v="1"/>
    <x v="2"/>
    <n v="4"/>
    <s v="California"/>
    <s v="San Diego County"/>
    <n v="1"/>
    <x v="2"/>
    <s v="Male"/>
  </r>
  <r>
    <s v="TX500389"/>
    <s v="Graphic Tees"/>
    <n v="10"/>
    <n v="34"/>
    <n v="340"/>
    <x v="16"/>
    <d v="2025-01-21T00:00:00"/>
    <x v="2"/>
    <x v="2"/>
    <n v="4"/>
    <s v="California"/>
    <s v="San Diego County"/>
    <n v="4"/>
    <x v="2"/>
    <s v="Female"/>
  </r>
  <r>
    <s v="TX500390"/>
    <s v="Bikinis"/>
    <n v="5"/>
    <n v="42.6"/>
    <n v="213"/>
    <x v="16"/>
    <d v="2025-01-20T00:00:00"/>
    <x v="1"/>
    <x v="1"/>
    <n v="4"/>
    <s v="California"/>
    <s v="San Diego County"/>
    <n v="3"/>
    <x v="2"/>
    <s v="Male"/>
  </r>
  <r>
    <s v="TX500391"/>
    <s v="Sandals"/>
    <n v="20"/>
    <n v="47.4"/>
    <n v="948"/>
    <x v="16"/>
    <d v="2025-01-17T00:00:00"/>
    <x v="2"/>
    <x v="2"/>
    <n v="3"/>
    <s v="California"/>
    <s v="San Francisco"/>
    <n v="0"/>
    <x v="2"/>
    <s v="Female"/>
  </r>
  <r>
    <s v="TX500392"/>
    <s v="Sneakers"/>
    <n v="1"/>
    <n v="74"/>
    <n v="74"/>
    <x v="17"/>
    <d v="2025-01-19T00:00:00"/>
    <x v="1"/>
    <x v="1"/>
    <n v="4"/>
    <s v="California"/>
    <s v="Santa Clara County"/>
    <n v="1"/>
    <x v="2"/>
    <s v="Male"/>
  </r>
  <r>
    <s v="TX500393"/>
    <s v="Sneakers"/>
    <n v="5"/>
    <n v="60.4"/>
    <n v="302"/>
    <x v="17"/>
    <d v="2025-01-21T00:00:00"/>
    <x v="2"/>
    <x v="1"/>
    <n v="2"/>
    <s v="California"/>
    <s v="Sonoma County"/>
    <n v="3"/>
    <x v="2"/>
    <s v="Female"/>
  </r>
  <r>
    <s v="TX500394"/>
    <s v="Casual Dresses"/>
    <n v="2"/>
    <n v="69.3"/>
    <n v="138.6"/>
    <x v="17"/>
    <d v="2025-01-21T00:00:00"/>
    <x v="1"/>
    <x v="1"/>
    <n v="3"/>
    <s v="California"/>
    <s v="Ventura County"/>
    <n v="3"/>
    <x v="2"/>
    <s v="Male"/>
  </r>
  <r>
    <s v="TX500395"/>
    <s v="Sandals"/>
    <n v="5"/>
    <n v="81"/>
    <n v="405"/>
    <x v="17"/>
    <d v="2025-01-24T00:00:00"/>
    <x v="1"/>
    <x v="3"/>
    <n v="4"/>
    <s v="California"/>
    <s v="Alameda County"/>
    <n v="6"/>
    <x v="2"/>
    <s v="Male"/>
  </r>
  <r>
    <s v="TX500396"/>
    <s v="Crop Tops"/>
    <n v="3"/>
    <n v="41.5"/>
    <n v="124.5"/>
    <x v="17"/>
    <d v="2025-01-20T00:00:00"/>
    <x v="3"/>
    <x v="1"/>
    <n v="4"/>
    <s v="California"/>
    <s v="Alameda County"/>
    <n v="2"/>
    <x v="2"/>
    <s v="Other"/>
  </r>
  <r>
    <s v="TX500397"/>
    <s v="Leggings"/>
    <n v="2"/>
    <n v="69.7"/>
    <n v="139.4"/>
    <x v="17"/>
    <d v="2025-01-23T00:00:00"/>
    <x v="1"/>
    <x v="1"/>
    <n v="4"/>
    <s v="California"/>
    <s v="Alameda County"/>
    <n v="5"/>
    <x v="2"/>
    <s v="Male"/>
  </r>
  <r>
    <s v="TX500398"/>
    <s v="Sneakers"/>
    <n v="5"/>
    <n v="83.6"/>
    <n v="418"/>
    <x v="17"/>
    <d v="2025-01-18T00:00:00"/>
    <x v="2"/>
    <x v="4"/>
    <n v="4"/>
    <s v="California"/>
    <s v="Contra Costa County"/>
    <n v="0"/>
    <x v="2"/>
    <s v="Female"/>
  </r>
  <r>
    <s v="TX500399"/>
    <s v="T-Shirts"/>
    <n v="7"/>
    <n v="21.5"/>
    <n v="150.5"/>
    <x v="17"/>
    <d v="2025-01-20T00:00:00"/>
    <x v="1"/>
    <x v="1"/>
    <n v="2"/>
    <s v="California"/>
    <s v="Kings County"/>
    <n v="2"/>
    <x v="2"/>
    <s v="Male"/>
  </r>
  <r>
    <s v="TX500400"/>
    <s v="T-Shirts"/>
    <n v="8"/>
    <n v="28.6"/>
    <n v="228.8"/>
    <x v="17"/>
    <d v="2025-01-19T00:00:00"/>
    <x v="1"/>
    <x v="0"/>
    <n v="4"/>
    <s v="California"/>
    <s v="Los Angeles County"/>
    <n v="1"/>
    <x v="2"/>
    <s v="Male"/>
  </r>
  <r>
    <s v="TX500401"/>
    <s v="T-Shirts"/>
    <n v="6"/>
    <n v="18.8"/>
    <n v="112.80000000000001"/>
    <x v="17"/>
    <d v="2025-01-21T00:00:00"/>
    <x v="1"/>
    <x v="3"/>
    <n v="5"/>
    <s v="California"/>
    <s v="Los Angeles County"/>
    <n v="3"/>
    <x v="2"/>
    <s v="Male"/>
  </r>
  <r>
    <s v="TX500402"/>
    <s v="Bikinis"/>
    <n v="4"/>
    <n v="35.1"/>
    <n v="140.4"/>
    <x v="17"/>
    <d v="2025-01-18T00:00:00"/>
    <x v="2"/>
    <x v="1"/>
    <n v="3"/>
    <s v="California"/>
    <s v="Los Angeles County"/>
    <n v="0"/>
    <x v="2"/>
    <s v="Female"/>
  </r>
  <r>
    <s v="TX500403"/>
    <s v="Shorts"/>
    <n v="2"/>
    <n v="12.7"/>
    <n v="25.4"/>
    <x v="17"/>
    <d v="2025-01-20T00:00:00"/>
    <x v="2"/>
    <x v="1"/>
    <n v="5"/>
    <s v="California"/>
    <s v="Los Angeles County"/>
    <n v="2"/>
    <x v="2"/>
    <s v="Female"/>
  </r>
  <r>
    <s v="TX500404"/>
    <s v="T-Shirts"/>
    <n v="5"/>
    <n v="27.4"/>
    <n v="137"/>
    <x v="17"/>
    <d v="2025-01-20T00:00:00"/>
    <x v="3"/>
    <x v="0"/>
    <n v="4"/>
    <s v="California"/>
    <s v="Los Angeles County"/>
    <n v="2"/>
    <x v="2"/>
    <s v="Other"/>
  </r>
  <r>
    <s v="TX500405"/>
    <s v="Bikinis"/>
    <n v="2"/>
    <n v="61.3"/>
    <n v="122.6"/>
    <x v="17"/>
    <d v="2025-01-19T00:00:00"/>
    <x v="2"/>
    <x v="1"/>
    <n v="4"/>
    <s v="California"/>
    <s v="Sacramento County"/>
    <n v="1"/>
    <x v="2"/>
    <s v="Female"/>
  </r>
  <r>
    <s v="TX500406"/>
    <s v="T-Shirts"/>
    <n v="2"/>
    <n v="64.7"/>
    <n v="129.4"/>
    <x v="17"/>
    <d v="2025-01-20T00:00:00"/>
    <x v="2"/>
    <x v="3"/>
    <n v="5"/>
    <s v="California"/>
    <s v="Sacramento County"/>
    <n v="2"/>
    <x v="2"/>
    <s v="Female"/>
  </r>
  <r>
    <s v="TX500407"/>
    <s v="Hoodies &amp; Sweatshirts"/>
    <n v="4"/>
    <n v="91.4"/>
    <n v="365.6"/>
    <x v="17"/>
    <d v="2025-01-20T00:00:00"/>
    <x v="2"/>
    <x v="0"/>
    <n v="4"/>
    <s v="California"/>
    <s v="San Diego County"/>
    <n v="2"/>
    <x v="2"/>
    <s v="Female"/>
  </r>
  <r>
    <s v="TX500408"/>
    <s v="Shorts"/>
    <n v="2"/>
    <n v="33.1"/>
    <n v="66.2"/>
    <x v="18"/>
    <d v="2025-01-20T00:00:00"/>
    <x v="1"/>
    <x v="0"/>
    <n v="5"/>
    <s v="California"/>
    <s v="San Diego County"/>
    <n v="1"/>
    <x v="3"/>
    <s v="Male"/>
  </r>
  <r>
    <s v="TX500409"/>
    <s v="Workout Tops"/>
    <n v="2"/>
    <n v="105.6"/>
    <n v="211.2"/>
    <x v="18"/>
    <d v="2025-01-20T00:00:00"/>
    <x v="1"/>
    <x v="2"/>
    <n v="3"/>
    <s v="California"/>
    <s v="San Diego County"/>
    <n v="1"/>
    <x v="3"/>
    <s v="Male"/>
  </r>
  <r>
    <s v="TX500410"/>
    <s v="Bikinis"/>
    <n v="3"/>
    <n v="46.4"/>
    <n v="139.19999999999999"/>
    <x v="18"/>
    <d v="2025-01-20T00:00:00"/>
    <x v="1"/>
    <x v="2"/>
    <n v="4"/>
    <s v="California"/>
    <s v="San Mateo County"/>
    <n v="1"/>
    <x v="3"/>
    <s v="Male"/>
  </r>
  <r>
    <s v="TX500411"/>
    <s v="Sundresses"/>
    <n v="14"/>
    <n v="35.299999999999997"/>
    <n v="494.19999999999993"/>
    <x v="18"/>
    <d v="2025-01-22T00:00:00"/>
    <x v="2"/>
    <x v="4"/>
    <n v="3"/>
    <s v="California"/>
    <s v="Santa Clara County"/>
    <n v="3"/>
    <x v="3"/>
    <s v="Female"/>
  </r>
  <r>
    <s v="TX500412"/>
    <s v="Shorts"/>
    <n v="2"/>
    <n v="16.100000000000001"/>
    <n v="32.200000000000003"/>
    <x v="18"/>
    <d v="2025-01-21T00:00:00"/>
    <x v="1"/>
    <x v="3"/>
    <n v="5"/>
    <s v="California"/>
    <s v="Santa Cruz County"/>
    <n v="2"/>
    <x v="3"/>
    <s v="Male"/>
  </r>
  <r>
    <s v="TX500413"/>
    <s v="Graphic Tees"/>
    <n v="2"/>
    <n v="27.9"/>
    <n v="55.8"/>
    <x v="18"/>
    <d v="2025-01-22T00:00:00"/>
    <x v="1"/>
    <x v="0"/>
    <n v="4"/>
    <s v="California"/>
    <s v="Ventura County"/>
    <n v="3"/>
    <x v="3"/>
    <s v="Male"/>
  </r>
  <r>
    <s v="TX500414"/>
    <s v="T-Shirts"/>
    <n v="1"/>
    <n v="47.1"/>
    <n v="47.1"/>
    <x v="18"/>
    <d v="2025-01-27T00:00:00"/>
    <x v="2"/>
    <x v="1"/>
    <n v="4"/>
    <s v="California"/>
    <s v="Fresno County"/>
    <n v="8"/>
    <x v="3"/>
    <s v="Female"/>
  </r>
  <r>
    <s v="TX500415"/>
    <s v="Jeans"/>
    <n v="2"/>
    <n v="85"/>
    <n v="170"/>
    <x v="18"/>
    <d v="2025-01-22T00:00:00"/>
    <x v="0"/>
    <x v="2"/>
    <n v="5"/>
    <s v="California"/>
    <s v="Kern County"/>
    <n v="3"/>
    <x v="3"/>
    <s v="Unknown"/>
  </r>
  <r>
    <s v="TX500416"/>
    <s v="Leggings"/>
    <n v="2"/>
    <n v="89"/>
    <n v="178"/>
    <x v="18"/>
    <d v="2025-01-21T00:00:00"/>
    <x v="2"/>
    <x v="0"/>
    <n v="4"/>
    <s v="California"/>
    <s v="Los Angeles County"/>
    <n v="2"/>
    <x v="3"/>
    <s v="Female"/>
  </r>
  <r>
    <s v="TX500417"/>
    <s v="Sunglasses"/>
    <n v="3"/>
    <n v="36.6"/>
    <n v="109.80000000000001"/>
    <x v="18"/>
    <d v="2025-01-20T00:00:00"/>
    <x v="3"/>
    <x v="3"/>
    <n v="5"/>
    <s v="California"/>
    <s v="Los Angeles County"/>
    <n v="1"/>
    <x v="3"/>
    <s v="Other"/>
  </r>
  <r>
    <s v="TX500418"/>
    <s v="Jeans"/>
    <n v="7"/>
    <n v="43.5"/>
    <n v="304.5"/>
    <x v="18"/>
    <d v="2025-01-20T00:00:00"/>
    <x v="1"/>
    <x v="1"/>
    <n v="5"/>
    <s v="California"/>
    <s v="Los Angeles County"/>
    <n v="1"/>
    <x v="3"/>
    <s v="Male"/>
  </r>
  <r>
    <s v="TX500419"/>
    <s v="Sundresses"/>
    <n v="19"/>
    <n v="30.5"/>
    <n v="579.5"/>
    <x v="18"/>
    <d v="2025-01-19T00:00:00"/>
    <x v="2"/>
    <x v="3"/>
    <n v="4"/>
    <s v="California"/>
    <s v="Los Angeles County"/>
    <n v="0"/>
    <x v="3"/>
    <s v="Female"/>
  </r>
  <r>
    <s v="TX500420"/>
    <s v="Tank Tops"/>
    <n v="2"/>
    <n v="107.7"/>
    <n v="215.4"/>
    <x v="18"/>
    <d v="2025-01-23T00:00:00"/>
    <x v="1"/>
    <x v="3"/>
    <n v="2"/>
    <s v="California"/>
    <s v="Los Angeles County"/>
    <n v="4"/>
    <x v="3"/>
    <s v="Male"/>
  </r>
  <r>
    <s v="TX500421"/>
    <s v="Pajama Sets"/>
    <n v="26"/>
    <n v="57.1"/>
    <n v="1484.6000000000001"/>
    <x v="18"/>
    <d v="2025-01-20T00:00:00"/>
    <x v="1"/>
    <x v="1"/>
    <n v="4"/>
    <s v="California"/>
    <s v="Los Angeles County"/>
    <n v="1"/>
    <x v="3"/>
    <s v="Male"/>
  </r>
  <r>
    <s v="TX500422"/>
    <s v="Sneakers"/>
    <n v="10"/>
    <n v="111.7"/>
    <n v="1117"/>
    <x v="18"/>
    <d v="2025-01-20T00:00:00"/>
    <x v="2"/>
    <x v="4"/>
    <n v="5"/>
    <s v="California"/>
    <s v="Los Angeles County"/>
    <n v="1"/>
    <x v="3"/>
    <s v="Female"/>
  </r>
  <r>
    <s v="TX500423"/>
    <s v="Leggings"/>
    <n v="7"/>
    <n v="44.3"/>
    <n v="310.09999999999997"/>
    <x v="18"/>
    <d v="2025-01-22T00:00:00"/>
    <x v="1"/>
    <x v="3"/>
    <n v="5"/>
    <s v="California"/>
    <s v="Los Angeles County"/>
    <n v="3"/>
    <x v="3"/>
    <s v="Male"/>
  </r>
  <r>
    <s v="TX500424"/>
    <s v="Sneakers"/>
    <n v="8"/>
    <n v="95.8"/>
    <n v="766.4"/>
    <x v="18"/>
    <d v="2025-01-25T00:00:00"/>
    <x v="3"/>
    <x v="0"/>
    <n v="4"/>
    <s v="California"/>
    <s v="Los Angeles County"/>
    <n v="6"/>
    <x v="3"/>
    <s v="Other"/>
  </r>
  <r>
    <s v="TX500425"/>
    <s v="Bikinis"/>
    <n v="7"/>
    <n v="22.6"/>
    <n v="158.20000000000002"/>
    <x v="18"/>
    <d v="2025-01-22T00:00:00"/>
    <x v="2"/>
    <x v="3"/>
    <n v="3"/>
    <s v="California"/>
    <s v="Los Angeles County"/>
    <n v="3"/>
    <x v="3"/>
    <s v="Female"/>
  </r>
  <r>
    <s v="TX500426"/>
    <s v="T-Shirts"/>
    <n v="8"/>
    <n v="25.6"/>
    <n v="204.8"/>
    <x v="18"/>
    <d v="2025-01-21T00:00:00"/>
    <x v="2"/>
    <x v="4"/>
    <n v="4"/>
    <s v="California"/>
    <s v="Los Angeles County"/>
    <n v="2"/>
    <x v="3"/>
    <s v="Female"/>
  </r>
  <r>
    <s v="TX500427"/>
    <s v="Jeans"/>
    <n v="16"/>
    <n v="54.3"/>
    <n v="868.8"/>
    <x v="18"/>
    <d v="2025-01-22T00:00:00"/>
    <x v="2"/>
    <x v="4"/>
    <n v="4"/>
    <s v="California"/>
    <s v="Los Angeles County"/>
    <n v="3"/>
    <x v="3"/>
    <s v="Female"/>
  </r>
  <r>
    <s v="TX500428"/>
    <s v="Leggings"/>
    <n v="13"/>
    <n v="51.3"/>
    <n v="666.9"/>
    <x v="18"/>
    <d v="2025-01-21T00:00:00"/>
    <x v="1"/>
    <x v="0"/>
    <n v="5"/>
    <s v="California"/>
    <s v="Los Angeles County"/>
    <n v="2"/>
    <x v="3"/>
    <s v="Male"/>
  </r>
  <r>
    <s v="TX500429"/>
    <s v="Shorts"/>
    <n v="8"/>
    <n v="25.6"/>
    <n v="204.8"/>
    <x v="18"/>
    <d v="2025-01-20T00:00:00"/>
    <x v="2"/>
    <x v="1"/>
    <n v="3"/>
    <s v="California"/>
    <s v="Los Angeles County"/>
    <n v="1"/>
    <x v="3"/>
    <s v="Female"/>
  </r>
  <r>
    <s v="TX500430"/>
    <s v="Shorts"/>
    <n v="2"/>
    <n v="15.6"/>
    <n v="31.2"/>
    <x v="18"/>
    <d v="2025-01-20T00:00:00"/>
    <x v="2"/>
    <x v="2"/>
    <n v="5"/>
    <s v="California"/>
    <s v="Los Angeles County"/>
    <n v="1"/>
    <x v="3"/>
    <s v="Female"/>
  </r>
  <r>
    <s v="TX500431"/>
    <s v="T-Shirts"/>
    <n v="3"/>
    <n v="30.3"/>
    <n v="90.9"/>
    <x v="18"/>
    <d v="2025-01-23T00:00:00"/>
    <x v="2"/>
    <x v="0"/>
    <n v="3"/>
    <s v="California"/>
    <s v="Los Angeles County"/>
    <n v="4"/>
    <x v="3"/>
    <s v="Female"/>
  </r>
  <r>
    <s v="TX500432"/>
    <s v="Casual Dresses"/>
    <n v="2"/>
    <n v="30.3"/>
    <n v="60.6"/>
    <x v="18"/>
    <d v="2025-01-24T00:00:00"/>
    <x v="2"/>
    <x v="0"/>
    <n v="5"/>
    <s v="California"/>
    <s v="Madera County"/>
    <n v="5"/>
    <x v="3"/>
    <s v="Female"/>
  </r>
  <r>
    <s v="TX500433"/>
    <s v="Bikinis"/>
    <n v="3"/>
    <n v="53"/>
    <n v="159"/>
    <x v="18"/>
    <d v="2025-01-26T00:00:00"/>
    <x v="2"/>
    <x v="2"/>
    <n v="4"/>
    <s v="California"/>
    <s v="Merced County"/>
    <n v="7"/>
    <x v="3"/>
    <s v="Female"/>
  </r>
  <r>
    <s v="TX500434"/>
    <s v="Sandals"/>
    <n v="18"/>
    <n v="59.9"/>
    <n v="1078.2"/>
    <x v="18"/>
    <d v="2025-01-22T00:00:00"/>
    <x v="1"/>
    <x v="2"/>
    <n v="2"/>
    <s v="California"/>
    <s v="Orange County"/>
    <n v="3"/>
    <x v="3"/>
    <s v="Male"/>
  </r>
  <r>
    <s v="TX500435"/>
    <s v="Sundresses"/>
    <n v="2"/>
    <n v="45.7"/>
    <n v="91.4"/>
    <x v="18"/>
    <d v="2025-01-20T00:00:00"/>
    <x v="2"/>
    <x v="1"/>
    <n v="5"/>
    <s v="California"/>
    <s v="Sacramento County"/>
    <n v="1"/>
    <x v="3"/>
    <s v="Female"/>
  </r>
  <r>
    <s v="TX500436"/>
    <s v="T-Shirts"/>
    <n v="4"/>
    <n v="46.1"/>
    <n v="184.4"/>
    <x v="18"/>
    <d v="2025-01-20T00:00:00"/>
    <x v="1"/>
    <x v="0"/>
    <n v="4"/>
    <s v="California"/>
    <s v="Sacramento County"/>
    <n v="1"/>
    <x v="3"/>
    <s v="Male"/>
  </r>
  <r>
    <s v="TX500437"/>
    <s v="T-Shirts"/>
    <n v="3"/>
    <n v="17.5"/>
    <n v="52.5"/>
    <x v="18"/>
    <d v="2025-01-20T00:00:00"/>
    <x v="2"/>
    <x v="0"/>
    <n v="5"/>
    <s v="California"/>
    <s v="San Diego County"/>
    <n v="1"/>
    <x v="3"/>
    <s v="Female"/>
  </r>
  <r>
    <s v="TX500438"/>
    <s v="Bikinis"/>
    <n v="3"/>
    <n v="36.5"/>
    <n v="109.5"/>
    <x v="18"/>
    <d v="2025-01-30T00:00:00"/>
    <x v="1"/>
    <x v="2"/>
    <n v="4"/>
    <s v="California"/>
    <s v="San Diego County"/>
    <n v="11"/>
    <x v="3"/>
    <s v="Male"/>
  </r>
  <r>
    <s v="TX500439"/>
    <s v="T-Shirts"/>
    <n v="2"/>
    <n v="47.5"/>
    <n v="95"/>
    <x v="19"/>
    <d v="2025-01-22T00:00:00"/>
    <x v="2"/>
    <x v="1"/>
    <n v="4"/>
    <s v="California"/>
    <s v="San Diego County"/>
    <n v="2"/>
    <x v="3"/>
    <s v="Female"/>
  </r>
  <r>
    <s v="TX500440"/>
    <s v="Jeans"/>
    <n v="5"/>
    <n v="45.6"/>
    <n v="228"/>
    <x v="19"/>
    <d v="2025-01-22T00:00:00"/>
    <x v="2"/>
    <x v="0"/>
    <n v="5"/>
    <s v="California"/>
    <s v="San Diego County"/>
    <n v="2"/>
    <x v="3"/>
    <s v="Female"/>
  </r>
  <r>
    <s v="TX500441"/>
    <s v="Sundresses"/>
    <n v="2"/>
    <n v="50.5"/>
    <n v="101"/>
    <x v="19"/>
    <d v="2025-01-22T00:00:00"/>
    <x v="1"/>
    <x v="0"/>
    <n v="3"/>
    <s v="California"/>
    <s v="San Francisco"/>
    <n v="2"/>
    <x v="3"/>
    <s v="Male"/>
  </r>
  <r>
    <s v="TX500442"/>
    <s v="Sneakers"/>
    <n v="10"/>
    <n v="99.8"/>
    <n v="998"/>
    <x v="19"/>
    <d v="2025-01-23T00:00:00"/>
    <x v="2"/>
    <x v="2"/>
    <n v="3"/>
    <s v="California"/>
    <s v="San Francisco"/>
    <n v="3"/>
    <x v="3"/>
    <s v="Female"/>
  </r>
  <r>
    <s v="TX500443"/>
    <s v="T-Shirts"/>
    <n v="15"/>
    <n v="19.2"/>
    <n v="288"/>
    <x v="19"/>
    <d v="2025-01-22T00:00:00"/>
    <x v="3"/>
    <x v="4"/>
    <n v="3"/>
    <s v="California"/>
    <s v="San Joaquin County"/>
    <n v="2"/>
    <x v="3"/>
    <s v="Other"/>
  </r>
  <r>
    <s v="TX500444"/>
    <s v="Pajama Sets"/>
    <n v="3"/>
    <n v="22.6"/>
    <n v="67.800000000000011"/>
    <x v="19"/>
    <d v="2025-01-21T00:00:00"/>
    <x v="1"/>
    <x v="1"/>
    <n v="4"/>
    <s v="California"/>
    <s v="Santa Clara County"/>
    <n v="1"/>
    <x v="3"/>
    <s v="Male"/>
  </r>
  <r>
    <s v="TX500445"/>
    <s v="Tank Tops"/>
    <n v="15"/>
    <n v="126.9"/>
    <n v="1903.5"/>
    <x v="19"/>
    <d v="2025-01-22T00:00:00"/>
    <x v="2"/>
    <x v="0"/>
    <n v="5"/>
    <s v="California"/>
    <s v="Santa Clara County"/>
    <n v="2"/>
    <x v="3"/>
    <s v="Female"/>
  </r>
  <r>
    <s v="TX500446"/>
    <s v="Sneakers"/>
    <n v="2"/>
    <n v="100.3"/>
    <n v="200.6"/>
    <x v="19"/>
    <d v="2025-01-21T00:00:00"/>
    <x v="2"/>
    <x v="0"/>
    <n v="3"/>
    <s v="California"/>
    <s v="Santa Clara County"/>
    <n v="1"/>
    <x v="3"/>
    <s v="Female"/>
  </r>
  <r>
    <s v="TX500447"/>
    <s v="Graphic Tees"/>
    <n v="18"/>
    <n v="24.6"/>
    <n v="442.8"/>
    <x v="19"/>
    <d v="2025-01-21T00:00:00"/>
    <x v="2"/>
    <x v="4"/>
    <n v="4"/>
    <s v="California"/>
    <s v="Ventura County"/>
    <n v="1"/>
    <x v="3"/>
    <s v="Female"/>
  </r>
  <r>
    <s v="TX500448"/>
    <s v="Jeans"/>
    <n v="2"/>
    <n v="47.3"/>
    <n v="94.6"/>
    <x v="19"/>
    <d v="2025-01-21T00:00:00"/>
    <x v="1"/>
    <x v="1"/>
    <n v="5"/>
    <s v="California"/>
    <s v="Ventura County"/>
    <n v="1"/>
    <x v="3"/>
    <s v="Male"/>
  </r>
  <r>
    <s v="TX500449"/>
    <s v="Jeans"/>
    <n v="7"/>
    <n v="40.799999999999997"/>
    <n v="285.59999999999997"/>
    <x v="19"/>
    <d v="2025-01-23T00:00:00"/>
    <x v="2"/>
    <x v="2"/>
    <n v="5"/>
    <s v="California"/>
    <s v="Alameda County"/>
    <n v="3"/>
    <x v="3"/>
    <s v="Female"/>
  </r>
  <r>
    <s v="TX500450"/>
    <s v="T-Shirts"/>
    <n v="8"/>
    <n v="49.2"/>
    <n v="393.6"/>
    <x v="19"/>
    <d v="2025-01-22T00:00:00"/>
    <x v="2"/>
    <x v="0"/>
    <n v="4"/>
    <s v="California"/>
    <s v="Contra Costa County"/>
    <n v="2"/>
    <x v="3"/>
    <s v="Female"/>
  </r>
  <r>
    <s v="TX500451"/>
    <s v="T-Shirts"/>
    <n v="1"/>
    <n v="28.5"/>
    <n v="28.5"/>
    <x v="19"/>
    <d v="2025-01-22T00:00:00"/>
    <x v="0"/>
    <x v="2"/>
    <n v="3"/>
    <s v="California"/>
    <s v="Los Angeles County"/>
    <n v="2"/>
    <x v="3"/>
    <s v="Unknown"/>
  </r>
  <r>
    <s v="TX500452"/>
    <s v="Leggings"/>
    <n v="2"/>
    <n v="36.799999999999997"/>
    <n v="73.599999999999994"/>
    <x v="19"/>
    <d v="2025-01-26T00:00:00"/>
    <x v="2"/>
    <x v="0"/>
    <n v="5"/>
    <s v="California"/>
    <s v="Los Angeles County"/>
    <n v="6"/>
    <x v="3"/>
    <s v="Female"/>
  </r>
  <r>
    <s v="TX500453"/>
    <s v="Hoodies &amp; Sweatshirts"/>
    <n v="3"/>
    <n v="33.5"/>
    <n v="100.5"/>
    <x v="19"/>
    <d v="2025-01-21T00:00:00"/>
    <x v="2"/>
    <x v="0"/>
    <n v="3"/>
    <s v="California"/>
    <s v="Los Angeles County"/>
    <n v="1"/>
    <x v="3"/>
    <s v="Female"/>
  </r>
  <r>
    <s v="TX500454"/>
    <s v="Jeans"/>
    <n v="6"/>
    <n v="62.5"/>
    <n v="375"/>
    <x v="19"/>
    <d v="2025-01-22T00:00:00"/>
    <x v="2"/>
    <x v="0"/>
    <n v="4"/>
    <s v="California"/>
    <s v="Los Angeles County"/>
    <n v="2"/>
    <x v="3"/>
    <s v="Female"/>
  </r>
  <r>
    <s v="TX500455"/>
    <s v="T-Shirts"/>
    <n v="40"/>
    <n v="47.9"/>
    <n v="1916"/>
    <x v="19"/>
    <d v="2025-01-21T00:00:00"/>
    <x v="2"/>
    <x v="3"/>
    <n v="4"/>
    <s v="California"/>
    <s v="Los Angeles County"/>
    <n v="1"/>
    <x v="3"/>
    <s v="Female"/>
  </r>
  <r>
    <s v="TX500456"/>
    <s v="Jeans"/>
    <n v="6"/>
    <n v="92.9"/>
    <n v="557.40000000000009"/>
    <x v="19"/>
    <d v="2025-01-31T00:00:00"/>
    <x v="2"/>
    <x v="0"/>
    <n v="2"/>
    <s v="California"/>
    <s v="Los Angeles County"/>
    <n v="11"/>
    <x v="3"/>
    <s v="Female"/>
  </r>
  <r>
    <s v="TX500457"/>
    <s v="Casual Dresses"/>
    <n v="3"/>
    <n v="44.1"/>
    <n v="132.30000000000001"/>
    <x v="19"/>
    <d v="2025-01-20T00:00:00"/>
    <x v="2"/>
    <x v="1"/>
    <n v="3"/>
    <s v="California"/>
    <s v="Marin County"/>
    <n v="0"/>
    <x v="3"/>
    <s v="Female"/>
  </r>
  <r>
    <s v="TX500458"/>
    <s v="Shorts"/>
    <n v="1"/>
    <n v="11.4"/>
    <n v="11.4"/>
    <x v="20"/>
    <d v="2025-01-23T00:00:00"/>
    <x v="2"/>
    <x v="2"/>
    <n v="4"/>
    <s v="California"/>
    <s v="Placer County"/>
    <n v="2"/>
    <x v="3"/>
    <s v="Female"/>
  </r>
  <r>
    <s v="TX500459"/>
    <s v="Jeans"/>
    <n v="1"/>
    <n v="83.7"/>
    <n v="83.7"/>
    <x v="20"/>
    <d v="2025-01-23T00:00:00"/>
    <x v="2"/>
    <x v="0"/>
    <n v="5"/>
    <s v="California"/>
    <s v="Sacramento County"/>
    <n v="2"/>
    <x v="3"/>
    <s v="Female"/>
  </r>
  <r>
    <s v="TX500460"/>
    <s v="Bikinis"/>
    <n v="2"/>
    <n v="23.2"/>
    <n v="46.4"/>
    <x v="20"/>
    <d v="2025-01-22T00:00:00"/>
    <x v="1"/>
    <x v="2"/>
    <n v="4"/>
    <s v="California"/>
    <s v="San Diego County"/>
    <n v="1"/>
    <x v="3"/>
    <s v="Male"/>
  </r>
  <r>
    <s v="TX500461"/>
    <s v="Sneakers"/>
    <n v="1"/>
    <n v="162.1"/>
    <n v="162.1"/>
    <x v="20"/>
    <d v="2025-01-24T00:00:00"/>
    <x v="2"/>
    <x v="0"/>
    <n v="5"/>
    <s v="California"/>
    <s v="San Mateo County"/>
    <n v="3"/>
    <x v="3"/>
    <s v="Female"/>
  </r>
  <r>
    <s v="TX500462"/>
    <s v="Jeans"/>
    <n v="4"/>
    <n v="49.2"/>
    <n v="196.8"/>
    <x v="20"/>
    <d v="2025-01-25T00:00:00"/>
    <x v="1"/>
    <x v="1"/>
    <n v="4"/>
    <s v="California"/>
    <s v="San Mateo County"/>
    <n v="4"/>
    <x v="3"/>
    <s v="Male"/>
  </r>
  <r>
    <s v="TX500463"/>
    <s v="Tank Tops"/>
    <n v="2"/>
    <n v="61"/>
    <n v="122"/>
    <x v="20"/>
    <d v="2025-01-22T00:00:00"/>
    <x v="1"/>
    <x v="3"/>
    <n v="4"/>
    <s v="California"/>
    <s v="Santa Barbara County"/>
    <n v="1"/>
    <x v="3"/>
    <s v="Male"/>
  </r>
  <r>
    <s v="TX500464"/>
    <s v="Sneakers"/>
    <n v="10"/>
    <n v="53.1"/>
    <n v="531"/>
    <x v="20"/>
    <d v="2025-01-23T00:00:00"/>
    <x v="1"/>
    <x v="0"/>
    <n v="4"/>
    <s v="California"/>
    <s v="Santa Clara County"/>
    <n v="2"/>
    <x v="3"/>
    <s v="Male"/>
  </r>
  <r>
    <s v="TX500465"/>
    <s v="Graphic Tees"/>
    <n v="2"/>
    <n v="22.4"/>
    <n v="44.8"/>
    <x v="20"/>
    <d v="2025-01-23T00:00:00"/>
    <x v="0"/>
    <x v="1"/>
    <n v="5"/>
    <s v="California"/>
    <s v="Ventura County"/>
    <n v="2"/>
    <x v="3"/>
    <s v="Unknown"/>
  </r>
  <r>
    <s v="TX500466"/>
    <s v="Tank Tops"/>
    <n v="5"/>
    <n v="75.3"/>
    <n v="376.5"/>
    <x v="20"/>
    <d v="2025-01-22T00:00:00"/>
    <x v="1"/>
    <x v="0"/>
    <n v="4"/>
    <s v="California"/>
    <s v="Alameda County"/>
    <n v="1"/>
    <x v="3"/>
    <s v="Male"/>
  </r>
  <r>
    <s v="TX500467"/>
    <s v="Jeans"/>
    <n v="1"/>
    <n v="48.5"/>
    <n v="48.5"/>
    <x v="20"/>
    <d v="2025-01-22T00:00:00"/>
    <x v="2"/>
    <x v="0"/>
    <n v="3"/>
    <s v="California"/>
    <s v="Alameda County"/>
    <n v="1"/>
    <x v="3"/>
    <s v="Female"/>
  </r>
  <r>
    <s v="TX500468"/>
    <s v="Jeans"/>
    <n v="1"/>
    <n v="42.6"/>
    <n v="42.6"/>
    <x v="20"/>
    <d v="2025-01-25T00:00:00"/>
    <x v="2"/>
    <x v="3"/>
    <n v="4"/>
    <s v="California"/>
    <s v="Contra Costa County"/>
    <n v="4"/>
    <x v="3"/>
    <s v="Female"/>
  </r>
  <r>
    <s v="TX500469"/>
    <s v="Sandals"/>
    <n v="5"/>
    <n v="49"/>
    <n v="245"/>
    <x v="20"/>
    <d v="2025-01-22T00:00:00"/>
    <x v="1"/>
    <x v="0"/>
    <n v="4"/>
    <s v="California"/>
    <s v="Kern County"/>
    <n v="1"/>
    <x v="3"/>
    <s v="Male"/>
  </r>
  <r>
    <s v="TX500470"/>
    <s v="T-Shirts"/>
    <n v="3"/>
    <n v="31.3"/>
    <n v="93.9"/>
    <x v="20"/>
    <d v="2025-01-22T00:00:00"/>
    <x v="1"/>
    <x v="2"/>
    <n v="3"/>
    <s v="California"/>
    <s v="Los Angeles County"/>
    <n v="1"/>
    <x v="3"/>
    <s v="Male"/>
  </r>
  <r>
    <s v="TX500471"/>
    <s v="Sneakers"/>
    <n v="2"/>
    <n v="85.4"/>
    <n v="170.8"/>
    <x v="20"/>
    <d v="2025-01-22T00:00:00"/>
    <x v="2"/>
    <x v="2"/>
    <n v="4"/>
    <s v="California"/>
    <s v="Los Angeles County"/>
    <n v="1"/>
    <x v="3"/>
    <s v="Female"/>
  </r>
  <r>
    <s v="TX500472"/>
    <s v="T-Shirts"/>
    <n v="4"/>
    <n v="40"/>
    <n v="160"/>
    <x v="20"/>
    <d v="2025-01-22T00:00:00"/>
    <x v="3"/>
    <x v="0"/>
    <n v="5"/>
    <s v="California"/>
    <s v="Los Angeles County"/>
    <n v="1"/>
    <x v="3"/>
    <s v="Other"/>
  </r>
  <r>
    <s v="TX500473"/>
    <s v="Sandals"/>
    <n v="2"/>
    <n v="38.5"/>
    <n v="77"/>
    <x v="20"/>
    <d v="2025-01-24T00:00:00"/>
    <x v="1"/>
    <x v="1"/>
    <n v="5"/>
    <s v="California"/>
    <s v="Los Angeles County"/>
    <n v="3"/>
    <x v="3"/>
    <s v="Male"/>
  </r>
  <r>
    <s v="TX500474"/>
    <s v="Sneakers"/>
    <n v="2"/>
    <n v="57.8"/>
    <n v="115.6"/>
    <x v="20"/>
    <d v="2025-01-22T00:00:00"/>
    <x v="0"/>
    <x v="0"/>
    <n v="4"/>
    <s v="California"/>
    <s v="Los Angeles County"/>
    <n v="1"/>
    <x v="3"/>
    <s v="Unknown"/>
  </r>
  <r>
    <s v="TX500475"/>
    <s v="T-Shirts"/>
    <n v="1"/>
    <n v="19.2"/>
    <n v="19.2"/>
    <x v="20"/>
    <d v="2025-01-22T00:00:00"/>
    <x v="2"/>
    <x v="0"/>
    <n v="2"/>
    <s v="California"/>
    <s v="Los Angeles County"/>
    <n v="1"/>
    <x v="3"/>
    <s v="Female"/>
  </r>
  <r>
    <s v="TX500476"/>
    <s v="Jeans"/>
    <n v="6"/>
    <n v="114.8"/>
    <n v="688.8"/>
    <x v="20"/>
    <d v="2025-01-24T00:00:00"/>
    <x v="1"/>
    <x v="1"/>
    <n v="3"/>
    <s v="California"/>
    <s v="Los Angeles County"/>
    <n v="3"/>
    <x v="3"/>
    <s v="Male"/>
  </r>
  <r>
    <s v="TX500477"/>
    <s v="Bikinis"/>
    <n v="7"/>
    <n v="48.4"/>
    <n v="338.8"/>
    <x v="20"/>
    <d v="2025-01-24T00:00:00"/>
    <x v="2"/>
    <x v="3"/>
    <n v="3"/>
    <s v="California"/>
    <s v="Los Angeles County"/>
    <n v="3"/>
    <x v="3"/>
    <s v="Female"/>
  </r>
  <r>
    <s v="TX500478"/>
    <s v="Sundresses"/>
    <n v="5"/>
    <n v="73.2"/>
    <n v="366"/>
    <x v="20"/>
    <d v="2025-01-22T00:00:00"/>
    <x v="2"/>
    <x v="1"/>
    <n v="2"/>
    <s v="California"/>
    <s v="Los Angeles County"/>
    <n v="1"/>
    <x v="3"/>
    <s v="Female"/>
  </r>
  <r>
    <s v="TX500479"/>
    <s v="Crop Tops"/>
    <n v="2"/>
    <n v="48.6"/>
    <n v="97.2"/>
    <x v="20"/>
    <d v="2025-01-25T00:00:00"/>
    <x v="2"/>
    <x v="3"/>
    <n v="4"/>
    <s v="California"/>
    <s v="Los Angeles County"/>
    <n v="4"/>
    <x v="3"/>
    <s v="Female"/>
  </r>
  <r>
    <s v="TX500480"/>
    <s v="Shorts"/>
    <n v="6"/>
    <n v="48.7"/>
    <n v="292.20000000000005"/>
    <x v="20"/>
    <d v="2025-01-22T00:00:00"/>
    <x v="1"/>
    <x v="0"/>
    <n v="4"/>
    <s v="California"/>
    <s v="Los Angeles County"/>
    <n v="1"/>
    <x v="3"/>
    <s v="Male"/>
  </r>
  <r>
    <s v="TX500481"/>
    <s v="Graphic Tees"/>
    <n v="2"/>
    <n v="32.200000000000003"/>
    <n v="64.400000000000006"/>
    <x v="20"/>
    <d v="2025-01-24T00:00:00"/>
    <x v="1"/>
    <x v="2"/>
    <n v="5"/>
    <s v="California"/>
    <s v="Los Angeles County"/>
    <n v="3"/>
    <x v="3"/>
    <s v="Male"/>
  </r>
  <r>
    <s v="TX500482"/>
    <s v="Crop Tops"/>
    <n v="8"/>
    <n v="25.8"/>
    <n v="206.4"/>
    <x v="20"/>
    <d v="2025-01-22T00:00:00"/>
    <x v="1"/>
    <x v="0"/>
    <n v="4"/>
    <s v="California"/>
    <s v="Madera County"/>
    <n v="1"/>
    <x v="3"/>
    <s v="Male"/>
  </r>
  <r>
    <s v="TX500483"/>
    <s v="Jeans"/>
    <n v="2"/>
    <n v="94.8"/>
    <n v="189.6"/>
    <x v="21"/>
    <d v="2025-01-25T00:00:00"/>
    <x v="2"/>
    <x v="1"/>
    <n v="3"/>
    <s v="California"/>
    <s v="Orange County"/>
    <n v="3"/>
    <x v="3"/>
    <s v="Female"/>
  </r>
  <r>
    <s v="TX500484"/>
    <s v="Crop Tops"/>
    <n v="25"/>
    <n v="56.8"/>
    <n v="1420"/>
    <x v="21"/>
    <d v="2025-01-25T00:00:00"/>
    <x v="1"/>
    <x v="0"/>
    <n v="4"/>
    <s v="California"/>
    <s v="Orange County"/>
    <n v="3"/>
    <x v="3"/>
    <s v="Male"/>
  </r>
  <r>
    <s v="TX500485"/>
    <s v="T-Shirts"/>
    <n v="16"/>
    <n v="18.3"/>
    <n v="292.8"/>
    <x v="21"/>
    <d v="2025-01-29T00:00:00"/>
    <x v="2"/>
    <x v="2"/>
    <n v="5"/>
    <s v="California"/>
    <s v="Riverside County"/>
    <n v="7"/>
    <x v="3"/>
    <s v="Female"/>
  </r>
  <r>
    <s v="TX500486"/>
    <s v="Shorts"/>
    <n v="3"/>
    <n v="16.8"/>
    <n v="50.400000000000006"/>
    <x v="21"/>
    <d v="2025-01-27T00:00:00"/>
    <x v="2"/>
    <x v="2"/>
    <n v="5"/>
    <s v="California"/>
    <s v="San Diego County"/>
    <n v="5"/>
    <x v="3"/>
    <s v="Female"/>
  </r>
  <r>
    <s v="TX500487"/>
    <s v="Sandals"/>
    <n v="11"/>
    <n v="35.799999999999997"/>
    <n v="393.79999999999995"/>
    <x v="21"/>
    <d v="2025-01-23T00:00:00"/>
    <x v="1"/>
    <x v="1"/>
    <n v="4"/>
    <s v="California"/>
    <s v="San Francisco"/>
    <n v="1"/>
    <x v="3"/>
    <s v="Male"/>
  </r>
  <r>
    <s v="TX500488"/>
    <s v="Leggings"/>
    <n v="1"/>
    <n v="64.900000000000006"/>
    <n v="64.900000000000006"/>
    <x v="21"/>
    <d v="2025-01-23T00:00:00"/>
    <x v="1"/>
    <x v="0"/>
    <n v="3"/>
    <s v="California"/>
    <s v="San Francisco"/>
    <n v="1"/>
    <x v="3"/>
    <s v="Male"/>
  </r>
  <r>
    <s v="TX500489"/>
    <s v="Leggings"/>
    <n v="1"/>
    <n v="28.5"/>
    <n v="28.5"/>
    <x v="21"/>
    <d v="2025-01-24T00:00:00"/>
    <x v="0"/>
    <x v="1"/>
    <n v="4"/>
    <s v="California"/>
    <s v="San Mateo County"/>
    <n v="2"/>
    <x v="3"/>
    <s v="Unknown"/>
  </r>
  <r>
    <s v="TX500490"/>
    <s v="Leggings"/>
    <n v="2"/>
    <n v="103.5"/>
    <n v="207"/>
    <x v="21"/>
    <d v="2025-01-24T00:00:00"/>
    <x v="2"/>
    <x v="1"/>
    <n v="4"/>
    <s v="California"/>
    <s v="Santa Barbara County"/>
    <n v="2"/>
    <x v="3"/>
    <s v="Female"/>
  </r>
  <r>
    <s v="TX500491"/>
    <s v="Graphic Tees"/>
    <n v="2"/>
    <n v="41.2"/>
    <n v="82.4"/>
    <x v="21"/>
    <d v="2025-01-23T00:00:00"/>
    <x v="2"/>
    <x v="1"/>
    <n v="4"/>
    <s v="California"/>
    <s v="Santa Barbara County"/>
    <n v="1"/>
    <x v="3"/>
    <s v="Female"/>
  </r>
  <r>
    <s v="TX500492"/>
    <s v="Sundresses"/>
    <n v="1"/>
    <n v="37.799999999999997"/>
    <n v="37.799999999999997"/>
    <x v="21"/>
    <d v="2025-01-24T00:00:00"/>
    <x v="2"/>
    <x v="3"/>
    <n v="1"/>
    <s v="California"/>
    <s v="Santa Clara County"/>
    <n v="2"/>
    <x v="3"/>
    <s v="Female"/>
  </r>
  <r>
    <s v="TX500493"/>
    <s v="T-Shirts"/>
    <n v="2"/>
    <n v="42.6"/>
    <n v="85.2"/>
    <x v="21"/>
    <d v="2025-01-24T00:00:00"/>
    <x v="2"/>
    <x v="4"/>
    <n v="4"/>
    <s v="California"/>
    <s v="Santa Clara County"/>
    <n v="2"/>
    <x v="3"/>
    <s v="Female"/>
  </r>
  <r>
    <s v="TX500494"/>
    <s v="T-Shirts"/>
    <n v="10"/>
    <n v="15.2"/>
    <n v="152"/>
    <x v="21"/>
    <d v="2025-01-24T00:00:00"/>
    <x v="2"/>
    <x v="2"/>
    <n v="4"/>
    <s v="California"/>
    <s v="Santa Clara County"/>
    <n v="2"/>
    <x v="3"/>
    <s v="Female"/>
  </r>
  <r>
    <s v="TX500495"/>
    <s v="Hoodies &amp; Sweatshirts"/>
    <n v="4"/>
    <n v="83.4"/>
    <n v="333.6"/>
    <x v="21"/>
    <d v="2025-01-23T00:00:00"/>
    <x v="2"/>
    <x v="2"/>
    <n v="3"/>
    <s v="California"/>
    <s v="Sonoma County"/>
    <n v="1"/>
    <x v="3"/>
    <s v="Female"/>
  </r>
  <r>
    <s v="TX500496"/>
    <s v="Jewelry"/>
    <n v="2"/>
    <n v="27.7"/>
    <n v="55.4"/>
    <x v="21"/>
    <d v="2025-01-23T00:00:00"/>
    <x v="2"/>
    <x v="0"/>
    <n v="3"/>
    <s v="California"/>
    <s v="Ventura County"/>
    <n v="1"/>
    <x v="3"/>
    <s v="Female"/>
  </r>
  <r>
    <s v="TX500497"/>
    <s v="Bikinis"/>
    <n v="12"/>
    <n v="20.8"/>
    <n v="249.60000000000002"/>
    <x v="21"/>
    <d v="2025-01-23T00:00:00"/>
    <x v="1"/>
    <x v="3"/>
    <n v="4"/>
    <s v="California"/>
    <s v="Ventura County"/>
    <n v="1"/>
    <x v="3"/>
    <s v="Male"/>
  </r>
  <r>
    <s v="TX500498"/>
    <s v="Maxi Dresses"/>
    <n v="2"/>
    <n v="72.7"/>
    <n v="145.4"/>
    <x v="21"/>
    <d v="2025-01-26T00:00:00"/>
    <x v="2"/>
    <x v="4"/>
    <n v="5"/>
    <s v="California"/>
    <s v="Humboldt County"/>
    <n v="4"/>
    <x v="3"/>
    <s v="Female"/>
  </r>
  <r>
    <s v="TX500499"/>
    <s v="Bikinis"/>
    <n v="4"/>
    <n v="38.6"/>
    <n v="154.4"/>
    <x v="21"/>
    <d v="2025-01-23T00:00:00"/>
    <x v="1"/>
    <x v="0"/>
    <n v="5"/>
    <s v="California"/>
    <s v="Kern County"/>
    <n v="1"/>
    <x v="3"/>
    <s v="Male"/>
  </r>
  <r>
    <s v="TX500500"/>
    <s v="T-Shirts"/>
    <n v="7"/>
    <n v="33.1"/>
    <n v="231.70000000000002"/>
    <x v="21"/>
    <d v="2025-01-23T00:00:00"/>
    <x v="3"/>
    <x v="4"/>
    <n v="1"/>
    <s v="California"/>
    <s v="Los Angeles County"/>
    <n v="1"/>
    <x v="3"/>
    <s v="Other"/>
  </r>
  <r>
    <s v="TX500501"/>
    <s v="Bikinis"/>
    <n v="2"/>
    <n v="30.5"/>
    <n v="61"/>
    <x v="21"/>
    <d v="2025-01-22T00:00:00"/>
    <x v="0"/>
    <x v="1"/>
    <n v="3"/>
    <s v="California"/>
    <s v="Los Angeles County"/>
    <n v="0"/>
    <x v="3"/>
    <s v="Unknown"/>
  </r>
  <r>
    <s v="TX500502"/>
    <s v="Sundresses"/>
    <n v="2"/>
    <n v="69.599999999999994"/>
    <n v="139.19999999999999"/>
    <x v="21"/>
    <d v="2025-01-23T00:00:00"/>
    <x v="1"/>
    <x v="0"/>
    <n v="3"/>
    <s v="California"/>
    <s v="Los Angeles County"/>
    <n v="1"/>
    <x v="3"/>
    <s v="Male"/>
  </r>
  <r>
    <s v="TX500503"/>
    <s v="Maxi Dresses"/>
    <n v="1"/>
    <n v="42.4"/>
    <n v="42.4"/>
    <x v="21"/>
    <d v="2025-01-26T00:00:00"/>
    <x v="2"/>
    <x v="1"/>
    <n v="4"/>
    <s v="California"/>
    <s v="Los Angeles County"/>
    <n v="4"/>
    <x v="3"/>
    <s v="Female"/>
  </r>
  <r>
    <s v="TX500504"/>
    <s v="Pajama Sets"/>
    <n v="1"/>
    <n v="32.200000000000003"/>
    <n v="32.200000000000003"/>
    <x v="21"/>
    <d v="2025-01-25T00:00:00"/>
    <x v="2"/>
    <x v="2"/>
    <n v="3"/>
    <s v="California"/>
    <s v="Los Angeles County"/>
    <n v="3"/>
    <x v="3"/>
    <s v="Female"/>
  </r>
  <r>
    <s v="TX500505"/>
    <s v="Jeans"/>
    <n v="2"/>
    <n v="41.5"/>
    <n v="83"/>
    <x v="21"/>
    <d v="2025-01-25T00:00:00"/>
    <x v="2"/>
    <x v="0"/>
    <n v="5"/>
    <s v="California"/>
    <s v="Los Angeles County"/>
    <n v="3"/>
    <x v="3"/>
    <s v="Female"/>
  </r>
  <r>
    <s v="TX500506"/>
    <s v="Sunglasses"/>
    <n v="9"/>
    <n v="58.9"/>
    <n v="530.1"/>
    <x v="21"/>
    <d v="2025-01-26T00:00:00"/>
    <x v="2"/>
    <x v="3"/>
    <n v="4"/>
    <s v="California"/>
    <s v="Los Angeles County"/>
    <n v="4"/>
    <x v="3"/>
    <s v="Female"/>
  </r>
  <r>
    <s v="TX500507"/>
    <s v="Sneakers"/>
    <n v="1"/>
    <n v="57.1"/>
    <n v="57.1"/>
    <x v="21"/>
    <d v="2025-01-25T00:00:00"/>
    <x v="2"/>
    <x v="1"/>
    <n v="4"/>
    <s v="California"/>
    <s v="Los Angeles County"/>
    <n v="3"/>
    <x v="3"/>
    <s v="Female"/>
  </r>
  <r>
    <s v="TX500508"/>
    <s v="Jeans"/>
    <n v="1"/>
    <n v="57.2"/>
    <n v="57.2"/>
    <x v="21"/>
    <d v="2025-01-24T00:00:00"/>
    <x v="1"/>
    <x v="1"/>
    <n v="4"/>
    <s v="California"/>
    <s v="Los Angeles County"/>
    <n v="2"/>
    <x v="3"/>
    <s v="Male"/>
  </r>
  <r>
    <s v="TX500509"/>
    <s v="T-Shirts"/>
    <n v="2"/>
    <n v="35.1"/>
    <n v="70.2"/>
    <x v="21"/>
    <d v="2025-01-23T00:00:00"/>
    <x v="1"/>
    <x v="1"/>
    <n v="4"/>
    <s v="California"/>
    <s v="Sacramento County"/>
    <n v="1"/>
    <x v="3"/>
    <s v="Male"/>
  </r>
  <r>
    <s v="TX500510"/>
    <s v="Tank Tops"/>
    <n v="1"/>
    <n v="52.1"/>
    <n v="52.1"/>
    <x v="21"/>
    <d v="2025-01-24T00:00:00"/>
    <x v="2"/>
    <x v="4"/>
    <n v="3"/>
    <s v="California"/>
    <s v="San Diego County"/>
    <n v="2"/>
    <x v="3"/>
    <s v="Female"/>
  </r>
  <r>
    <s v="TX500511"/>
    <s v="Tote Bags"/>
    <n v="3"/>
    <n v="59.8"/>
    <n v="179.39999999999998"/>
    <x v="21"/>
    <d v="2025-01-24T00:00:00"/>
    <x v="2"/>
    <x v="4"/>
    <n v="3"/>
    <s v="California"/>
    <s v="San Diego County"/>
    <n v="2"/>
    <x v="3"/>
    <s v="Female"/>
  </r>
  <r>
    <s v="TX500512"/>
    <s v="Workout Tops"/>
    <n v="4"/>
    <n v="83.3"/>
    <n v="333.2"/>
    <x v="21"/>
    <d v="2025-01-22T00:00:00"/>
    <x v="0"/>
    <x v="2"/>
    <n v="4"/>
    <s v="California"/>
    <s v="San Diego County"/>
    <n v="0"/>
    <x v="3"/>
    <s v="Unknown"/>
  </r>
  <r>
    <s v="TX500513"/>
    <s v="Crop Tops"/>
    <n v="12"/>
    <n v="41.3"/>
    <n v="495.59999999999997"/>
    <x v="21"/>
    <d v="2025-01-23T00:00:00"/>
    <x v="2"/>
    <x v="1"/>
    <n v="4"/>
    <s v="California"/>
    <s v="San Diego County"/>
    <n v="1"/>
    <x v="3"/>
    <s v="Female"/>
  </r>
  <r>
    <s v="TX500514"/>
    <s v="T-Shirts"/>
    <n v="5"/>
    <n v="16"/>
    <n v="80"/>
    <x v="21"/>
    <d v="2025-01-24T00:00:00"/>
    <x v="1"/>
    <x v="4"/>
    <n v="3"/>
    <s v="California"/>
    <s v="San Mateo County"/>
    <n v="2"/>
    <x v="3"/>
    <s v="Male"/>
  </r>
  <r>
    <s v="TX500515"/>
    <s v="Bikinis"/>
    <n v="2"/>
    <n v="20.8"/>
    <n v="41.6"/>
    <x v="22"/>
    <d v="2025-01-25T00:00:00"/>
    <x v="1"/>
    <x v="0"/>
    <n v="5"/>
    <s v="California"/>
    <s v="Santa Clara County"/>
    <n v="2"/>
    <x v="3"/>
    <s v="Male"/>
  </r>
  <r>
    <s v="TX500516"/>
    <s v="T-Shirts"/>
    <n v="28"/>
    <n v="27.1"/>
    <n v="758.80000000000007"/>
    <x v="22"/>
    <d v="2025-01-24T00:00:00"/>
    <x v="0"/>
    <x v="3"/>
    <n v="5"/>
    <s v="California"/>
    <s v="Santa Clara County"/>
    <n v="1"/>
    <x v="3"/>
    <s v="Unknown"/>
  </r>
  <r>
    <s v="TX500517"/>
    <s v="Bikinis"/>
    <n v="2"/>
    <n v="38.9"/>
    <n v="77.8"/>
    <x v="22"/>
    <d v="2025-01-25T00:00:00"/>
    <x v="2"/>
    <x v="0"/>
    <n v="4"/>
    <s v="California"/>
    <s v="Sonoma County"/>
    <n v="2"/>
    <x v="3"/>
    <s v="Female"/>
  </r>
  <r>
    <s v="TX500518"/>
    <s v="Shorts"/>
    <n v="2"/>
    <n v="10.8"/>
    <n v="21.6"/>
    <x v="22"/>
    <d v="2025-01-26T00:00:00"/>
    <x v="2"/>
    <x v="1"/>
    <n v="5"/>
    <s v="California"/>
    <s v="Trinity County"/>
    <n v="3"/>
    <x v="3"/>
    <s v="Female"/>
  </r>
  <r>
    <s v="TX500519"/>
    <s v="Graphic Tees"/>
    <n v="13"/>
    <n v="48.4"/>
    <n v="629.19999999999993"/>
    <x v="22"/>
    <d v="2025-01-27T00:00:00"/>
    <x v="2"/>
    <x v="0"/>
    <n v="4"/>
    <s v="California"/>
    <s v="Alameda County"/>
    <n v="4"/>
    <x v="3"/>
    <s v="Female"/>
  </r>
  <r>
    <s v="TX500520"/>
    <s v="Graphic Tees"/>
    <n v="3"/>
    <n v="29.2"/>
    <n v="87.6"/>
    <x v="22"/>
    <d v="2025-01-26T00:00:00"/>
    <x v="2"/>
    <x v="1"/>
    <n v="3"/>
    <s v="California"/>
    <s v="Fresno County"/>
    <n v="3"/>
    <x v="3"/>
    <s v="Female"/>
  </r>
  <r>
    <s v="TX500521"/>
    <s v="Graphic Tees"/>
    <n v="2"/>
    <n v="25.1"/>
    <n v="50.2"/>
    <x v="22"/>
    <d v="2025-01-24T00:00:00"/>
    <x v="1"/>
    <x v="0"/>
    <n v="3"/>
    <s v="California"/>
    <s v="Fresno County"/>
    <n v="1"/>
    <x v="3"/>
    <s v="Male"/>
  </r>
  <r>
    <s v="TX500522"/>
    <s v="Hoodies &amp; Sweatshirts"/>
    <n v="3"/>
    <n v="65.599999999999994"/>
    <n v="196.79999999999998"/>
    <x v="22"/>
    <d v="2025-01-23T00:00:00"/>
    <x v="2"/>
    <x v="2"/>
    <n v="3"/>
    <s v="California"/>
    <s v="Los Angeles County"/>
    <n v="0"/>
    <x v="3"/>
    <s v="Female"/>
  </r>
  <r>
    <s v="TX500523"/>
    <s v="Sneakers"/>
    <n v="2"/>
    <n v="57.3"/>
    <n v="114.6"/>
    <x v="22"/>
    <d v="2025-01-23T00:00:00"/>
    <x v="0"/>
    <x v="0"/>
    <n v="4"/>
    <s v="California"/>
    <s v="Los Angeles County"/>
    <n v="0"/>
    <x v="3"/>
    <s v="Unknown"/>
  </r>
  <r>
    <s v="TX500524"/>
    <s v="Sundresses"/>
    <n v="4"/>
    <n v="22.4"/>
    <n v="89.6"/>
    <x v="22"/>
    <d v="2025-01-24T00:00:00"/>
    <x v="2"/>
    <x v="2"/>
    <n v="5"/>
    <s v="California"/>
    <s v="Los Angeles County"/>
    <n v="1"/>
    <x v="3"/>
    <s v="Female"/>
  </r>
  <r>
    <s v="TX500525"/>
    <s v="Casual Dresses"/>
    <n v="9"/>
    <n v="45.7"/>
    <n v="411.3"/>
    <x v="22"/>
    <d v="2025-01-24T00:00:00"/>
    <x v="2"/>
    <x v="0"/>
    <n v="4"/>
    <s v="California"/>
    <s v="Los Angeles County"/>
    <n v="1"/>
    <x v="3"/>
    <s v="Female"/>
  </r>
  <r>
    <s v="TX500526"/>
    <s v="T-Shirts"/>
    <n v="2"/>
    <n v="29.3"/>
    <n v="58.6"/>
    <x v="22"/>
    <d v="2025-01-24T00:00:00"/>
    <x v="1"/>
    <x v="1"/>
    <n v="4"/>
    <s v="California"/>
    <s v="Los Angeles County"/>
    <n v="1"/>
    <x v="3"/>
    <s v="Male"/>
  </r>
  <r>
    <s v="TX500527"/>
    <s v="Leggings"/>
    <n v="22"/>
    <n v="74"/>
    <n v="1628"/>
    <x v="22"/>
    <d v="2025-01-24T00:00:00"/>
    <x v="1"/>
    <x v="0"/>
    <n v="5"/>
    <s v="California"/>
    <s v="Los Angeles County"/>
    <n v="1"/>
    <x v="3"/>
    <s v="Male"/>
  </r>
  <r>
    <s v="TX500528"/>
    <s v="Baseball Caps"/>
    <n v="2"/>
    <n v="39.200000000000003"/>
    <n v="78.400000000000006"/>
    <x v="22"/>
    <d v="2025-01-25T00:00:00"/>
    <x v="2"/>
    <x v="1"/>
    <n v="4"/>
    <s v="California"/>
    <s v="Los Angeles County"/>
    <n v="2"/>
    <x v="3"/>
    <s v="Female"/>
  </r>
  <r>
    <s v="TX500529"/>
    <s v="Graphic Tees"/>
    <n v="17"/>
    <n v="62.7"/>
    <n v="1065.9000000000001"/>
    <x v="22"/>
    <d v="2025-01-24T00:00:00"/>
    <x v="2"/>
    <x v="2"/>
    <n v="3"/>
    <s v="California"/>
    <s v="Los Angeles County"/>
    <n v="1"/>
    <x v="3"/>
    <s v="Female"/>
  </r>
  <r>
    <s v="TX500530"/>
    <s v="Bikinis"/>
    <n v="2"/>
    <n v="60.1"/>
    <n v="120.2"/>
    <x v="22"/>
    <d v="2025-01-24T00:00:00"/>
    <x v="2"/>
    <x v="3"/>
    <n v="4"/>
    <s v="California"/>
    <s v="Los Angeles County"/>
    <n v="1"/>
    <x v="3"/>
    <s v="Female"/>
  </r>
  <r>
    <s v="TX500531"/>
    <s v="Shorts"/>
    <n v="4"/>
    <n v="11.2"/>
    <n v="44.8"/>
    <x v="22"/>
    <d v="2025-01-24T00:00:00"/>
    <x v="2"/>
    <x v="3"/>
    <n v="3"/>
    <s v="California"/>
    <s v="Los Angeles County"/>
    <n v="1"/>
    <x v="3"/>
    <s v="Female"/>
  </r>
  <r>
    <s v="TX500532"/>
    <s v="T-Shirts"/>
    <n v="2"/>
    <n v="22.9"/>
    <n v="45.8"/>
    <x v="22"/>
    <d v="2025-01-24T00:00:00"/>
    <x v="2"/>
    <x v="0"/>
    <n v="4"/>
    <s v="California"/>
    <s v="Sacramento County"/>
    <n v="1"/>
    <x v="3"/>
    <s v="Female"/>
  </r>
  <r>
    <s v="TX500533"/>
    <s v="Tank Tops"/>
    <n v="2"/>
    <n v="37.6"/>
    <n v="75.2"/>
    <x v="22"/>
    <d v="2025-01-26T00:00:00"/>
    <x v="2"/>
    <x v="0"/>
    <n v="4"/>
    <s v="California"/>
    <s v="Sacramento County"/>
    <n v="3"/>
    <x v="3"/>
    <s v="Female"/>
  </r>
  <r>
    <s v="TX500534"/>
    <s v="Jeans"/>
    <n v="1"/>
    <n v="42.4"/>
    <n v="42.4"/>
    <x v="22"/>
    <d v="2025-01-24T00:00:00"/>
    <x v="2"/>
    <x v="3"/>
    <n v="5"/>
    <s v="California"/>
    <s v="Sacramento County"/>
    <n v="1"/>
    <x v="3"/>
    <s v="Female"/>
  </r>
  <r>
    <s v="TX500535"/>
    <s v="T-Shirts"/>
    <n v="2"/>
    <n v="19.600000000000001"/>
    <n v="39.200000000000003"/>
    <x v="22"/>
    <d v="2025-01-27T00:00:00"/>
    <x v="2"/>
    <x v="2"/>
    <n v="4"/>
    <s v="California"/>
    <s v="San Bernardino County"/>
    <n v="4"/>
    <x v="3"/>
    <s v="Female"/>
  </r>
  <r>
    <s v="TX500536"/>
    <s v="Sundresses"/>
    <n v="1"/>
    <n v="90.5"/>
    <n v="90.5"/>
    <x v="22"/>
    <d v="2025-01-26T00:00:00"/>
    <x v="2"/>
    <x v="2"/>
    <n v="4"/>
    <s v="California"/>
    <s v="San Bernardino County"/>
    <n v="3"/>
    <x v="3"/>
    <s v="Female"/>
  </r>
  <r>
    <s v="TX500537"/>
    <s v="Sunglasses"/>
    <n v="11"/>
    <n v="33.9"/>
    <n v="372.9"/>
    <x v="22"/>
    <d v="2025-01-24T00:00:00"/>
    <x v="1"/>
    <x v="2"/>
    <n v="3"/>
    <s v="California"/>
    <s v="San Bernardino County"/>
    <n v="1"/>
    <x v="3"/>
    <s v="Male"/>
  </r>
  <r>
    <s v="TX500538"/>
    <s v="Shorts"/>
    <n v="2"/>
    <n v="32.799999999999997"/>
    <n v="65.599999999999994"/>
    <x v="22"/>
    <d v="2025-01-25T00:00:00"/>
    <x v="2"/>
    <x v="4"/>
    <n v="2"/>
    <s v="California"/>
    <s v="San Diego County"/>
    <n v="2"/>
    <x v="3"/>
    <s v="Female"/>
  </r>
  <r>
    <s v="TX500539"/>
    <s v="Crop Tops"/>
    <n v="1"/>
    <n v="49.9"/>
    <n v="49.9"/>
    <x v="22"/>
    <d v="2025-01-24T00:00:00"/>
    <x v="1"/>
    <x v="3"/>
    <n v="3"/>
    <s v="California"/>
    <s v="San Diego County"/>
    <n v="1"/>
    <x v="3"/>
    <s v="Male"/>
  </r>
  <r>
    <s v="TX500540"/>
    <s v="Hoodies &amp; Sweatshirts"/>
    <n v="5"/>
    <n v="79.2"/>
    <n v="396"/>
    <x v="22"/>
    <d v="2025-01-24T00:00:00"/>
    <x v="2"/>
    <x v="4"/>
    <n v="4"/>
    <s v="California"/>
    <s v="San Diego County"/>
    <n v="1"/>
    <x v="3"/>
    <s v="Female"/>
  </r>
  <r>
    <s v="TX500541"/>
    <s v="T-Shirts"/>
    <n v="16"/>
    <n v="19.5"/>
    <n v="312"/>
    <x v="22"/>
    <d v="2025-01-25T00:00:00"/>
    <x v="1"/>
    <x v="3"/>
    <n v="5"/>
    <s v="California"/>
    <s v="San Diego County"/>
    <n v="2"/>
    <x v="3"/>
    <s v="Male"/>
  </r>
  <r>
    <s v="TX500542"/>
    <s v="T-Shirts"/>
    <n v="4"/>
    <n v="18"/>
    <n v="72"/>
    <x v="22"/>
    <d v="2025-01-24T00:00:00"/>
    <x v="1"/>
    <x v="1"/>
    <n v="4"/>
    <s v="California"/>
    <s v="Santa Barbara County"/>
    <n v="1"/>
    <x v="3"/>
    <s v="Male"/>
  </r>
  <r>
    <s v="TX500543"/>
    <s v="Sundresses"/>
    <n v="3"/>
    <n v="45.9"/>
    <n v="137.69999999999999"/>
    <x v="22"/>
    <d v="2025-01-25T00:00:00"/>
    <x v="2"/>
    <x v="1"/>
    <n v="3"/>
    <s v="California"/>
    <s v="Santa Barbara County"/>
    <n v="2"/>
    <x v="3"/>
    <s v="Female"/>
  </r>
  <r>
    <s v="TX500544"/>
    <s v="Maxi Dresses"/>
    <n v="1"/>
    <n v="41.2"/>
    <n v="41.2"/>
    <x v="22"/>
    <d v="2025-01-25T00:00:00"/>
    <x v="2"/>
    <x v="1"/>
    <n v="5"/>
    <s v="California"/>
    <s v="Santa Clara County"/>
    <n v="2"/>
    <x v="3"/>
    <s v="Female"/>
  </r>
  <r>
    <s v="TX500545"/>
    <s v="Sneakers"/>
    <n v="10"/>
    <n v="167.2"/>
    <n v="1672"/>
    <x v="22"/>
    <d v="2025-01-25T00:00:00"/>
    <x v="2"/>
    <x v="2"/>
    <n v="5"/>
    <s v="California"/>
    <s v="Santa Cruz County"/>
    <n v="2"/>
    <x v="3"/>
    <s v="Female"/>
  </r>
  <r>
    <s v="TX500546"/>
    <s v="Jeans"/>
    <n v="30"/>
    <n v="74.5"/>
    <n v="2235"/>
    <x v="23"/>
    <d v="2025-01-27T00:00:00"/>
    <x v="2"/>
    <x v="1"/>
    <n v="5"/>
    <s v="California"/>
    <s v="Solano County"/>
    <n v="3"/>
    <x v="3"/>
    <s v="Female"/>
  </r>
  <r>
    <s v="TX500547"/>
    <s v="Hoodies &amp; Sweatshirts"/>
    <n v="4"/>
    <n v="39.299999999999997"/>
    <n v="157.19999999999999"/>
    <x v="23"/>
    <d v="2025-01-25T00:00:00"/>
    <x v="0"/>
    <x v="2"/>
    <n v="4"/>
    <s v="California"/>
    <s v="Stanislaus County"/>
    <n v="1"/>
    <x v="3"/>
    <s v="Unknown"/>
  </r>
  <r>
    <s v="TX500548"/>
    <s v="Sundresses"/>
    <n v="1"/>
    <n v="68.5"/>
    <n v="68.5"/>
    <x v="23"/>
    <d v="2025-01-27T00:00:00"/>
    <x v="1"/>
    <x v="1"/>
    <n v="5"/>
    <s v="California"/>
    <s v="Tehama County"/>
    <n v="3"/>
    <x v="3"/>
    <s v="Male"/>
  </r>
  <r>
    <s v="TX500549"/>
    <s v="Shorts"/>
    <n v="3"/>
    <n v="22.5"/>
    <n v="67.5"/>
    <x v="23"/>
    <d v="2025-01-24T00:00:00"/>
    <x v="2"/>
    <x v="4"/>
    <n v="4"/>
    <s v="California"/>
    <s v="Ventura County"/>
    <n v="0"/>
    <x v="3"/>
    <s v="Female"/>
  </r>
  <r>
    <s v="TX500550"/>
    <s v="Tank Tops"/>
    <n v="1"/>
    <n v="48"/>
    <n v="48"/>
    <x v="23"/>
    <d v="2025-01-25T00:00:00"/>
    <x v="3"/>
    <x v="4"/>
    <n v="3"/>
    <s v="California"/>
    <s v="Amador County"/>
    <n v="1"/>
    <x v="3"/>
    <s v="Other"/>
  </r>
  <r>
    <s v="TX500551"/>
    <s v="Jeans"/>
    <n v="1"/>
    <n v="94"/>
    <n v="94"/>
    <x v="23"/>
    <d v="2025-01-25T00:00:00"/>
    <x v="1"/>
    <x v="3"/>
    <n v="3"/>
    <s v="California"/>
    <s v="Contra Costa County"/>
    <n v="1"/>
    <x v="3"/>
    <s v="Male"/>
  </r>
  <r>
    <s v="TX500552"/>
    <s v="T-Shirts"/>
    <n v="3"/>
    <n v="21.9"/>
    <n v="65.699999999999989"/>
    <x v="23"/>
    <d v="2025-01-25T00:00:00"/>
    <x v="2"/>
    <x v="0"/>
    <n v="4"/>
    <s v="California"/>
    <s v="Humboldt County"/>
    <n v="1"/>
    <x v="3"/>
    <s v="Female"/>
  </r>
  <r>
    <s v="TX500553"/>
    <s v="Jeans"/>
    <n v="7"/>
    <n v="64.900000000000006"/>
    <n v="454.30000000000007"/>
    <x v="23"/>
    <d v="2025-01-25T00:00:00"/>
    <x v="2"/>
    <x v="0"/>
    <n v="4"/>
    <s v="California"/>
    <s v="Los Angeles County"/>
    <n v="1"/>
    <x v="3"/>
    <s v="Female"/>
  </r>
  <r>
    <s v="TX500554"/>
    <s v="Casual Dresses"/>
    <n v="1"/>
    <n v="52.9"/>
    <n v="52.9"/>
    <x v="23"/>
    <d v="2025-01-24T00:00:00"/>
    <x v="2"/>
    <x v="1"/>
    <n v="3"/>
    <s v="California"/>
    <s v="Los Angeles County"/>
    <n v="0"/>
    <x v="3"/>
    <s v="Female"/>
  </r>
  <r>
    <s v="TX500555"/>
    <s v="T-Shirts"/>
    <n v="3"/>
    <n v="25.5"/>
    <n v="76.5"/>
    <x v="23"/>
    <d v="2025-01-25T00:00:00"/>
    <x v="2"/>
    <x v="1"/>
    <n v="5"/>
    <s v="California"/>
    <s v="Los Angeles County"/>
    <n v="1"/>
    <x v="3"/>
    <s v="Female"/>
  </r>
  <r>
    <s v="TX500556"/>
    <s v="Jeans"/>
    <n v="3"/>
    <n v="51.9"/>
    <n v="155.69999999999999"/>
    <x v="23"/>
    <d v="2025-01-25T00:00:00"/>
    <x v="2"/>
    <x v="3"/>
    <n v="4"/>
    <s v="California"/>
    <s v="Los Angeles County"/>
    <n v="1"/>
    <x v="3"/>
    <s v="Female"/>
  </r>
  <r>
    <s v="TX500557"/>
    <s v="Sandals"/>
    <n v="1"/>
    <n v="46.3"/>
    <n v="46.3"/>
    <x v="23"/>
    <d v="2025-01-27T00:00:00"/>
    <x v="2"/>
    <x v="4"/>
    <n v="4"/>
    <s v="California"/>
    <s v="Los Angeles County"/>
    <n v="3"/>
    <x v="3"/>
    <s v="Female"/>
  </r>
  <r>
    <s v="TX500558"/>
    <s v="Jeans"/>
    <n v="2"/>
    <n v="68.2"/>
    <n v="136.4"/>
    <x v="23"/>
    <d v="2025-01-26T00:00:00"/>
    <x v="2"/>
    <x v="3"/>
    <n v="4"/>
    <s v="California"/>
    <s v="Los Angeles County"/>
    <n v="2"/>
    <x v="3"/>
    <s v="Female"/>
  </r>
  <r>
    <s v="TX500559"/>
    <s v="Tank Tops"/>
    <n v="1"/>
    <n v="40.299999999999997"/>
    <n v="40.299999999999997"/>
    <x v="23"/>
    <d v="2025-01-25T00:00:00"/>
    <x v="1"/>
    <x v="0"/>
    <n v="3"/>
    <s v="California"/>
    <s v="Los Angeles County"/>
    <n v="1"/>
    <x v="3"/>
    <s v="Male"/>
  </r>
  <r>
    <s v="TX500560"/>
    <s v="Sneakers"/>
    <n v="3"/>
    <n v="91.3"/>
    <n v="273.89999999999998"/>
    <x v="23"/>
    <d v="2025-01-29T00:00:00"/>
    <x v="1"/>
    <x v="0"/>
    <n v="5"/>
    <s v="California"/>
    <s v="Sacramento County"/>
    <n v="5"/>
    <x v="3"/>
    <s v="Male"/>
  </r>
  <r>
    <s v="TX500561"/>
    <s v="Shorts"/>
    <n v="3"/>
    <n v="11.9"/>
    <n v="35.700000000000003"/>
    <x v="23"/>
    <d v="2025-01-25T00:00:00"/>
    <x v="2"/>
    <x v="0"/>
    <n v="3"/>
    <s v="California"/>
    <s v="Sacramento County"/>
    <n v="1"/>
    <x v="3"/>
    <s v="Female"/>
  </r>
  <r>
    <s v="TX500562"/>
    <s v="Sneakers"/>
    <n v="2"/>
    <n v="63.5"/>
    <n v="127"/>
    <x v="23"/>
    <d v="2025-01-26T00:00:00"/>
    <x v="1"/>
    <x v="1"/>
    <n v="4"/>
    <s v="California"/>
    <s v="Sacramento County"/>
    <n v="2"/>
    <x v="3"/>
    <s v="Male"/>
  </r>
  <r>
    <s v="TX500563"/>
    <s v="Graphic Tees"/>
    <n v="2"/>
    <n v="27.1"/>
    <n v="54.2"/>
    <x v="23"/>
    <d v="2025-01-27T00:00:00"/>
    <x v="1"/>
    <x v="2"/>
    <n v="5"/>
    <s v="California"/>
    <s v="Sacramento County"/>
    <n v="3"/>
    <x v="3"/>
    <s v="Male"/>
  </r>
  <r>
    <s v="TX500564"/>
    <s v="Tank Tops"/>
    <n v="2"/>
    <n v="82.1"/>
    <n v="164.2"/>
    <x v="24"/>
    <d v="2025-01-28T00:00:00"/>
    <x v="1"/>
    <x v="1"/>
    <n v="3"/>
    <s v="California"/>
    <s v="San Bernardino County"/>
    <n v="3"/>
    <x v="3"/>
    <s v="Male"/>
  </r>
  <r>
    <s v="TX500565"/>
    <s v="Workout Tops"/>
    <n v="5"/>
    <n v="42.9"/>
    <n v="214.5"/>
    <x v="24"/>
    <d v="2025-01-27T00:00:00"/>
    <x v="2"/>
    <x v="1"/>
    <n v="4"/>
    <s v="California"/>
    <s v="San Diego County"/>
    <n v="2"/>
    <x v="3"/>
    <s v="Female"/>
  </r>
  <r>
    <s v="TX500566"/>
    <s v="T-Shirts"/>
    <n v="11"/>
    <n v="37.9"/>
    <n v="416.9"/>
    <x v="24"/>
    <d v="2025-02-01T00:00:00"/>
    <x v="1"/>
    <x v="0"/>
    <n v="4"/>
    <s v="California"/>
    <s v="San Diego County"/>
    <n v="7"/>
    <x v="3"/>
    <s v="Male"/>
  </r>
  <r>
    <s v="TX500567"/>
    <s v="Shorts"/>
    <n v="1"/>
    <n v="22.4"/>
    <n v="22.4"/>
    <x v="24"/>
    <d v="2025-01-26T00:00:00"/>
    <x v="2"/>
    <x v="0"/>
    <n v="3"/>
    <s v="California"/>
    <s v="San Francisco"/>
    <n v="1"/>
    <x v="3"/>
    <s v="Female"/>
  </r>
  <r>
    <s v="TX500568"/>
    <s v="Sneakers"/>
    <n v="13"/>
    <n v="79.900000000000006"/>
    <n v="1038.7"/>
    <x v="24"/>
    <d v="2025-02-07T00:00:00"/>
    <x v="2"/>
    <x v="3"/>
    <n v="3"/>
    <s v="California"/>
    <s v="Santa Clara County"/>
    <n v="13"/>
    <x v="3"/>
    <s v="Female"/>
  </r>
  <r>
    <s v="TX500569"/>
    <s v="Tank Tops"/>
    <n v="1"/>
    <n v="70.599999999999994"/>
    <n v="70.599999999999994"/>
    <x v="24"/>
    <d v="2025-01-28T00:00:00"/>
    <x v="2"/>
    <x v="0"/>
    <n v="3"/>
    <s v="California"/>
    <s v="Santa Clara County"/>
    <n v="3"/>
    <x v="3"/>
    <s v="Female"/>
  </r>
  <r>
    <s v="TX500570"/>
    <s v="Jeans"/>
    <n v="1"/>
    <n v="49.5"/>
    <n v="49.5"/>
    <x v="24"/>
    <d v="2025-01-27T00:00:00"/>
    <x v="1"/>
    <x v="0"/>
    <n v="4"/>
    <s v="California"/>
    <s v="Ventura County"/>
    <n v="2"/>
    <x v="3"/>
    <s v="Male"/>
  </r>
  <r>
    <s v="TX500571"/>
    <s v="Sneakers"/>
    <n v="2"/>
    <n v="96.6"/>
    <n v="193.2"/>
    <x v="24"/>
    <d v="2025-01-27T00:00:00"/>
    <x v="1"/>
    <x v="0"/>
    <n v="4"/>
    <s v="California"/>
    <s v="Alameda County"/>
    <n v="2"/>
    <x v="3"/>
    <s v="Male"/>
  </r>
  <r>
    <s v="TX500572"/>
    <s v="Jeans"/>
    <n v="2"/>
    <n v="52.8"/>
    <n v="105.6"/>
    <x v="24"/>
    <d v="2025-01-26T00:00:00"/>
    <x v="2"/>
    <x v="1"/>
    <n v="3"/>
    <s v="California"/>
    <s v="Alameda County"/>
    <n v="1"/>
    <x v="3"/>
    <s v="Female"/>
  </r>
  <r>
    <s v="TX500573"/>
    <s v="Sneakers"/>
    <n v="1"/>
    <n v="101.7"/>
    <n v="101.7"/>
    <x v="24"/>
    <d v="2025-01-26T00:00:00"/>
    <x v="1"/>
    <x v="0"/>
    <n v="4"/>
    <s v="California"/>
    <s v="Contra Costa County"/>
    <n v="1"/>
    <x v="3"/>
    <s v="Male"/>
  </r>
  <r>
    <s v="TX500574"/>
    <s v="Graphic Tees"/>
    <n v="5"/>
    <n v="26.9"/>
    <n v="134.5"/>
    <x v="24"/>
    <d v="2025-01-30T00:00:00"/>
    <x v="2"/>
    <x v="1"/>
    <n v="3"/>
    <s v="California"/>
    <s v="Kern County"/>
    <n v="5"/>
    <x v="3"/>
    <s v="Female"/>
  </r>
  <r>
    <s v="TX500575"/>
    <s v="Sneakers"/>
    <n v="4"/>
    <n v="211"/>
    <n v="844"/>
    <x v="24"/>
    <d v="2025-01-25T00:00:00"/>
    <x v="2"/>
    <x v="1"/>
    <n v="3"/>
    <s v="California"/>
    <s v="Los Angeles County"/>
    <n v="0"/>
    <x v="3"/>
    <s v="Female"/>
  </r>
  <r>
    <s v="TX500576"/>
    <s v="Shorts"/>
    <n v="4"/>
    <n v="21.1"/>
    <n v="84.4"/>
    <x v="24"/>
    <d v="2025-01-28T00:00:00"/>
    <x v="1"/>
    <x v="4"/>
    <n v="4"/>
    <s v="California"/>
    <s v="Los Angeles County"/>
    <n v="3"/>
    <x v="3"/>
    <s v="Male"/>
  </r>
  <r>
    <s v="TX500577"/>
    <s v="Bikinis"/>
    <n v="1"/>
    <n v="26.6"/>
    <n v="26.6"/>
    <x v="24"/>
    <d v="2025-01-27T00:00:00"/>
    <x v="1"/>
    <x v="0"/>
    <n v="2"/>
    <s v="California"/>
    <s v="Los Angeles County"/>
    <n v="2"/>
    <x v="3"/>
    <s v="Male"/>
  </r>
  <r>
    <s v="TX500578"/>
    <s v="Casual Dresses"/>
    <n v="4"/>
    <n v="51.2"/>
    <n v="204.8"/>
    <x v="24"/>
    <d v="2025-01-26T00:00:00"/>
    <x v="2"/>
    <x v="3"/>
    <n v="4"/>
    <s v="California"/>
    <s v="Mono County"/>
    <n v="1"/>
    <x v="3"/>
    <s v="Female"/>
  </r>
  <r>
    <s v="TX500579"/>
    <s v="Shorts"/>
    <n v="5"/>
    <n v="10.6"/>
    <n v="53"/>
    <x v="24"/>
    <d v="2025-01-29T00:00:00"/>
    <x v="2"/>
    <x v="0"/>
    <n v="4"/>
    <s v="California"/>
    <s v="San Diego County"/>
    <n v="4"/>
    <x v="3"/>
    <s v="Female"/>
  </r>
  <r>
    <s v="TX500580"/>
    <s v="Jeans"/>
    <n v="3"/>
    <n v="43.4"/>
    <n v="130.19999999999999"/>
    <x v="24"/>
    <d v="2025-01-28T00:00:00"/>
    <x v="2"/>
    <x v="4"/>
    <n v="4"/>
    <s v="California"/>
    <s v="San Diego County"/>
    <n v="3"/>
    <x v="3"/>
    <s v="Female"/>
  </r>
  <r>
    <s v="TX500581"/>
    <s v="Casual Dresses"/>
    <n v="1"/>
    <n v="80"/>
    <n v="80"/>
    <x v="24"/>
    <d v="2025-01-25T00:00:00"/>
    <x v="2"/>
    <x v="0"/>
    <n v="5"/>
    <s v="California"/>
    <s v="San Diego County"/>
    <n v="0"/>
    <x v="3"/>
    <s v="Female"/>
  </r>
  <r>
    <s v="TX500582"/>
    <s v="Bikinis"/>
    <n v="4"/>
    <n v="64.7"/>
    <n v="258.8"/>
    <x v="24"/>
    <d v="2025-01-27T00:00:00"/>
    <x v="2"/>
    <x v="1"/>
    <n v="2"/>
    <s v="California"/>
    <s v="San Diego County"/>
    <n v="2"/>
    <x v="3"/>
    <s v="Female"/>
  </r>
  <r>
    <s v="TX500583"/>
    <s v="T-Shirts"/>
    <n v="11"/>
    <n v="26.3"/>
    <n v="289.3"/>
    <x v="25"/>
    <d v="2025-01-26T00:00:00"/>
    <x v="2"/>
    <x v="4"/>
    <n v="3"/>
    <s v="California"/>
    <s v="San Joaquin County"/>
    <n v="0"/>
    <x v="4"/>
    <s v="Female"/>
  </r>
  <r>
    <s v="TX500584"/>
    <s v="Bikinis"/>
    <n v="1"/>
    <n v="28.5"/>
    <n v="28.5"/>
    <x v="25"/>
    <d v="2025-01-26T00:00:00"/>
    <x v="1"/>
    <x v="0"/>
    <n v="3"/>
    <s v="California"/>
    <s v="San Mateo County"/>
    <n v="0"/>
    <x v="4"/>
    <s v="Male"/>
  </r>
  <r>
    <s v="TX500585"/>
    <s v="Pajama Sets"/>
    <n v="1"/>
    <n v="47.8"/>
    <n v="47.8"/>
    <x v="25"/>
    <d v="2025-01-28T00:00:00"/>
    <x v="2"/>
    <x v="0"/>
    <n v="3"/>
    <s v="California"/>
    <s v="San Mateo County"/>
    <n v="2"/>
    <x v="4"/>
    <s v="Female"/>
  </r>
  <r>
    <s v="TX500586"/>
    <s v="Bikinis"/>
    <n v="3"/>
    <n v="42.8"/>
    <n v="128.39999999999998"/>
    <x v="25"/>
    <d v="2025-01-29T00:00:00"/>
    <x v="2"/>
    <x v="4"/>
    <n v="3"/>
    <s v="California"/>
    <s v="Santa Clara County"/>
    <n v="3"/>
    <x v="4"/>
    <s v="Female"/>
  </r>
  <r>
    <s v="TX500587"/>
    <s v="Jeans"/>
    <n v="5"/>
    <n v="46.8"/>
    <n v="234"/>
    <x v="25"/>
    <d v="2025-01-31T00:00:00"/>
    <x v="2"/>
    <x v="1"/>
    <n v="5"/>
    <s v="California"/>
    <s v="Santa Clara County"/>
    <n v="5"/>
    <x v="4"/>
    <s v="Female"/>
  </r>
  <r>
    <s v="TX500588"/>
    <s v="Tank Tops"/>
    <n v="10"/>
    <n v="64.099999999999994"/>
    <n v="641"/>
    <x v="25"/>
    <d v="2025-01-27T00:00:00"/>
    <x v="1"/>
    <x v="1"/>
    <n v="4"/>
    <s v="California"/>
    <s v="Santa Clara County"/>
    <n v="1"/>
    <x v="4"/>
    <s v="Male"/>
  </r>
  <r>
    <s v="TX500589"/>
    <s v="Sneakers"/>
    <n v="1"/>
    <n v="89.1"/>
    <n v="89.1"/>
    <x v="25"/>
    <d v="2025-01-27T00:00:00"/>
    <x v="2"/>
    <x v="0"/>
    <n v="3"/>
    <s v="California"/>
    <s v="Tulare County"/>
    <n v="1"/>
    <x v="4"/>
    <s v="Female"/>
  </r>
  <r>
    <s v="TX500590"/>
    <s v="Sneakers"/>
    <n v="3"/>
    <n v="83.1"/>
    <n v="249.29999999999998"/>
    <x v="25"/>
    <d v="2025-01-27T00:00:00"/>
    <x v="2"/>
    <x v="2"/>
    <n v="3"/>
    <s v="California"/>
    <s v="Ventura County"/>
    <n v="1"/>
    <x v="4"/>
    <s v="Female"/>
  </r>
  <r>
    <s v="TX500591"/>
    <s v="T-Shirts"/>
    <n v="3"/>
    <n v="40.9"/>
    <n v="122.69999999999999"/>
    <x v="25"/>
    <d v="2025-01-27T00:00:00"/>
    <x v="1"/>
    <x v="0"/>
    <n v="4"/>
    <s v="California"/>
    <s v="Contra Costa County"/>
    <n v="1"/>
    <x v="4"/>
    <s v="Male"/>
  </r>
  <r>
    <s v="TX500592"/>
    <s v="Sneakers"/>
    <n v="2"/>
    <n v="125.7"/>
    <n v="251.4"/>
    <x v="25"/>
    <d v="2025-01-27T00:00:00"/>
    <x v="2"/>
    <x v="3"/>
    <n v="4"/>
    <s v="California"/>
    <s v="Fresno County"/>
    <n v="1"/>
    <x v="4"/>
    <s v="Female"/>
  </r>
  <r>
    <s v="TX500593"/>
    <s v="Workout Tops"/>
    <n v="2"/>
    <n v="30.9"/>
    <n v="61.8"/>
    <x v="25"/>
    <d v="2025-01-26T00:00:00"/>
    <x v="2"/>
    <x v="2"/>
    <n v="5"/>
    <s v="California"/>
    <s v="Kern County"/>
    <n v="0"/>
    <x v="4"/>
    <s v="Female"/>
  </r>
  <r>
    <s v="TX500594"/>
    <s v="T-Shirts"/>
    <n v="2"/>
    <n v="18.3"/>
    <n v="36.6"/>
    <x v="25"/>
    <d v="2025-01-27T00:00:00"/>
    <x v="2"/>
    <x v="1"/>
    <n v="4"/>
    <s v="California"/>
    <s v="Los Angeles County"/>
    <n v="1"/>
    <x v="4"/>
    <s v="Female"/>
  </r>
  <r>
    <s v="TX500595"/>
    <s v="Graphic Tees"/>
    <n v="2"/>
    <n v="56.5"/>
    <n v="113"/>
    <x v="25"/>
    <d v="2025-01-30T00:00:00"/>
    <x v="1"/>
    <x v="2"/>
    <n v="5"/>
    <s v="California"/>
    <s v="Los Angeles County"/>
    <n v="4"/>
    <x v="4"/>
    <s v="Male"/>
  </r>
  <r>
    <s v="TX500596"/>
    <s v="Bikinis"/>
    <n v="7"/>
    <n v="29.9"/>
    <n v="209.29999999999998"/>
    <x v="25"/>
    <d v="2025-01-28T00:00:00"/>
    <x v="1"/>
    <x v="4"/>
    <n v="5"/>
    <s v="California"/>
    <s v="Los Angeles County"/>
    <n v="2"/>
    <x v="4"/>
    <s v="Male"/>
  </r>
  <r>
    <s v="TX500597"/>
    <s v="Sandals"/>
    <n v="2"/>
    <n v="50.4"/>
    <n v="100.8"/>
    <x v="25"/>
    <d v="2025-01-27T00:00:00"/>
    <x v="2"/>
    <x v="2"/>
    <n v="4"/>
    <s v="California"/>
    <s v="Los Angeles County"/>
    <n v="1"/>
    <x v="4"/>
    <s v="Female"/>
  </r>
  <r>
    <s v="TX500598"/>
    <s v="Sneakers"/>
    <n v="1"/>
    <n v="85.8"/>
    <n v="85.8"/>
    <x v="25"/>
    <d v="2025-01-26T00:00:00"/>
    <x v="2"/>
    <x v="2"/>
    <n v="5"/>
    <s v="California"/>
    <s v="Los Angeles County"/>
    <n v="0"/>
    <x v="4"/>
    <s v="Female"/>
  </r>
  <r>
    <s v="TX500599"/>
    <s v="Graphic Tees"/>
    <n v="16"/>
    <n v="66.599999999999994"/>
    <n v="1065.5999999999999"/>
    <x v="25"/>
    <d v="2025-01-28T00:00:00"/>
    <x v="1"/>
    <x v="1"/>
    <n v="4"/>
    <s v="California"/>
    <s v="Los Angeles County"/>
    <n v="2"/>
    <x v="4"/>
    <s v="Male"/>
  </r>
  <r>
    <s v="TX500600"/>
    <s v="Jeans"/>
    <n v="4"/>
    <n v="70.3"/>
    <n v="281.2"/>
    <x v="25"/>
    <d v="2025-01-27T00:00:00"/>
    <x v="2"/>
    <x v="0"/>
    <n v="3"/>
    <s v="California"/>
    <s v="Los Angeles County"/>
    <n v="1"/>
    <x v="4"/>
    <s v="Female"/>
  </r>
  <r>
    <s v="TX500601"/>
    <s v="T-Shirts"/>
    <n v="4"/>
    <n v="31"/>
    <n v="124"/>
    <x v="25"/>
    <d v="2025-01-29T00:00:00"/>
    <x v="1"/>
    <x v="0"/>
    <n v="5"/>
    <s v="California"/>
    <s v="Los Angeles County"/>
    <n v="3"/>
    <x v="4"/>
    <s v="Male"/>
  </r>
  <r>
    <s v="TX500602"/>
    <s v="Hoodies &amp; Sweatshirts"/>
    <n v="6"/>
    <n v="81.599999999999994"/>
    <n v="489.59999999999997"/>
    <x v="25"/>
    <d v="2025-01-27T00:00:00"/>
    <x v="2"/>
    <x v="1"/>
    <n v="3"/>
    <s v="California"/>
    <s v="Madera County"/>
    <n v="1"/>
    <x v="4"/>
    <s v="Female"/>
  </r>
  <r>
    <s v="TX500603"/>
    <s v="Tank Tops"/>
    <n v="25"/>
    <n v="58.3"/>
    <n v="1457.5"/>
    <x v="25"/>
    <d v="2025-01-27T00:00:00"/>
    <x v="2"/>
    <x v="0"/>
    <n v="4"/>
    <s v="California"/>
    <s v="Napa County"/>
    <n v="1"/>
    <x v="4"/>
    <s v="Female"/>
  </r>
  <r>
    <s v="TX500604"/>
    <s v="Tank Tops"/>
    <n v="4"/>
    <n v="35.1"/>
    <n v="140.4"/>
    <x v="25"/>
    <d v="2025-01-28T00:00:00"/>
    <x v="1"/>
    <x v="0"/>
    <n v="5"/>
    <s v="California"/>
    <s v="San Diego County"/>
    <n v="2"/>
    <x v="4"/>
    <s v="Male"/>
  </r>
  <r>
    <s v="TX500605"/>
    <s v="Sneakers"/>
    <n v="1"/>
    <n v="80.2"/>
    <n v="80.2"/>
    <x v="25"/>
    <d v="2025-01-27T00:00:00"/>
    <x v="1"/>
    <x v="3"/>
    <n v="5"/>
    <s v="California"/>
    <s v="San Diego County"/>
    <n v="1"/>
    <x v="4"/>
    <s v="Male"/>
  </r>
  <r>
    <s v="TX500606"/>
    <s v="Baseball Caps"/>
    <n v="3"/>
    <n v="39.200000000000003"/>
    <n v="117.60000000000001"/>
    <x v="25"/>
    <d v="2025-01-28T00:00:00"/>
    <x v="2"/>
    <x v="1"/>
    <n v="4"/>
    <s v="California"/>
    <s v="San Mateo County"/>
    <n v="2"/>
    <x v="4"/>
    <s v="Female"/>
  </r>
  <r>
    <s v="TX500607"/>
    <s v="Shorts"/>
    <n v="2"/>
    <n v="15.4"/>
    <n v="30.8"/>
    <x v="25"/>
    <d v="2025-01-26T00:00:00"/>
    <x v="2"/>
    <x v="3"/>
    <n v="4"/>
    <s v="California"/>
    <s v="Sierra County"/>
    <n v="0"/>
    <x v="4"/>
    <s v="Female"/>
  </r>
  <r>
    <s v="TX500608"/>
    <s v="Workout Tops"/>
    <n v="3"/>
    <n v="65.400000000000006"/>
    <n v="196.20000000000002"/>
    <x v="25"/>
    <d v="2025-01-29T00:00:00"/>
    <x v="1"/>
    <x v="3"/>
    <n v="4"/>
    <s v="California"/>
    <s v="Sonoma County"/>
    <n v="3"/>
    <x v="4"/>
    <s v="Male"/>
  </r>
  <r>
    <s v="TX500609"/>
    <s v="Tank Tops"/>
    <n v="8"/>
    <n v="63.2"/>
    <n v="505.6"/>
    <x v="25"/>
    <d v="2025-01-28T00:00:00"/>
    <x v="2"/>
    <x v="1"/>
    <n v="4"/>
    <s v="California"/>
    <s v="Stanislaus County"/>
    <n v="2"/>
    <x v="4"/>
    <s v="Female"/>
  </r>
  <r>
    <s v="TX500610"/>
    <s v="Tank Tops"/>
    <n v="6"/>
    <n v="35.700000000000003"/>
    <n v="214.20000000000002"/>
    <x v="25"/>
    <d v="2025-01-30T00:00:00"/>
    <x v="2"/>
    <x v="4"/>
    <n v="3"/>
    <s v="California"/>
    <s v="Stanislaus County"/>
    <n v="4"/>
    <x v="4"/>
    <s v="Female"/>
  </r>
  <r>
    <s v="TX500611"/>
    <s v="Shorts"/>
    <n v="20"/>
    <n v="26.2"/>
    <n v="524"/>
    <x v="25"/>
    <d v="2025-01-27T00:00:00"/>
    <x v="2"/>
    <x v="3"/>
    <n v="4"/>
    <s v="California"/>
    <s v="Alameda County"/>
    <n v="1"/>
    <x v="4"/>
    <s v="Female"/>
  </r>
  <r>
    <s v="TX500612"/>
    <s v="Hoodies &amp; Sweatshirts"/>
    <n v="2"/>
    <n v="31"/>
    <n v="62"/>
    <x v="25"/>
    <d v="2025-01-27T00:00:00"/>
    <x v="2"/>
    <x v="0"/>
    <n v="5"/>
    <s v="California"/>
    <s v="Contra Costa County"/>
    <n v="1"/>
    <x v="4"/>
    <s v="Female"/>
  </r>
  <r>
    <s v="TX500613"/>
    <s v="T-Shirts"/>
    <n v="4"/>
    <n v="37.700000000000003"/>
    <n v="150.80000000000001"/>
    <x v="25"/>
    <d v="2025-01-27T00:00:00"/>
    <x v="2"/>
    <x v="1"/>
    <n v="4"/>
    <s v="California"/>
    <s v="Kern County"/>
    <n v="1"/>
    <x v="4"/>
    <s v="Female"/>
  </r>
  <r>
    <s v="TX500614"/>
    <s v="Bikinis"/>
    <n v="34"/>
    <n v="43.6"/>
    <n v="1482.4"/>
    <x v="25"/>
    <d v="2025-01-28T00:00:00"/>
    <x v="2"/>
    <x v="4"/>
    <n v="3"/>
    <s v="California"/>
    <s v="Los Angeles County"/>
    <n v="2"/>
    <x v="4"/>
    <s v="Female"/>
  </r>
  <r>
    <s v="TX500615"/>
    <s v="Sundresses"/>
    <n v="4"/>
    <n v="26.5"/>
    <n v="106"/>
    <x v="25"/>
    <d v="2025-01-28T00:00:00"/>
    <x v="1"/>
    <x v="0"/>
    <n v="2"/>
    <s v="California"/>
    <s v="Los Angeles County"/>
    <n v="2"/>
    <x v="4"/>
    <s v="Male"/>
  </r>
  <r>
    <s v="TX500616"/>
    <s v="Shorts"/>
    <n v="2"/>
    <n v="34.6"/>
    <n v="69.2"/>
    <x v="25"/>
    <d v="2025-01-27T00:00:00"/>
    <x v="1"/>
    <x v="4"/>
    <n v="3"/>
    <s v="California"/>
    <s v="Los Angeles County"/>
    <n v="1"/>
    <x v="4"/>
    <s v="Male"/>
  </r>
  <r>
    <s v="TX500617"/>
    <s v="T-Shirts"/>
    <n v="2"/>
    <n v="58.2"/>
    <n v="116.4"/>
    <x v="25"/>
    <d v="2025-01-27T00:00:00"/>
    <x v="1"/>
    <x v="2"/>
    <n v="5"/>
    <s v="California"/>
    <s v="Los Angeles County"/>
    <n v="1"/>
    <x v="4"/>
    <s v="Male"/>
  </r>
  <r>
    <s v="TX500618"/>
    <s v="Hoodies &amp; Sweatshirts"/>
    <n v="1"/>
    <n v="30.2"/>
    <n v="30.2"/>
    <x v="26"/>
    <d v="2025-01-28T00:00:00"/>
    <x v="2"/>
    <x v="2"/>
    <n v="3"/>
    <s v="California"/>
    <s v="Los Angeles County"/>
    <n v="1"/>
    <x v="4"/>
    <s v="Female"/>
  </r>
  <r>
    <s v="TX500619"/>
    <s v="Tank Tops"/>
    <n v="10"/>
    <n v="53.2"/>
    <n v="532"/>
    <x v="26"/>
    <d v="2025-01-28T00:00:00"/>
    <x v="1"/>
    <x v="0"/>
    <n v="5"/>
    <s v="California"/>
    <s v="Placer County"/>
    <n v="1"/>
    <x v="4"/>
    <s v="Male"/>
  </r>
  <r>
    <s v="TX500620"/>
    <s v="Casual Dresses"/>
    <n v="6"/>
    <n v="51.1"/>
    <n v="306.60000000000002"/>
    <x v="26"/>
    <d v="2025-01-27T00:00:00"/>
    <x v="1"/>
    <x v="1"/>
    <n v="5"/>
    <s v="California"/>
    <s v="Placer County"/>
    <n v="0"/>
    <x v="4"/>
    <s v="Male"/>
  </r>
  <r>
    <s v="TX500621"/>
    <s v="Tank Tops"/>
    <n v="1"/>
    <n v="105.4"/>
    <n v="105.4"/>
    <x v="26"/>
    <d v="2025-01-31T00:00:00"/>
    <x v="2"/>
    <x v="1"/>
    <n v="5"/>
    <s v="California"/>
    <s v="Riverside County"/>
    <n v="4"/>
    <x v="4"/>
    <s v="Female"/>
  </r>
  <r>
    <s v="TX500622"/>
    <s v="Hoodies &amp; Sweatshirts"/>
    <n v="1"/>
    <n v="57.7"/>
    <n v="57.7"/>
    <x v="26"/>
    <d v="2025-01-27T00:00:00"/>
    <x v="1"/>
    <x v="0"/>
    <n v="2"/>
    <s v="California"/>
    <s v="San Diego County"/>
    <n v="0"/>
    <x v="4"/>
    <s v="Male"/>
  </r>
  <r>
    <s v="TX500623"/>
    <s v="Crop Tops"/>
    <n v="2"/>
    <n v="72.400000000000006"/>
    <n v="144.80000000000001"/>
    <x v="26"/>
    <d v="2025-02-01T00:00:00"/>
    <x v="2"/>
    <x v="0"/>
    <n v="4"/>
    <s v="California"/>
    <s v="San Francisco"/>
    <n v="5"/>
    <x v="4"/>
    <s v="Female"/>
  </r>
  <r>
    <s v="TX500624"/>
    <s v="Jeans"/>
    <n v="2"/>
    <n v="62.5"/>
    <n v="125"/>
    <x v="26"/>
    <d v="2025-01-28T00:00:00"/>
    <x v="0"/>
    <x v="0"/>
    <n v="5"/>
    <s v="California"/>
    <s v="Santa Clara County"/>
    <n v="1"/>
    <x v="4"/>
    <s v="Unknown"/>
  </r>
  <r>
    <s v="TX500625"/>
    <s v="Shorts"/>
    <n v="22"/>
    <n v="11.6"/>
    <n v="255.2"/>
    <x v="26"/>
    <d v="2025-01-29T00:00:00"/>
    <x v="2"/>
    <x v="3"/>
    <n v="5"/>
    <s v="California"/>
    <s v="Sonoma County"/>
    <n v="2"/>
    <x v="4"/>
    <s v="Female"/>
  </r>
  <r>
    <s v="TX500626"/>
    <s v="Bikinis"/>
    <n v="10"/>
    <n v="39.6"/>
    <n v="396"/>
    <x v="26"/>
    <d v="2025-01-29T00:00:00"/>
    <x v="2"/>
    <x v="2"/>
    <n v="5"/>
    <s v="California"/>
    <s v="Sonoma County"/>
    <n v="2"/>
    <x v="4"/>
    <s v="Female"/>
  </r>
  <r>
    <s v="TX500627"/>
    <s v="T-Shirts"/>
    <n v="2"/>
    <n v="40.1"/>
    <n v="80.2"/>
    <x v="26"/>
    <d v="2025-01-28T00:00:00"/>
    <x v="2"/>
    <x v="2"/>
    <n v="4"/>
    <s v="California"/>
    <s v="Sonoma County"/>
    <n v="1"/>
    <x v="4"/>
    <s v="Female"/>
  </r>
  <r>
    <s v="TX500628"/>
    <s v="T-Shirts"/>
    <n v="3"/>
    <n v="18.600000000000001"/>
    <n v="55.800000000000004"/>
    <x v="26"/>
    <d v="2025-01-28T00:00:00"/>
    <x v="2"/>
    <x v="2"/>
    <n v="4"/>
    <s v="California"/>
    <s v="Alameda County"/>
    <n v="1"/>
    <x v="4"/>
    <s v="Female"/>
  </r>
  <r>
    <s v="TX500629"/>
    <s v="Graphic Tees"/>
    <n v="1"/>
    <n v="58.8"/>
    <n v="58.8"/>
    <x v="26"/>
    <d v="2025-01-29T00:00:00"/>
    <x v="2"/>
    <x v="0"/>
    <n v="3"/>
    <s v="California"/>
    <s v="Alameda County"/>
    <n v="2"/>
    <x v="4"/>
    <s v="Female"/>
  </r>
  <r>
    <s v="TX500630"/>
    <s v="T-Shirts"/>
    <n v="2"/>
    <n v="22.1"/>
    <n v="44.2"/>
    <x v="26"/>
    <d v="2025-01-30T00:00:00"/>
    <x v="1"/>
    <x v="1"/>
    <n v="5"/>
    <s v="California"/>
    <s v="Alameda County"/>
    <n v="3"/>
    <x v="4"/>
    <s v="Male"/>
  </r>
  <r>
    <s v="TX500631"/>
    <s v="Sneakers"/>
    <n v="1"/>
    <n v="114.9"/>
    <n v="114.9"/>
    <x v="27"/>
    <d v="2025-01-29T00:00:00"/>
    <x v="2"/>
    <x v="1"/>
    <n v="3"/>
    <s v="California"/>
    <s v="Kern County"/>
    <n v="1"/>
    <x v="4"/>
    <s v="Female"/>
  </r>
  <r>
    <s v="TX500632"/>
    <s v="Sundresses"/>
    <n v="5"/>
    <n v="75.8"/>
    <n v="379"/>
    <x v="27"/>
    <d v="2025-01-29T00:00:00"/>
    <x v="1"/>
    <x v="0"/>
    <n v="5"/>
    <s v="California"/>
    <s v="Los Angeles County"/>
    <n v="1"/>
    <x v="4"/>
    <s v="Male"/>
  </r>
  <r>
    <s v="TX500633"/>
    <s v="Baseball Caps"/>
    <n v="5"/>
    <n v="20.6"/>
    <n v="103"/>
    <x v="27"/>
    <d v="2025-01-29T00:00:00"/>
    <x v="1"/>
    <x v="2"/>
    <n v="5"/>
    <s v="California"/>
    <s v="Los Angeles County"/>
    <n v="1"/>
    <x v="4"/>
    <s v="Male"/>
  </r>
  <r>
    <s v="TX500634"/>
    <s v="Pajama Sets"/>
    <n v="3"/>
    <n v="67.900000000000006"/>
    <n v="203.70000000000002"/>
    <x v="27"/>
    <d v="2025-01-29T00:00:00"/>
    <x v="2"/>
    <x v="1"/>
    <n v="3"/>
    <s v="California"/>
    <s v="Los Angeles County"/>
    <n v="1"/>
    <x v="4"/>
    <s v="Female"/>
  </r>
  <r>
    <s v="TX500635"/>
    <s v="Shorts"/>
    <n v="5"/>
    <n v="27"/>
    <n v="135"/>
    <x v="27"/>
    <d v="2025-02-04T00:00:00"/>
    <x v="2"/>
    <x v="0"/>
    <n v="5"/>
    <s v="California"/>
    <s v="Los Angeles County"/>
    <n v="7"/>
    <x v="4"/>
    <s v="Female"/>
  </r>
  <r>
    <s v="TX500636"/>
    <s v="Tote Bags"/>
    <n v="1"/>
    <n v="50.6"/>
    <n v="50.6"/>
    <x v="27"/>
    <d v="2025-01-28T00:00:00"/>
    <x v="1"/>
    <x v="0"/>
    <n v="3"/>
    <s v="California"/>
    <s v="Los Angeles County"/>
    <n v="0"/>
    <x v="4"/>
    <s v="Male"/>
  </r>
  <r>
    <s v="TX500637"/>
    <s v="Graphic Tees"/>
    <n v="5"/>
    <n v="22.1"/>
    <n v="110.5"/>
    <x v="27"/>
    <d v="2025-02-02T00:00:00"/>
    <x v="1"/>
    <x v="0"/>
    <n v="4"/>
    <s v="California"/>
    <s v="Los Angeles County"/>
    <n v="5"/>
    <x v="4"/>
    <s v="Male"/>
  </r>
  <r>
    <s v="TX500638"/>
    <s v="T-Shirts"/>
    <n v="3"/>
    <n v="42.9"/>
    <n v="128.69999999999999"/>
    <x v="27"/>
    <d v="2025-01-30T00:00:00"/>
    <x v="2"/>
    <x v="0"/>
    <n v="4"/>
    <s v="California"/>
    <s v="Los Angeles County"/>
    <n v="2"/>
    <x v="4"/>
    <s v="Female"/>
  </r>
  <r>
    <s v="TX500639"/>
    <s v="Tank Tops"/>
    <n v="11"/>
    <n v="62.4"/>
    <n v="686.4"/>
    <x v="27"/>
    <d v="2025-01-30T00:00:00"/>
    <x v="2"/>
    <x v="2"/>
    <n v="4"/>
    <s v="California"/>
    <s v="Los Angeles County"/>
    <n v="2"/>
    <x v="4"/>
    <s v="Female"/>
  </r>
  <r>
    <s v="TX500640"/>
    <s v="Tote Bags"/>
    <n v="9"/>
    <n v="36.4"/>
    <n v="327.59999999999997"/>
    <x v="27"/>
    <d v="2025-01-30T00:00:00"/>
    <x v="2"/>
    <x v="0"/>
    <n v="5"/>
    <s v="California"/>
    <s v="Los Angeles County"/>
    <n v="2"/>
    <x v="4"/>
    <s v="Female"/>
  </r>
  <r>
    <s v="TX500641"/>
    <s v="Shorts"/>
    <n v="2"/>
    <n v="22.5"/>
    <n v="45"/>
    <x v="27"/>
    <d v="2025-01-31T00:00:00"/>
    <x v="1"/>
    <x v="0"/>
    <n v="4"/>
    <s v="California"/>
    <s v="Los Angeles County"/>
    <n v="3"/>
    <x v="4"/>
    <s v="Male"/>
  </r>
  <r>
    <s v="TX500642"/>
    <s v="Jeans"/>
    <n v="4"/>
    <n v="70.8"/>
    <n v="283.2"/>
    <x v="27"/>
    <d v="2025-01-30T00:00:00"/>
    <x v="2"/>
    <x v="4"/>
    <n v="4"/>
    <s v="California"/>
    <s v="Los Angeles County"/>
    <n v="2"/>
    <x v="4"/>
    <s v="Female"/>
  </r>
  <r>
    <s v="TX500643"/>
    <s v="Jeans"/>
    <n v="5"/>
    <n v="56.6"/>
    <n v="283"/>
    <x v="27"/>
    <d v="2025-01-30T00:00:00"/>
    <x v="1"/>
    <x v="0"/>
    <n v="3"/>
    <s v="California"/>
    <s v="Nevada County"/>
    <n v="2"/>
    <x v="4"/>
    <s v="Male"/>
  </r>
  <r>
    <s v="TX500644"/>
    <s v="Jeans"/>
    <n v="2"/>
    <n v="47.9"/>
    <n v="95.8"/>
    <x v="27"/>
    <d v="2025-01-29T00:00:00"/>
    <x v="2"/>
    <x v="0"/>
    <n v="4"/>
    <s v="California"/>
    <s v="Sacramento County"/>
    <n v="1"/>
    <x v="4"/>
    <s v="Female"/>
  </r>
  <r>
    <s v="TX500645"/>
    <s v="Jeans"/>
    <n v="8"/>
    <n v="78.400000000000006"/>
    <n v="627.20000000000005"/>
    <x v="27"/>
    <d v="2025-01-30T00:00:00"/>
    <x v="2"/>
    <x v="1"/>
    <n v="4"/>
    <s v="California"/>
    <s v="Sacramento County"/>
    <n v="2"/>
    <x v="4"/>
    <s v="Female"/>
  </r>
  <r>
    <s v="TX500646"/>
    <s v="Sneakers"/>
    <n v="14"/>
    <n v="122.1"/>
    <n v="1709.3999999999999"/>
    <x v="27"/>
    <d v="2025-02-02T00:00:00"/>
    <x v="2"/>
    <x v="0"/>
    <n v="5"/>
    <s v="California"/>
    <s v="Sacramento County"/>
    <n v="5"/>
    <x v="4"/>
    <s v="Female"/>
  </r>
  <r>
    <s v="TX500647"/>
    <s v="Sneakers"/>
    <n v="2"/>
    <n v="83.7"/>
    <n v="167.4"/>
    <x v="28"/>
    <d v="2025-01-29T00:00:00"/>
    <x v="0"/>
    <x v="1"/>
    <n v="5"/>
    <s v="California"/>
    <s v="San Bernardino County"/>
    <n v="0"/>
    <x v="4"/>
    <s v="Unknown"/>
  </r>
  <r>
    <s v="TX500648"/>
    <s v="Workout Tops"/>
    <n v="4"/>
    <n v="97.9"/>
    <n v="391.6"/>
    <x v="28"/>
    <d v="2025-02-02T00:00:00"/>
    <x v="2"/>
    <x v="3"/>
    <n v="5"/>
    <s v="California"/>
    <s v="San Bernardino County"/>
    <n v="4"/>
    <x v="4"/>
    <s v="Female"/>
  </r>
  <r>
    <s v="TX500649"/>
    <s v="Baseball Caps"/>
    <n v="1"/>
    <n v="15"/>
    <n v="15"/>
    <x v="28"/>
    <d v="2025-02-03T00:00:00"/>
    <x v="2"/>
    <x v="3"/>
    <n v="4"/>
    <s v="California"/>
    <s v="San Diego County"/>
    <n v="5"/>
    <x v="4"/>
    <s v="Female"/>
  </r>
  <r>
    <s v="TX500650"/>
    <s v="Casual Dresses"/>
    <n v="3"/>
    <n v="94.6"/>
    <n v="283.79999999999995"/>
    <x v="28"/>
    <d v="2025-01-30T00:00:00"/>
    <x v="1"/>
    <x v="2"/>
    <n v="3"/>
    <s v="California"/>
    <s v="San Diego County"/>
    <n v="1"/>
    <x v="4"/>
    <s v="Male"/>
  </r>
  <r>
    <s v="TX500651"/>
    <s v="Shorts"/>
    <n v="6"/>
    <n v="19.7"/>
    <n v="118.19999999999999"/>
    <x v="28"/>
    <d v="2025-02-09T00:00:00"/>
    <x v="2"/>
    <x v="0"/>
    <n v="5"/>
    <s v="California"/>
    <s v="San Diego County"/>
    <n v="11"/>
    <x v="4"/>
    <s v="Female"/>
  </r>
  <r>
    <s v="TX500652"/>
    <s v="Hoodies &amp; Sweatshirts"/>
    <n v="1"/>
    <n v="46.7"/>
    <n v="46.7"/>
    <x v="28"/>
    <d v="2025-02-01T00:00:00"/>
    <x v="2"/>
    <x v="2"/>
    <n v="4"/>
    <s v="California"/>
    <s v="San Francisco"/>
    <n v="3"/>
    <x v="4"/>
    <s v="Female"/>
  </r>
  <r>
    <s v="TX500653"/>
    <s v="Tank Tops"/>
    <n v="4"/>
    <n v="43"/>
    <n v="172"/>
    <x v="28"/>
    <d v="2025-01-30T00:00:00"/>
    <x v="1"/>
    <x v="2"/>
    <n v="5"/>
    <s v="California"/>
    <s v="San Francisco"/>
    <n v="1"/>
    <x v="4"/>
    <s v="Male"/>
  </r>
  <r>
    <s v="TX500654"/>
    <s v="Jeans"/>
    <n v="3"/>
    <n v="68.2"/>
    <n v="204.60000000000002"/>
    <x v="28"/>
    <d v="2025-02-04T00:00:00"/>
    <x v="2"/>
    <x v="0"/>
    <n v="4"/>
    <s v="California"/>
    <s v="San Mateo County"/>
    <n v="6"/>
    <x v="4"/>
    <s v="Female"/>
  </r>
  <r>
    <s v="TX500655"/>
    <s v="Bikinis"/>
    <n v="10"/>
    <n v="24.3"/>
    <n v="243"/>
    <x v="28"/>
    <d v="2025-01-30T00:00:00"/>
    <x v="1"/>
    <x v="0"/>
    <n v="5"/>
    <s v="California"/>
    <s v="Santa Barbara County"/>
    <n v="1"/>
    <x v="4"/>
    <s v="Male"/>
  </r>
  <r>
    <s v="TX500656"/>
    <s v="Hoodies &amp; Sweatshirts"/>
    <n v="2"/>
    <n v="86.8"/>
    <n v="173.6"/>
    <x v="28"/>
    <d v="2025-02-02T00:00:00"/>
    <x v="2"/>
    <x v="4"/>
    <n v="5"/>
    <s v="California"/>
    <s v="Santa Clara County"/>
    <n v="4"/>
    <x v="4"/>
    <s v="Female"/>
  </r>
  <r>
    <s v="TX500657"/>
    <s v="Shorts"/>
    <n v="2"/>
    <n v="15.8"/>
    <n v="31.6"/>
    <x v="28"/>
    <d v="2025-01-31T00:00:00"/>
    <x v="1"/>
    <x v="1"/>
    <n v="4"/>
    <s v="California"/>
    <s v="Santa Clara County"/>
    <n v="2"/>
    <x v="4"/>
    <s v="Male"/>
  </r>
  <r>
    <s v="TX500658"/>
    <s v="Sneakers"/>
    <n v="4"/>
    <n v="61.6"/>
    <n v="246.4"/>
    <x v="28"/>
    <d v="2025-01-30T00:00:00"/>
    <x v="1"/>
    <x v="2"/>
    <n v="4"/>
    <s v="California"/>
    <s v="Santa Clara County"/>
    <n v="1"/>
    <x v="4"/>
    <s v="Male"/>
  </r>
  <r>
    <s v="TX500659"/>
    <s v="Jeans"/>
    <n v="3"/>
    <n v="48.7"/>
    <n v="146.10000000000002"/>
    <x v="28"/>
    <d v="2025-02-04T00:00:00"/>
    <x v="2"/>
    <x v="1"/>
    <n v="5"/>
    <s v="California"/>
    <s v="Trinity County"/>
    <n v="6"/>
    <x v="4"/>
    <s v="Female"/>
  </r>
  <r>
    <s v="TX500660"/>
    <s v="T-Shirts"/>
    <n v="4"/>
    <n v="24.3"/>
    <n v="97.2"/>
    <x v="28"/>
    <d v="2025-01-31T00:00:00"/>
    <x v="2"/>
    <x v="1"/>
    <n v="5"/>
    <s v="California"/>
    <s v="Alameda County"/>
    <n v="2"/>
    <x v="4"/>
    <s v="Female"/>
  </r>
  <r>
    <s v="TX500661"/>
    <s v="Sneakers"/>
    <n v="2"/>
    <n v="130.69999999999999"/>
    <n v="261.39999999999998"/>
    <x v="28"/>
    <d v="2025-01-30T00:00:00"/>
    <x v="2"/>
    <x v="2"/>
    <n v="4"/>
    <s v="California"/>
    <s v="Humboldt County"/>
    <n v="1"/>
    <x v="4"/>
    <s v="Female"/>
  </r>
  <r>
    <s v="TX500662"/>
    <s v="Bikinis"/>
    <n v="1"/>
    <n v="26"/>
    <n v="26"/>
    <x v="28"/>
    <d v="2025-01-31T00:00:00"/>
    <x v="1"/>
    <x v="0"/>
    <n v="4"/>
    <s v="California"/>
    <s v="Los Angeles County"/>
    <n v="2"/>
    <x v="4"/>
    <s v="Male"/>
  </r>
  <r>
    <s v="TX500663"/>
    <s v="Sneakers"/>
    <n v="5"/>
    <n v="94.4"/>
    <n v="472"/>
    <x v="28"/>
    <d v="2025-01-30T00:00:00"/>
    <x v="2"/>
    <x v="0"/>
    <n v="4"/>
    <s v="California"/>
    <s v="Los Angeles County"/>
    <n v="1"/>
    <x v="4"/>
    <s v="Female"/>
  </r>
  <r>
    <s v="TX500664"/>
    <s v="Shorts"/>
    <n v="6"/>
    <n v="23.7"/>
    <n v="142.19999999999999"/>
    <x v="28"/>
    <d v="2025-01-31T00:00:00"/>
    <x v="1"/>
    <x v="2"/>
    <n v="5"/>
    <s v="California"/>
    <s v="Los Angeles County"/>
    <n v="2"/>
    <x v="4"/>
    <s v="Male"/>
  </r>
  <r>
    <s v="TX500665"/>
    <s v="Sundresses"/>
    <n v="12"/>
    <n v="37.4"/>
    <n v="448.79999999999995"/>
    <x v="28"/>
    <d v="2025-01-31T00:00:00"/>
    <x v="1"/>
    <x v="2"/>
    <n v="4"/>
    <s v="California"/>
    <s v="Los Angeles County"/>
    <n v="2"/>
    <x v="4"/>
    <s v="Male"/>
  </r>
  <r>
    <s v="TX500666"/>
    <s v="Tank Tops"/>
    <n v="36"/>
    <n v="55.2"/>
    <n v="1987.2"/>
    <x v="28"/>
    <d v="2025-01-29T00:00:00"/>
    <x v="2"/>
    <x v="3"/>
    <n v="3"/>
    <s v="California"/>
    <s v="Los Angeles County"/>
    <n v="0"/>
    <x v="4"/>
    <s v="Female"/>
  </r>
  <r>
    <s v="TX500667"/>
    <s v="Sneakers"/>
    <n v="9"/>
    <n v="57.1"/>
    <n v="513.9"/>
    <x v="28"/>
    <d v="2025-01-31T00:00:00"/>
    <x v="1"/>
    <x v="0"/>
    <n v="5"/>
    <s v="California"/>
    <s v="Los Angeles County"/>
    <n v="2"/>
    <x v="4"/>
    <s v="Male"/>
  </r>
  <r>
    <s v="TX500668"/>
    <s v="Casual Dresses"/>
    <n v="1"/>
    <n v="55.3"/>
    <n v="55.3"/>
    <x v="28"/>
    <d v="2025-01-30T00:00:00"/>
    <x v="2"/>
    <x v="2"/>
    <n v="5"/>
    <s v="California"/>
    <s v="Los Angeles County"/>
    <n v="1"/>
    <x v="4"/>
    <s v="Female"/>
  </r>
  <r>
    <s v="TX500669"/>
    <s v="Crop Tops"/>
    <n v="7"/>
    <n v="23.9"/>
    <n v="167.29999999999998"/>
    <x v="28"/>
    <d v="2025-01-30T00:00:00"/>
    <x v="2"/>
    <x v="4"/>
    <n v="3"/>
    <s v="California"/>
    <s v="Los Angeles County"/>
    <n v="1"/>
    <x v="4"/>
    <s v="Female"/>
  </r>
  <r>
    <s v="TX500670"/>
    <s v="Shorts"/>
    <n v="1"/>
    <n v="34.1"/>
    <n v="34.1"/>
    <x v="28"/>
    <d v="2025-02-05T00:00:00"/>
    <x v="2"/>
    <x v="2"/>
    <n v="4"/>
    <s v="California"/>
    <s v="Los Angeles County"/>
    <n v="7"/>
    <x v="4"/>
    <s v="Female"/>
  </r>
  <r>
    <s v="TX500671"/>
    <s v="Casual Dresses"/>
    <n v="4"/>
    <n v="38.5"/>
    <n v="154"/>
    <x v="28"/>
    <d v="2025-02-09T00:00:00"/>
    <x v="2"/>
    <x v="0"/>
    <n v="4"/>
    <s v="California"/>
    <s v="Los Angeles County"/>
    <n v="11"/>
    <x v="4"/>
    <s v="Female"/>
  </r>
  <r>
    <s v="TX500672"/>
    <s v="Hoodies &amp; Sweatshirts"/>
    <n v="2"/>
    <n v="105"/>
    <n v="210"/>
    <x v="28"/>
    <d v="2025-02-04T00:00:00"/>
    <x v="2"/>
    <x v="0"/>
    <n v="5"/>
    <s v="California"/>
    <s v="Los Angeles County"/>
    <n v="6"/>
    <x v="4"/>
    <s v="Female"/>
  </r>
  <r>
    <s v="TX500673"/>
    <s v="T-Shirts"/>
    <n v="5"/>
    <n v="45.2"/>
    <n v="226"/>
    <x v="28"/>
    <d v="2025-01-31T00:00:00"/>
    <x v="2"/>
    <x v="0"/>
    <n v="5"/>
    <s v="California"/>
    <s v="Los Angeles County"/>
    <n v="2"/>
    <x v="4"/>
    <s v="Female"/>
  </r>
  <r>
    <s v="TX500674"/>
    <s v="Pajama Sets"/>
    <n v="3"/>
    <n v="24.8"/>
    <n v="74.400000000000006"/>
    <x v="28"/>
    <d v="2025-01-29T00:00:00"/>
    <x v="0"/>
    <x v="0"/>
    <n v="3"/>
    <s v="California"/>
    <s v="Los Angeles County"/>
    <n v="0"/>
    <x v="4"/>
    <s v="Unknown"/>
  </r>
  <r>
    <s v="TX500675"/>
    <s v="Maxi Dresses"/>
    <n v="4"/>
    <n v="43.8"/>
    <n v="175.2"/>
    <x v="28"/>
    <d v="2025-02-05T00:00:00"/>
    <x v="2"/>
    <x v="1"/>
    <n v="5"/>
    <s v="California"/>
    <s v="Sacramento County"/>
    <n v="7"/>
    <x v="4"/>
    <s v="Female"/>
  </r>
  <r>
    <s v="TX500676"/>
    <s v="Tank Tops"/>
    <n v="1"/>
    <n v="75"/>
    <n v="75"/>
    <x v="28"/>
    <d v="2025-01-31T00:00:00"/>
    <x v="2"/>
    <x v="4"/>
    <n v="3"/>
    <s v="California"/>
    <s v="Sacramento County"/>
    <n v="2"/>
    <x v="4"/>
    <s v="Female"/>
  </r>
  <r>
    <s v="TX500677"/>
    <s v="Sneakers"/>
    <n v="1"/>
    <n v="169.9"/>
    <n v="169.9"/>
    <x v="28"/>
    <d v="2025-01-30T00:00:00"/>
    <x v="1"/>
    <x v="2"/>
    <n v="4"/>
    <s v="California"/>
    <s v="Sacramento County"/>
    <n v="1"/>
    <x v="4"/>
    <s v="Male"/>
  </r>
  <r>
    <s v="TX500678"/>
    <s v="Sundresses"/>
    <n v="2"/>
    <n v="72.2"/>
    <n v="144.4"/>
    <x v="28"/>
    <d v="2025-01-31T00:00:00"/>
    <x v="2"/>
    <x v="4"/>
    <n v="3"/>
    <s v="California"/>
    <s v="Sacramento County"/>
    <n v="2"/>
    <x v="4"/>
    <s v="Female"/>
  </r>
  <r>
    <s v="TX500679"/>
    <s v="Shorts"/>
    <n v="1"/>
    <n v="20"/>
    <n v="20"/>
    <x v="29"/>
    <d v="2025-02-02T00:00:00"/>
    <x v="2"/>
    <x v="2"/>
    <n v="3"/>
    <s v="California"/>
    <s v="San Bernardino County"/>
    <n v="3"/>
    <x v="4"/>
    <s v="Female"/>
  </r>
  <r>
    <s v="TX500680"/>
    <s v="Sundresses"/>
    <n v="2"/>
    <n v="40.799999999999997"/>
    <n v="81.599999999999994"/>
    <x v="29"/>
    <d v="2025-02-01T00:00:00"/>
    <x v="2"/>
    <x v="3"/>
    <n v="5"/>
    <s v="California"/>
    <s v="San Diego County"/>
    <n v="2"/>
    <x v="4"/>
    <s v="Female"/>
  </r>
  <r>
    <s v="TX500681"/>
    <s v="Bikinis"/>
    <n v="4"/>
    <n v="58"/>
    <n v="232"/>
    <x v="29"/>
    <d v="2025-02-03T00:00:00"/>
    <x v="2"/>
    <x v="0"/>
    <n v="4"/>
    <s v="California"/>
    <s v="San Diego County"/>
    <n v="4"/>
    <x v="4"/>
    <s v="Female"/>
  </r>
  <r>
    <s v="TX500682"/>
    <s v="Casual Dresses"/>
    <n v="2"/>
    <n v="43.1"/>
    <n v="86.2"/>
    <x v="29"/>
    <d v="2025-01-31T00:00:00"/>
    <x v="2"/>
    <x v="1"/>
    <n v="5"/>
    <s v="California"/>
    <s v="San Diego County"/>
    <n v="1"/>
    <x v="4"/>
    <s v="Female"/>
  </r>
  <r>
    <s v="TX500683"/>
    <s v="Jeans"/>
    <n v="9"/>
    <n v="74.7"/>
    <n v="672.30000000000007"/>
    <x v="29"/>
    <d v="2025-02-01T00:00:00"/>
    <x v="1"/>
    <x v="0"/>
    <n v="5"/>
    <s v="California"/>
    <s v="San Diego County"/>
    <n v="2"/>
    <x v="4"/>
    <s v="Male"/>
  </r>
  <r>
    <s v="TX500684"/>
    <s v="Jeans"/>
    <n v="1"/>
    <n v="128.19999999999999"/>
    <n v="128.19999999999999"/>
    <x v="29"/>
    <d v="2025-01-30T00:00:00"/>
    <x v="1"/>
    <x v="1"/>
    <n v="4"/>
    <s v="California"/>
    <s v="San Diego County"/>
    <n v="0"/>
    <x v="4"/>
    <s v="Male"/>
  </r>
  <r>
    <s v="TX500685"/>
    <s v="Baseball Caps"/>
    <n v="4"/>
    <n v="26.7"/>
    <n v="106.8"/>
    <x v="29"/>
    <d v="2025-01-31T00:00:00"/>
    <x v="1"/>
    <x v="1"/>
    <n v="4"/>
    <s v="California"/>
    <s v="San Diego County"/>
    <n v="1"/>
    <x v="4"/>
    <s v="Male"/>
  </r>
  <r>
    <s v="TX500686"/>
    <s v="Pajama Sets"/>
    <n v="6"/>
    <n v="31.5"/>
    <n v="189"/>
    <x v="29"/>
    <d v="2025-01-31T00:00:00"/>
    <x v="2"/>
    <x v="2"/>
    <n v="4"/>
    <s v="California"/>
    <s v="San Francisco"/>
    <n v="1"/>
    <x v="4"/>
    <s v="Female"/>
  </r>
  <r>
    <s v="TX500687"/>
    <s v="Workout Tops"/>
    <n v="7"/>
    <n v="64.7"/>
    <n v="452.90000000000003"/>
    <x v="29"/>
    <d v="2025-01-31T00:00:00"/>
    <x v="2"/>
    <x v="0"/>
    <n v="5"/>
    <s v="California"/>
    <s v="San Mateo County"/>
    <n v="1"/>
    <x v="4"/>
    <s v="Female"/>
  </r>
  <r>
    <s v="TX500688"/>
    <s v="Sandals"/>
    <n v="2"/>
    <n v="55.6"/>
    <n v="111.2"/>
    <x v="29"/>
    <d v="2025-02-02T00:00:00"/>
    <x v="2"/>
    <x v="3"/>
    <n v="4"/>
    <s v="California"/>
    <s v="Santa Clara County"/>
    <n v="3"/>
    <x v="4"/>
    <s v="Female"/>
  </r>
  <r>
    <s v="TX500689"/>
    <s v="Workout Tops"/>
    <n v="2"/>
    <n v="36.200000000000003"/>
    <n v="72.400000000000006"/>
    <x v="29"/>
    <d v="2025-01-31T00:00:00"/>
    <x v="2"/>
    <x v="3"/>
    <n v="4"/>
    <s v="California"/>
    <s v="Santa Clara County"/>
    <n v="1"/>
    <x v="4"/>
    <s v="Female"/>
  </r>
  <r>
    <s v="TX500690"/>
    <s v="Shorts"/>
    <n v="1"/>
    <n v="26.6"/>
    <n v="26.6"/>
    <x v="29"/>
    <d v="2025-01-31T00:00:00"/>
    <x v="0"/>
    <x v="1"/>
    <n v="3"/>
    <s v="California"/>
    <s v="Stanislaus County"/>
    <n v="1"/>
    <x v="4"/>
    <s v="Unknown"/>
  </r>
  <r>
    <s v="TX500691"/>
    <s v="Bikinis"/>
    <n v="4"/>
    <n v="31.5"/>
    <n v="126"/>
    <x v="29"/>
    <d v="2025-02-01T00:00:00"/>
    <x v="1"/>
    <x v="0"/>
    <n v="4"/>
    <s v="California"/>
    <s v="Sutter County"/>
    <n v="2"/>
    <x v="4"/>
    <s v="Male"/>
  </r>
  <r>
    <s v="TX500692"/>
    <s v="Bikinis"/>
    <n v="1"/>
    <n v="27"/>
    <n v="27"/>
    <x v="29"/>
    <d v="2025-02-01T00:00:00"/>
    <x v="2"/>
    <x v="1"/>
    <n v="5"/>
    <s v="California"/>
    <s v="Ventura County"/>
    <n v="2"/>
    <x v="4"/>
    <s v="Female"/>
  </r>
  <r>
    <s v="TX500693"/>
    <s v="Graphic Tees"/>
    <n v="1"/>
    <n v="32"/>
    <n v="32"/>
    <x v="29"/>
    <d v="2025-02-02T00:00:00"/>
    <x v="1"/>
    <x v="3"/>
    <n v="4"/>
    <s v="California"/>
    <s v="Alameda County"/>
    <n v="3"/>
    <x v="4"/>
    <s v="Male"/>
  </r>
  <r>
    <s v="TX500694"/>
    <s v="Tank Tops"/>
    <n v="3"/>
    <n v="48.1"/>
    <n v="144.30000000000001"/>
    <x v="29"/>
    <d v="2025-02-01T00:00:00"/>
    <x v="1"/>
    <x v="2"/>
    <n v="3"/>
    <s v="California"/>
    <s v="Contra Costa County"/>
    <n v="2"/>
    <x v="4"/>
    <s v="Male"/>
  </r>
  <r>
    <s v="TX500695"/>
    <s v="Sundresses"/>
    <n v="2"/>
    <n v="43.4"/>
    <n v="86.8"/>
    <x v="29"/>
    <d v="2025-01-31T00:00:00"/>
    <x v="1"/>
    <x v="1"/>
    <n v="3"/>
    <s v="California"/>
    <s v="Kern County"/>
    <n v="1"/>
    <x v="4"/>
    <s v="Male"/>
  </r>
  <r>
    <s v="TX500696"/>
    <s v="Jeans"/>
    <n v="2"/>
    <n v="42.6"/>
    <n v="85.2"/>
    <x v="29"/>
    <d v="2025-02-02T00:00:00"/>
    <x v="2"/>
    <x v="3"/>
    <n v="4"/>
    <s v="California"/>
    <s v="Kern County"/>
    <n v="3"/>
    <x v="4"/>
    <s v="Female"/>
  </r>
  <r>
    <s v="TX500697"/>
    <s v="T-Shirts"/>
    <n v="2"/>
    <n v="15.9"/>
    <n v="31.8"/>
    <x v="29"/>
    <d v="2025-01-31T00:00:00"/>
    <x v="2"/>
    <x v="0"/>
    <n v="4"/>
    <s v="California"/>
    <s v="Kings County"/>
    <n v="1"/>
    <x v="4"/>
    <s v="Female"/>
  </r>
  <r>
    <s v="TX500698"/>
    <s v="Sundresses"/>
    <n v="2"/>
    <n v="63.2"/>
    <n v="126.4"/>
    <x v="29"/>
    <d v="2025-01-31T00:00:00"/>
    <x v="1"/>
    <x v="1"/>
    <n v="4"/>
    <s v="California"/>
    <s v="Los Angeles County"/>
    <n v="1"/>
    <x v="4"/>
    <s v="Male"/>
  </r>
  <r>
    <s v="TX500699"/>
    <s v="Hoodies &amp; Sweatshirts"/>
    <n v="4"/>
    <n v="64.8"/>
    <n v="259.2"/>
    <x v="29"/>
    <d v="2025-02-01T00:00:00"/>
    <x v="0"/>
    <x v="4"/>
    <n v="3"/>
    <s v="California"/>
    <s v="Los Angeles County"/>
    <n v="2"/>
    <x v="4"/>
    <s v="Unknown"/>
  </r>
  <r>
    <s v="TX500700"/>
    <s v="Hoodies &amp; Sweatshirts"/>
    <n v="3"/>
    <n v="79.8"/>
    <n v="239.39999999999998"/>
    <x v="29"/>
    <d v="2025-01-31T00:00:00"/>
    <x v="1"/>
    <x v="0"/>
    <n v="4"/>
    <s v="California"/>
    <s v="Los Angeles County"/>
    <n v="1"/>
    <x v="4"/>
    <s v="Male"/>
  </r>
  <r>
    <s v="TX500701"/>
    <s v="Sundresses"/>
    <n v="1"/>
    <n v="54.4"/>
    <n v="54.4"/>
    <x v="29"/>
    <d v="2025-02-01T00:00:00"/>
    <x v="2"/>
    <x v="4"/>
    <n v="5"/>
    <s v="California"/>
    <s v="Los Angeles County"/>
    <n v="2"/>
    <x v="4"/>
    <s v="Female"/>
  </r>
  <r>
    <s v="TX500702"/>
    <s v="Jeans"/>
    <n v="1"/>
    <n v="87.3"/>
    <n v="87.3"/>
    <x v="29"/>
    <d v="2025-01-31T00:00:00"/>
    <x v="1"/>
    <x v="1"/>
    <n v="4"/>
    <s v="California"/>
    <s v="Los Angeles County"/>
    <n v="1"/>
    <x v="4"/>
    <s v="Male"/>
  </r>
  <r>
    <s v="TX500703"/>
    <s v="T-Shirts"/>
    <n v="4"/>
    <n v="32.4"/>
    <n v="129.6"/>
    <x v="29"/>
    <d v="2025-01-30T00:00:00"/>
    <x v="1"/>
    <x v="1"/>
    <n v="4"/>
    <s v="California"/>
    <s v="Los Angeles County"/>
    <n v="0"/>
    <x v="4"/>
    <s v="Male"/>
  </r>
  <r>
    <s v="TX500704"/>
    <s v="Sneakers"/>
    <n v="1"/>
    <n v="177.4"/>
    <n v="177.4"/>
    <x v="29"/>
    <d v="2025-02-03T00:00:00"/>
    <x v="1"/>
    <x v="0"/>
    <n v="5"/>
    <s v="California"/>
    <s v="Los Angeles County"/>
    <n v="4"/>
    <x v="4"/>
    <s v="Male"/>
  </r>
  <r>
    <s v="TX500705"/>
    <s v="Hoodies &amp; Sweatshirts"/>
    <n v="2"/>
    <n v="70.099999999999994"/>
    <n v="140.19999999999999"/>
    <x v="29"/>
    <d v="2025-01-31T00:00:00"/>
    <x v="1"/>
    <x v="3"/>
    <n v="3"/>
    <s v="California"/>
    <s v="Los Angeles County"/>
    <n v="1"/>
    <x v="4"/>
    <s v="Male"/>
  </r>
  <r>
    <s v="TX500706"/>
    <s v="Sundresses"/>
    <n v="6"/>
    <n v="51.1"/>
    <n v="306.60000000000002"/>
    <x v="29"/>
    <d v="2025-01-31T00:00:00"/>
    <x v="2"/>
    <x v="0"/>
    <n v="4"/>
    <s v="California"/>
    <s v="Los Angeles County"/>
    <n v="1"/>
    <x v="4"/>
    <s v="Female"/>
  </r>
  <r>
    <s v="TX500707"/>
    <s v="Sneakers"/>
    <n v="5"/>
    <n v="79.900000000000006"/>
    <n v="399.5"/>
    <x v="29"/>
    <d v="2025-02-01T00:00:00"/>
    <x v="1"/>
    <x v="3"/>
    <n v="5"/>
    <s v="California"/>
    <s v="Merced County"/>
    <n v="2"/>
    <x v="4"/>
    <s v="Male"/>
  </r>
  <r>
    <s v="TX500708"/>
    <s v="Jeans"/>
    <n v="1"/>
    <n v="57.6"/>
    <n v="57.6"/>
    <x v="30"/>
    <d v="2025-02-05T00:00:00"/>
    <x v="1"/>
    <x v="0"/>
    <n v="5"/>
    <s v="California"/>
    <s v="Monterey County"/>
    <n v="5"/>
    <x v="4"/>
    <s v="Male"/>
  </r>
  <r>
    <s v="TX500709"/>
    <s v="T-Shirts"/>
    <n v="10"/>
    <n v="59.7"/>
    <n v="597"/>
    <x v="30"/>
    <d v="2025-02-04T00:00:00"/>
    <x v="1"/>
    <x v="2"/>
    <n v="4"/>
    <s v="California"/>
    <s v="Orange County"/>
    <n v="4"/>
    <x v="4"/>
    <s v="Male"/>
  </r>
  <r>
    <s v="TX500710"/>
    <s v="T-Shirts"/>
    <n v="5"/>
    <n v="30"/>
    <n v="150"/>
    <x v="30"/>
    <d v="2025-02-02T00:00:00"/>
    <x v="1"/>
    <x v="1"/>
    <n v="4"/>
    <s v="California"/>
    <s v="Sacramento County"/>
    <n v="2"/>
    <x v="4"/>
    <s v="Male"/>
  </r>
  <r>
    <s v="TX500711"/>
    <s v="Bikinis"/>
    <n v="2"/>
    <n v="69.2"/>
    <n v="138.4"/>
    <x v="30"/>
    <d v="2025-02-02T00:00:00"/>
    <x v="0"/>
    <x v="2"/>
    <n v="3"/>
    <s v="California"/>
    <s v="Sacramento County"/>
    <n v="2"/>
    <x v="4"/>
    <s v="Unknown"/>
  </r>
  <r>
    <s v="TX500712"/>
    <s v="Shorts"/>
    <n v="8"/>
    <n v="10.9"/>
    <n v="87.2"/>
    <x v="30"/>
    <d v="2025-02-01T00:00:00"/>
    <x v="2"/>
    <x v="0"/>
    <n v="5"/>
    <s v="California"/>
    <s v="Sacramento County"/>
    <n v="1"/>
    <x v="4"/>
    <s v="Female"/>
  </r>
  <r>
    <s v="TX500713"/>
    <s v="Sunglasses"/>
    <n v="2"/>
    <n v="48.6"/>
    <n v="97.2"/>
    <x v="30"/>
    <d v="2025-02-04T00:00:00"/>
    <x v="1"/>
    <x v="1"/>
    <n v="5"/>
    <s v="California"/>
    <s v="Sacramento County"/>
    <n v="4"/>
    <x v="4"/>
    <s v="Male"/>
  </r>
  <r>
    <s v="TX500714"/>
    <s v="Sneakers"/>
    <n v="2"/>
    <n v="61.1"/>
    <n v="122.2"/>
    <x v="30"/>
    <d v="2025-02-03T00:00:00"/>
    <x v="2"/>
    <x v="1"/>
    <n v="5"/>
    <s v="California"/>
    <s v="San Bernardino County"/>
    <n v="3"/>
    <x v="4"/>
    <s v="Female"/>
  </r>
  <r>
    <s v="TX500715"/>
    <s v="T-Shirts"/>
    <n v="2"/>
    <n v="23.2"/>
    <n v="46.4"/>
    <x v="30"/>
    <d v="2025-02-01T00:00:00"/>
    <x v="1"/>
    <x v="3"/>
    <n v="5"/>
    <s v="California"/>
    <s v="San Diego County"/>
    <n v="1"/>
    <x v="4"/>
    <s v="Male"/>
  </r>
  <r>
    <s v="TX500716"/>
    <s v="Casual Dresses"/>
    <n v="4"/>
    <n v="55.8"/>
    <n v="223.2"/>
    <x v="30"/>
    <d v="2025-02-01T00:00:00"/>
    <x v="1"/>
    <x v="0"/>
    <n v="4"/>
    <s v="California"/>
    <s v="San Diego County"/>
    <n v="1"/>
    <x v="4"/>
    <s v="Male"/>
  </r>
  <r>
    <s v="TX500717"/>
    <s v="Sundresses"/>
    <n v="4"/>
    <n v="24.8"/>
    <n v="99.2"/>
    <x v="30"/>
    <d v="2025-02-01T00:00:00"/>
    <x v="2"/>
    <x v="0"/>
    <n v="5"/>
    <s v="California"/>
    <s v="San Diego County"/>
    <n v="1"/>
    <x v="4"/>
    <s v="Female"/>
  </r>
  <r>
    <s v="TX500718"/>
    <s v="Bikinis"/>
    <n v="2"/>
    <n v="27.9"/>
    <n v="55.8"/>
    <x v="30"/>
    <d v="2025-01-31T00:00:00"/>
    <x v="1"/>
    <x v="2"/>
    <n v="5"/>
    <s v="California"/>
    <s v="San Diego County"/>
    <n v="0"/>
    <x v="4"/>
    <s v="Male"/>
  </r>
  <r>
    <s v="TX500719"/>
    <s v="Bikinis"/>
    <n v="6"/>
    <n v="51.1"/>
    <n v="306.60000000000002"/>
    <x v="30"/>
    <d v="2025-01-31T00:00:00"/>
    <x v="2"/>
    <x v="3"/>
    <n v="4"/>
    <s v="California"/>
    <s v="San Diego County"/>
    <n v="0"/>
    <x v="4"/>
    <s v="Female"/>
  </r>
  <r>
    <s v="TX500720"/>
    <s v="Pajama Sets"/>
    <n v="11"/>
    <n v="32.700000000000003"/>
    <n v="359.70000000000005"/>
    <x v="30"/>
    <d v="2025-02-01T00:00:00"/>
    <x v="1"/>
    <x v="4"/>
    <n v="5"/>
    <s v="California"/>
    <s v="San Francisco"/>
    <n v="1"/>
    <x v="4"/>
    <s v="Male"/>
  </r>
  <r>
    <s v="TX500721"/>
    <s v="T-Shirts"/>
    <n v="4"/>
    <n v="22.5"/>
    <n v="90"/>
    <x v="30"/>
    <d v="2025-01-31T00:00:00"/>
    <x v="1"/>
    <x v="0"/>
    <n v="5"/>
    <s v="California"/>
    <s v="San Joaquin County"/>
    <n v="0"/>
    <x v="4"/>
    <s v="Male"/>
  </r>
  <r>
    <s v="TX500722"/>
    <s v="Shorts"/>
    <n v="7"/>
    <n v="14.6"/>
    <n v="102.2"/>
    <x v="30"/>
    <d v="2025-02-01T00:00:00"/>
    <x v="2"/>
    <x v="2"/>
    <n v="4"/>
    <s v="California"/>
    <s v="San Luis Obispo County"/>
    <n v="1"/>
    <x v="4"/>
    <s v="Female"/>
  </r>
  <r>
    <s v="TX500723"/>
    <s v="Sandals"/>
    <n v="3"/>
    <n v="32.5"/>
    <n v="97.5"/>
    <x v="30"/>
    <d v="2025-02-03T00:00:00"/>
    <x v="1"/>
    <x v="0"/>
    <n v="4"/>
    <s v="California"/>
    <s v="Santa Barbara County"/>
    <n v="3"/>
    <x v="4"/>
    <s v="Male"/>
  </r>
  <r>
    <s v="TX500724"/>
    <s v="Leggings"/>
    <n v="1"/>
    <n v="78.099999999999994"/>
    <n v="78.099999999999994"/>
    <x v="30"/>
    <d v="2025-02-03T00:00:00"/>
    <x v="1"/>
    <x v="0"/>
    <n v="5"/>
    <s v="California"/>
    <s v="Santa Clara County"/>
    <n v="3"/>
    <x v="4"/>
    <s v="Male"/>
  </r>
  <r>
    <s v="TX500725"/>
    <s v="Casual Dresses"/>
    <n v="6"/>
    <n v="110.2"/>
    <n v="661.2"/>
    <x v="30"/>
    <d v="2025-01-31T00:00:00"/>
    <x v="1"/>
    <x v="1"/>
    <n v="2"/>
    <s v="California"/>
    <s v="Ventura County"/>
    <n v="0"/>
    <x v="4"/>
    <s v="Male"/>
  </r>
  <r>
    <s v="TX500726"/>
    <s v="Jeans"/>
    <n v="3"/>
    <n v="86.3"/>
    <n v="258.89999999999998"/>
    <x v="30"/>
    <d v="2025-02-02T00:00:00"/>
    <x v="2"/>
    <x v="3"/>
    <n v="4"/>
    <s v="California"/>
    <s v="Alameda County"/>
    <n v="2"/>
    <x v="4"/>
    <s v="Female"/>
  </r>
  <r>
    <s v="TX500727"/>
    <s v="Tank Tops"/>
    <n v="6"/>
    <n v="73.599999999999994"/>
    <n v="441.59999999999997"/>
    <x v="30"/>
    <d v="2025-02-02T00:00:00"/>
    <x v="3"/>
    <x v="3"/>
    <n v="2"/>
    <s v="California"/>
    <s v="Humboldt County"/>
    <n v="2"/>
    <x v="4"/>
    <s v="Other"/>
  </r>
  <r>
    <s v="TX500728"/>
    <s v="Jeans"/>
    <n v="13"/>
    <n v="67.7"/>
    <n v="880.1"/>
    <x v="30"/>
    <d v="2025-02-02T00:00:00"/>
    <x v="2"/>
    <x v="0"/>
    <n v="5"/>
    <s v="California"/>
    <s v="Los Angeles County"/>
    <n v="2"/>
    <x v="4"/>
    <s v="Female"/>
  </r>
  <r>
    <s v="TX500729"/>
    <s v="Hoodies &amp; Sweatshirts"/>
    <n v="6"/>
    <n v="142.19999999999999"/>
    <n v="853.19999999999993"/>
    <x v="30"/>
    <d v="2025-02-01T00:00:00"/>
    <x v="2"/>
    <x v="2"/>
    <n v="2"/>
    <s v="California"/>
    <s v="Los Angeles County"/>
    <n v="1"/>
    <x v="4"/>
    <s v="Female"/>
  </r>
  <r>
    <s v="TX500730"/>
    <s v="Tank Tops"/>
    <n v="9"/>
    <n v="45.8"/>
    <n v="412.2"/>
    <x v="30"/>
    <d v="2025-02-02T00:00:00"/>
    <x v="2"/>
    <x v="1"/>
    <n v="5"/>
    <s v="California"/>
    <s v="Los Angeles County"/>
    <n v="2"/>
    <x v="4"/>
    <s v="Female"/>
  </r>
  <r>
    <s v="TX500731"/>
    <s v="Bikinis"/>
    <n v="2"/>
    <n v="24.2"/>
    <n v="48.4"/>
    <x v="31"/>
    <d v="2025-02-04T00:00:00"/>
    <x v="2"/>
    <x v="3"/>
    <n v="5"/>
    <s v="California"/>
    <s v="Los Angeles County"/>
    <n v="3"/>
    <x v="4"/>
    <s v="Female"/>
  </r>
  <r>
    <s v="TX500732"/>
    <s v="Sneakers"/>
    <n v="3"/>
    <n v="144.9"/>
    <n v="434.70000000000005"/>
    <x v="31"/>
    <d v="2025-02-02T00:00:00"/>
    <x v="3"/>
    <x v="2"/>
    <n v="5"/>
    <s v="California"/>
    <s v="Los Angeles County"/>
    <n v="1"/>
    <x v="4"/>
    <s v="Other"/>
  </r>
  <r>
    <s v="TX500733"/>
    <s v="Maxi Dresses"/>
    <n v="5"/>
    <n v="32.799999999999997"/>
    <n v="164"/>
    <x v="31"/>
    <d v="2025-02-04T00:00:00"/>
    <x v="2"/>
    <x v="2"/>
    <n v="4"/>
    <s v="California"/>
    <s v="Riverside County"/>
    <n v="3"/>
    <x v="4"/>
    <s v="Female"/>
  </r>
  <r>
    <s v="TX500734"/>
    <s v="Hoodies &amp; Sweatshirts"/>
    <n v="10"/>
    <n v="35.700000000000003"/>
    <n v="357"/>
    <x v="31"/>
    <d v="2025-02-01T00:00:00"/>
    <x v="2"/>
    <x v="0"/>
    <n v="3"/>
    <s v="California"/>
    <s v="Sacramento County"/>
    <n v="0"/>
    <x v="4"/>
    <s v="Female"/>
  </r>
  <r>
    <s v="TX500735"/>
    <s v="Sundresses"/>
    <n v="2"/>
    <n v="54.6"/>
    <n v="109.2"/>
    <x v="31"/>
    <d v="2025-02-02T00:00:00"/>
    <x v="2"/>
    <x v="2"/>
    <n v="4"/>
    <s v="California"/>
    <s v="Sacramento County"/>
    <n v="1"/>
    <x v="4"/>
    <s v="Female"/>
  </r>
  <r>
    <s v="TX500736"/>
    <s v="T-Shirts"/>
    <n v="2"/>
    <n v="35.700000000000003"/>
    <n v="71.400000000000006"/>
    <x v="31"/>
    <d v="2025-02-04T00:00:00"/>
    <x v="0"/>
    <x v="0"/>
    <n v="3"/>
    <s v="California"/>
    <s v="Sacramento County"/>
    <n v="3"/>
    <x v="4"/>
    <s v="Unknown"/>
  </r>
  <r>
    <s v="TX500737"/>
    <s v="Bikinis"/>
    <n v="2"/>
    <n v="52.4"/>
    <n v="104.8"/>
    <x v="31"/>
    <d v="2025-02-01T00:00:00"/>
    <x v="2"/>
    <x v="0"/>
    <n v="1"/>
    <s v="California"/>
    <s v="Sacramento County"/>
    <n v="0"/>
    <x v="4"/>
    <s v="Female"/>
  </r>
  <r>
    <s v="TX500738"/>
    <s v="T-Shirts"/>
    <n v="14"/>
    <n v="16.2"/>
    <n v="226.79999999999998"/>
    <x v="31"/>
    <d v="2025-02-02T00:00:00"/>
    <x v="0"/>
    <x v="0"/>
    <n v="3"/>
    <s v="California"/>
    <s v="San Diego County"/>
    <n v="1"/>
    <x v="4"/>
    <s v="Unknown"/>
  </r>
  <r>
    <s v="TX500739"/>
    <s v="Jeans"/>
    <n v="47"/>
    <n v="42.8"/>
    <n v="2011.6"/>
    <x v="31"/>
    <d v="2025-02-02T00:00:00"/>
    <x v="2"/>
    <x v="0"/>
    <n v="4"/>
    <s v="California"/>
    <s v="San Diego County"/>
    <n v="1"/>
    <x v="4"/>
    <s v="Female"/>
  </r>
  <r>
    <s v="TX500740"/>
    <s v="Jeans"/>
    <n v="9"/>
    <n v="144.4"/>
    <n v="1299.6000000000001"/>
    <x v="31"/>
    <d v="2025-02-04T00:00:00"/>
    <x v="2"/>
    <x v="4"/>
    <n v="4"/>
    <s v="California"/>
    <s v="San Diego County"/>
    <n v="3"/>
    <x v="4"/>
    <s v="Female"/>
  </r>
  <r>
    <s v="TX500741"/>
    <s v="Workout Tops"/>
    <n v="36"/>
    <n v="30.6"/>
    <n v="1101.6000000000001"/>
    <x v="31"/>
    <d v="2025-02-05T00:00:00"/>
    <x v="2"/>
    <x v="2"/>
    <n v="5"/>
    <s v="California"/>
    <s v="Santa Clara County"/>
    <n v="4"/>
    <x v="4"/>
    <s v="Female"/>
  </r>
  <r>
    <s v="TX500742"/>
    <s v="Sneakers"/>
    <n v="2"/>
    <n v="117.5"/>
    <n v="235"/>
    <x v="31"/>
    <d v="2025-02-02T00:00:00"/>
    <x v="1"/>
    <x v="0"/>
    <n v="4"/>
    <s v="California"/>
    <s v="Stanislaus County"/>
    <n v="1"/>
    <x v="4"/>
    <s v="Male"/>
  </r>
  <r>
    <s v="TX500743"/>
    <s v="Jeans"/>
    <n v="2"/>
    <n v="105.7"/>
    <n v="211.4"/>
    <x v="31"/>
    <d v="2025-02-02T00:00:00"/>
    <x v="2"/>
    <x v="2"/>
    <n v="5"/>
    <s v="California"/>
    <s v="Alameda County"/>
    <n v="1"/>
    <x v="4"/>
    <s v="Female"/>
  </r>
  <r>
    <s v="TX500744"/>
    <s v="Workout Tops"/>
    <n v="3"/>
    <n v="133.69999999999999"/>
    <n v="401.09999999999997"/>
    <x v="31"/>
    <d v="2025-02-02T00:00:00"/>
    <x v="0"/>
    <x v="4"/>
    <n v="5"/>
    <s v="California"/>
    <s v="Alameda County"/>
    <n v="1"/>
    <x v="4"/>
    <s v="Unknown"/>
  </r>
  <r>
    <s v="TX500745"/>
    <s v="Graphic Tees"/>
    <n v="5"/>
    <n v="46.8"/>
    <n v="234"/>
    <x v="32"/>
    <d v="2025-02-10T00:00:00"/>
    <x v="2"/>
    <x v="0"/>
    <n v="3"/>
    <s v="California"/>
    <s v="Alameda County"/>
    <n v="8"/>
    <x v="5"/>
    <s v="Female"/>
  </r>
  <r>
    <s v="TX500746"/>
    <s v="Bikinis"/>
    <n v="3"/>
    <n v="58.4"/>
    <n v="175.2"/>
    <x v="32"/>
    <d v="2025-02-04T00:00:00"/>
    <x v="2"/>
    <x v="0"/>
    <n v="4"/>
    <s v="California"/>
    <s v="Contra Costa County"/>
    <n v="2"/>
    <x v="5"/>
    <s v="Female"/>
  </r>
  <r>
    <s v="TX500747"/>
    <s v="Jeans"/>
    <n v="9"/>
    <n v="65.099999999999994"/>
    <n v="585.9"/>
    <x v="32"/>
    <d v="2025-02-06T00:00:00"/>
    <x v="1"/>
    <x v="1"/>
    <n v="5"/>
    <s v="California"/>
    <s v="Kern County"/>
    <n v="4"/>
    <x v="5"/>
    <s v="Male"/>
  </r>
  <r>
    <s v="TX500748"/>
    <s v="T-Shirts"/>
    <n v="1"/>
    <n v="18.600000000000001"/>
    <n v="18.600000000000001"/>
    <x v="32"/>
    <d v="2025-02-05T00:00:00"/>
    <x v="2"/>
    <x v="0"/>
    <n v="2"/>
    <s v="California"/>
    <s v="Kern County"/>
    <n v="3"/>
    <x v="5"/>
    <s v="Female"/>
  </r>
  <r>
    <s v="TX500749"/>
    <s v="Tank Tops"/>
    <n v="11"/>
    <n v="92.3"/>
    <n v="1015.3"/>
    <x v="32"/>
    <d v="2025-02-04T00:00:00"/>
    <x v="1"/>
    <x v="1"/>
    <n v="4"/>
    <s v="California"/>
    <s v="Los Angeles County"/>
    <n v="2"/>
    <x v="5"/>
    <s v="Male"/>
  </r>
  <r>
    <s v="TX500750"/>
    <s v="Jeans"/>
    <n v="3"/>
    <n v="81.7"/>
    <n v="245.10000000000002"/>
    <x v="32"/>
    <d v="2025-02-03T00:00:00"/>
    <x v="0"/>
    <x v="4"/>
    <n v="2"/>
    <s v="California"/>
    <s v="Los Angeles County"/>
    <n v="1"/>
    <x v="5"/>
    <s v="Unknown"/>
  </r>
  <r>
    <s v="TX500751"/>
    <s v="T-Shirts"/>
    <n v="2"/>
    <n v="40.9"/>
    <n v="81.8"/>
    <x v="32"/>
    <d v="2025-02-04T00:00:00"/>
    <x v="1"/>
    <x v="0"/>
    <n v="3"/>
    <s v="California"/>
    <s v="Los Angeles County"/>
    <n v="2"/>
    <x v="5"/>
    <s v="Male"/>
  </r>
  <r>
    <s v="TX500752"/>
    <s v="Jeans"/>
    <n v="4"/>
    <n v="43.2"/>
    <n v="172.8"/>
    <x v="32"/>
    <d v="2025-02-08T00:00:00"/>
    <x v="2"/>
    <x v="0"/>
    <n v="3"/>
    <s v="California"/>
    <s v="Los Angeles County"/>
    <n v="6"/>
    <x v="5"/>
    <s v="Female"/>
  </r>
  <r>
    <s v="TX500753"/>
    <s v="T-Shirts"/>
    <n v="11"/>
    <n v="25.8"/>
    <n v="283.8"/>
    <x v="32"/>
    <d v="2025-02-05T00:00:00"/>
    <x v="1"/>
    <x v="2"/>
    <n v="3"/>
    <s v="California"/>
    <s v="Los Angeles County"/>
    <n v="3"/>
    <x v="5"/>
    <s v="Male"/>
  </r>
  <r>
    <s v="TX500754"/>
    <s v="Crop Tops"/>
    <n v="4"/>
    <n v="36.4"/>
    <n v="145.6"/>
    <x v="32"/>
    <d v="2025-02-03T00:00:00"/>
    <x v="1"/>
    <x v="0"/>
    <n v="4"/>
    <s v="California"/>
    <s v="Los Angeles County"/>
    <n v="1"/>
    <x v="5"/>
    <s v="Male"/>
  </r>
  <r>
    <s v="TX500755"/>
    <s v="Bikinis"/>
    <n v="1"/>
    <n v="59.1"/>
    <n v="59.1"/>
    <x v="32"/>
    <d v="2025-02-03T00:00:00"/>
    <x v="2"/>
    <x v="2"/>
    <n v="4"/>
    <s v="California"/>
    <s v="San Bernardino County"/>
    <n v="1"/>
    <x v="5"/>
    <s v="Female"/>
  </r>
  <r>
    <s v="TX500756"/>
    <s v="Sneakers"/>
    <n v="17"/>
    <n v="74.5"/>
    <n v="1266.5"/>
    <x v="32"/>
    <d v="2025-02-04T00:00:00"/>
    <x v="1"/>
    <x v="4"/>
    <n v="4"/>
    <s v="California"/>
    <s v="Sonoma County"/>
    <n v="2"/>
    <x v="5"/>
    <s v="Male"/>
  </r>
  <r>
    <s v="TX500757"/>
    <s v="Sandals"/>
    <n v="1"/>
    <n v="72.8"/>
    <n v="72.8"/>
    <x v="32"/>
    <d v="2025-02-03T00:00:00"/>
    <x v="2"/>
    <x v="0"/>
    <n v="3"/>
    <s v="California"/>
    <s v="Stanislaus County"/>
    <n v="1"/>
    <x v="5"/>
    <s v="Female"/>
  </r>
  <r>
    <s v="TX500758"/>
    <s v="Jeans"/>
    <n v="4"/>
    <n v="137.30000000000001"/>
    <n v="549.20000000000005"/>
    <x v="32"/>
    <d v="2025-02-05T00:00:00"/>
    <x v="2"/>
    <x v="0"/>
    <n v="4"/>
    <s v="California"/>
    <s v="Ventura County"/>
    <n v="3"/>
    <x v="5"/>
    <s v="Female"/>
  </r>
  <r>
    <s v="TX500759"/>
    <s v="Tank Tops"/>
    <n v="3"/>
    <n v="48.7"/>
    <n v="146.10000000000002"/>
    <x v="32"/>
    <d v="2025-02-07T00:00:00"/>
    <x v="2"/>
    <x v="0"/>
    <n v="3"/>
    <s v="California"/>
    <s v="Alameda County"/>
    <n v="5"/>
    <x v="5"/>
    <s v="Female"/>
  </r>
  <r>
    <s v="TX500760"/>
    <s v="Jeans"/>
    <n v="4"/>
    <n v="53.7"/>
    <n v="214.8"/>
    <x v="32"/>
    <d v="2025-02-06T00:00:00"/>
    <x v="1"/>
    <x v="1"/>
    <n v="2"/>
    <s v="California"/>
    <s v="Fresno County"/>
    <n v="4"/>
    <x v="5"/>
    <s v="Male"/>
  </r>
  <r>
    <s v="TX500761"/>
    <s v="Sneakers"/>
    <n v="7"/>
    <n v="100.9"/>
    <n v="706.30000000000007"/>
    <x v="32"/>
    <d v="2025-02-04T00:00:00"/>
    <x v="2"/>
    <x v="0"/>
    <n v="3"/>
    <s v="California"/>
    <s v="Fresno County"/>
    <n v="2"/>
    <x v="5"/>
    <s v="Female"/>
  </r>
  <r>
    <s v="TX500762"/>
    <s v="Bikinis"/>
    <n v="2"/>
    <n v="41.8"/>
    <n v="83.6"/>
    <x v="32"/>
    <d v="2025-02-06T00:00:00"/>
    <x v="1"/>
    <x v="3"/>
    <n v="5"/>
    <s v="California"/>
    <s v="Kern County"/>
    <n v="4"/>
    <x v="5"/>
    <s v="Male"/>
  </r>
  <r>
    <s v="TX500763"/>
    <s v="Graphic Tees"/>
    <n v="8"/>
    <n v="28.5"/>
    <n v="228"/>
    <x v="32"/>
    <d v="2025-02-04T00:00:00"/>
    <x v="1"/>
    <x v="2"/>
    <n v="3"/>
    <s v="California"/>
    <s v="Los Angeles County"/>
    <n v="2"/>
    <x v="5"/>
    <s v="Male"/>
  </r>
  <r>
    <s v="TX500764"/>
    <s v="Hoodies &amp; Sweatshirts"/>
    <n v="4"/>
    <n v="88.9"/>
    <n v="355.6"/>
    <x v="32"/>
    <d v="2025-02-05T00:00:00"/>
    <x v="2"/>
    <x v="0"/>
    <n v="5"/>
    <s v="California"/>
    <s v="Los Angeles County"/>
    <n v="3"/>
    <x v="5"/>
    <s v="Female"/>
  </r>
  <r>
    <s v="TX500765"/>
    <s v="Jeans"/>
    <n v="1"/>
    <n v="62.5"/>
    <n v="62.5"/>
    <x v="32"/>
    <d v="2025-02-11T00:00:00"/>
    <x v="2"/>
    <x v="0"/>
    <n v="5"/>
    <s v="California"/>
    <s v="Los Angeles County"/>
    <n v="9"/>
    <x v="5"/>
    <s v="Female"/>
  </r>
  <r>
    <s v="TX500766"/>
    <s v="Tank Tops"/>
    <n v="3"/>
    <n v="46.9"/>
    <n v="140.69999999999999"/>
    <x v="32"/>
    <d v="2025-02-03T00:00:00"/>
    <x v="1"/>
    <x v="0"/>
    <n v="5"/>
    <s v="California"/>
    <s v="Los Angeles County"/>
    <n v="1"/>
    <x v="5"/>
    <s v="Male"/>
  </r>
  <r>
    <s v="TX500767"/>
    <s v="T-Shirts"/>
    <n v="3"/>
    <n v="45"/>
    <n v="135"/>
    <x v="32"/>
    <d v="2025-02-16T00:00:00"/>
    <x v="1"/>
    <x v="1"/>
    <n v="4"/>
    <s v="California"/>
    <s v="Los Angeles County"/>
    <n v="14"/>
    <x v="5"/>
    <s v="Male"/>
  </r>
  <r>
    <s v="TX500768"/>
    <s v="Jeans"/>
    <n v="3"/>
    <n v="45.2"/>
    <n v="135.60000000000002"/>
    <x v="32"/>
    <d v="2025-02-04T00:00:00"/>
    <x v="1"/>
    <x v="4"/>
    <n v="5"/>
    <s v="California"/>
    <s v="Los Angeles County"/>
    <n v="2"/>
    <x v="5"/>
    <s v="Male"/>
  </r>
  <r>
    <s v="TX500769"/>
    <s v="Graphic Tees"/>
    <n v="2"/>
    <n v="60.1"/>
    <n v="120.2"/>
    <x v="32"/>
    <d v="2025-02-03T00:00:00"/>
    <x v="2"/>
    <x v="0"/>
    <n v="5"/>
    <s v="California"/>
    <s v="Los Angeles County"/>
    <n v="1"/>
    <x v="5"/>
    <s v="Female"/>
  </r>
  <r>
    <s v="TX500770"/>
    <s v="Casual Dresses"/>
    <n v="4"/>
    <n v="118.7"/>
    <n v="474.8"/>
    <x v="32"/>
    <d v="2025-02-04T00:00:00"/>
    <x v="2"/>
    <x v="0"/>
    <n v="4"/>
    <s v="California"/>
    <s v="Los Angeles County"/>
    <n v="2"/>
    <x v="5"/>
    <s v="Female"/>
  </r>
  <r>
    <s v="TX500771"/>
    <s v="Sundresses"/>
    <n v="1"/>
    <n v="57.8"/>
    <n v="57.8"/>
    <x v="32"/>
    <d v="2025-02-11T00:00:00"/>
    <x v="2"/>
    <x v="1"/>
    <n v="4"/>
    <s v="California"/>
    <s v="Los Angeles County"/>
    <n v="9"/>
    <x v="5"/>
    <s v="Female"/>
  </r>
  <r>
    <s v="TX500772"/>
    <s v="Graphic Tees"/>
    <n v="1"/>
    <n v="19.5"/>
    <n v="19.5"/>
    <x v="32"/>
    <d v="2025-02-03T00:00:00"/>
    <x v="1"/>
    <x v="1"/>
    <n v="3"/>
    <s v="California"/>
    <s v="Los Angeles County"/>
    <n v="1"/>
    <x v="5"/>
    <s v="Male"/>
  </r>
  <r>
    <s v="TX500773"/>
    <s v="Casual Dresses"/>
    <n v="1"/>
    <n v="42.6"/>
    <n v="42.6"/>
    <x v="32"/>
    <d v="2025-02-03T00:00:00"/>
    <x v="1"/>
    <x v="0"/>
    <n v="3"/>
    <s v="California"/>
    <s v="Los Angeles County"/>
    <n v="1"/>
    <x v="5"/>
    <s v="Male"/>
  </r>
  <r>
    <s v="TX500774"/>
    <s v="Jeans"/>
    <n v="2"/>
    <n v="74.8"/>
    <n v="149.6"/>
    <x v="32"/>
    <d v="2025-02-03T00:00:00"/>
    <x v="2"/>
    <x v="3"/>
    <n v="5"/>
    <s v="California"/>
    <s v="Madera County"/>
    <n v="1"/>
    <x v="5"/>
    <s v="Female"/>
  </r>
  <r>
    <s v="TX500775"/>
    <s v="T-Shirts"/>
    <n v="3"/>
    <n v="32.5"/>
    <n v="97.5"/>
    <x v="32"/>
    <d v="2025-02-03T00:00:00"/>
    <x v="1"/>
    <x v="2"/>
    <n v="2"/>
    <s v="California"/>
    <s v="Napa County"/>
    <n v="1"/>
    <x v="5"/>
    <s v="Male"/>
  </r>
  <r>
    <s v="TX500776"/>
    <s v="Sneakers"/>
    <n v="3"/>
    <n v="60.5"/>
    <n v="181.5"/>
    <x v="32"/>
    <d v="2025-02-02T00:00:00"/>
    <x v="2"/>
    <x v="1"/>
    <n v="5"/>
    <s v="California"/>
    <s v="Orange County"/>
    <n v="0"/>
    <x v="5"/>
    <s v="Female"/>
  </r>
  <r>
    <s v="TX500777"/>
    <s v="Tank Tops"/>
    <n v="7"/>
    <n v="57.2"/>
    <n v="400.40000000000003"/>
    <x v="32"/>
    <d v="2025-02-04T00:00:00"/>
    <x v="0"/>
    <x v="2"/>
    <n v="4"/>
    <s v="California"/>
    <s v="Orange County"/>
    <n v="2"/>
    <x v="5"/>
    <s v="Unknown"/>
  </r>
  <r>
    <s v="TX500778"/>
    <s v="Sunglasses"/>
    <n v="2"/>
    <n v="112"/>
    <n v="224"/>
    <x v="32"/>
    <d v="2025-02-03T00:00:00"/>
    <x v="2"/>
    <x v="1"/>
    <n v="3"/>
    <s v="California"/>
    <s v="Placer County"/>
    <n v="1"/>
    <x v="5"/>
    <s v="Female"/>
  </r>
  <r>
    <s v="TX500779"/>
    <s v="Hoodies &amp; Sweatshirts"/>
    <n v="10"/>
    <n v="49"/>
    <n v="490"/>
    <x v="32"/>
    <d v="2025-02-03T00:00:00"/>
    <x v="3"/>
    <x v="2"/>
    <n v="3"/>
    <s v="California"/>
    <s v="Sacramento County"/>
    <n v="1"/>
    <x v="5"/>
    <s v="Other"/>
  </r>
  <r>
    <s v="TX500780"/>
    <s v="Shorts"/>
    <n v="2"/>
    <n v="33.700000000000003"/>
    <n v="67.400000000000006"/>
    <x v="32"/>
    <d v="2025-02-06T00:00:00"/>
    <x v="2"/>
    <x v="3"/>
    <n v="4"/>
    <s v="California"/>
    <s v="Sacramento County"/>
    <n v="4"/>
    <x v="5"/>
    <s v="Female"/>
  </r>
  <r>
    <s v="TX500781"/>
    <s v="Graphic Tees"/>
    <n v="3"/>
    <n v="35.6"/>
    <n v="106.80000000000001"/>
    <x v="32"/>
    <d v="2025-02-05T00:00:00"/>
    <x v="2"/>
    <x v="0"/>
    <n v="5"/>
    <s v="California"/>
    <s v="Sacramento County"/>
    <n v="3"/>
    <x v="5"/>
    <s v="Female"/>
  </r>
  <r>
    <s v="TX500782"/>
    <s v="Graphic Tees"/>
    <n v="35"/>
    <n v="30.4"/>
    <n v="1064"/>
    <x v="33"/>
    <d v="2025-02-03T00:00:00"/>
    <x v="2"/>
    <x v="0"/>
    <n v="3"/>
    <s v="California"/>
    <s v="San Bernardino County"/>
    <n v="0"/>
    <x v="5"/>
    <s v="Female"/>
  </r>
  <r>
    <s v="TX500783"/>
    <s v="Bikinis"/>
    <n v="12"/>
    <n v="50.2"/>
    <n v="602.40000000000009"/>
    <x v="33"/>
    <d v="2025-02-04T00:00:00"/>
    <x v="1"/>
    <x v="4"/>
    <n v="4"/>
    <s v="California"/>
    <s v="San Diego County"/>
    <n v="1"/>
    <x v="5"/>
    <s v="Male"/>
  </r>
  <r>
    <s v="TX500784"/>
    <s v="Tank Tops"/>
    <n v="2"/>
    <n v="43.7"/>
    <n v="87.4"/>
    <x v="33"/>
    <d v="2025-02-05T00:00:00"/>
    <x v="2"/>
    <x v="0"/>
    <n v="4"/>
    <s v="California"/>
    <s v="San Diego County"/>
    <n v="2"/>
    <x v="5"/>
    <s v="Female"/>
  </r>
  <r>
    <s v="TX500785"/>
    <s v="Bikinis"/>
    <n v="1"/>
    <n v="33.299999999999997"/>
    <n v="33.299999999999997"/>
    <x v="33"/>
    <d v="2025-02-04T00:00:00"/>
    <x v="2"/>
    <x v="2"/>
    <n v="3"/>
    <s v="California"/>
    <s v="San Diego County"/>
    <n v="1"/>
    <x v="5"/>
    <s v="Female"/>
  </r>
  <r>
    <s v="TX500786"/>
    <s v="T-Shirts"/>
    <n v="4"/>
    <n v="15.1"/>
    <n v="60.4"/>
    <x v="33"/>
    <d v="2025-02-05T00:00:00"/>
    <x v="2"/>
    <x v="4"/>
    <n v="5"/>
    <s v="California"/>
    <s v="San Diego County"/>
    <n v="2"/>
    <x v="5"/>
    <s v="Female"/>
  </r>
  <r>
    <s v="TX500787"/>
    <s v="Jeans"/>
    <n v="5"/>
    <n v="118.2"/>
    <n v="591"/>
    <x v="33"/>
    <d v="2025-02-04T00:00:00"/>
    <x v="2"/>
    <x v="3"/>
    <n v="2"/>
    <s v="California"/>
    <s v="San Diego County"/>
    <n v="1"/>
    <x v="5"/>
    <s v="Female"/>
  </r>
  <r>
    <s v="TX500788"/>
    <s v="Bikinis"/>
    <n v="3"/>
    <n v="28.9"/>
    <n v="86.699999999999989"/>
    <x v="33"/>
    <d v="2025-02-05T00:00:00"/>
    <x v="2"/>
    <x v="2"/>
    <n v="3"/>
    <s v="California"/>
    <s v="San Diego County"/>
    <n v="2"/>
    <x v="5"/>
    <s v="Female"/>
  </r>
  <r>
    <s v="TX500789"/>
    <s v="Graphic Tees"/>
    <n v="3"/>
    <n v="55.6"/>
    <n v="166.8"/>
    <x v="33"/>
    <d v="2025-02-04T00:00:00"/>
    <x v="1"/>
    <x v="0"/>
    <n v="3"/>
    <s v="California"/>
    <s v="San Diego County"/>
    <n v="1"/>
    <x v="5"/>
    <s v="Male"/>
  </r>
  <r>
    <s v="TX500790"/>
    <s v="Sundresses"/>
    <n v="4"/>
    <n v="25.6"/>
    <n v="102.4"/>
    <x v="33"/>
    <d v="2025-02-05T00:00:00"/>
    <x v="2"/>
    <x v="0"/>
    <n v="3"/>
    <s v="California"/>
    <s v="San Diego County"/>
    <n v="2"/>
    <x v="5"/>
    <s v="Female"/>
  </r>
  <r>
    <s v="TX500791"/>
    <s v="Hoodies &amp; Sweatshirts"/>
    <n v="3"/>
    <n v="31.3"/>
    <n v="93.9"/>
    <x v="33"/>
    <d v="2025-02-04T00:00:00"/>
    <x v="1"/>
    <x v="0"/>
    <n v="4"/>
    <s v="California"/>
    <s v="San Francisco"/>
    <n v="1"/>
    <x v="5"/>
    <s v="Male"/>
  </r>
  <r>
    <s v="TX500792"/>
    <s v="Shorts"/>
    <n v="3"/>
    <n v="22.1"/>
    <n v="66.300000000000011"/>
    <x v="33"/>
    <d v="2025-02-07T00:00:00"/>
    <x v="1"/>
    <x v="0"/>
    <n v="4"/>
    <s v="California"/>
    <s v="San Francisco"/>
    <n v="4"/>
    <x v="5"/>
    <s v="Male"/>
  </r>
  <r>
    <s v="TX500793"/>
    <s v="Sneakers"/>
    <n v="14"/>
    <n v="99.4"/>
    <n v="1391.6000000000001"/>
    <x v="33"/>
    <d v="2025-02-04T00:00:00"/>
    <x v="1"/>
    <x v="1"/>
    <n v="4"/>
    <s v="California"/>
    <s v="Santa Clara County"/>
    <n v="1"/>
    <x v="5"/>
    <s v="Male"/>
  </r>
  <r>
    <s v="TX500794"/>
    <s v="Hoodies &amp; Sweatshirts"/>
    <n v="6"/>
    <n v="66.599999999999994"/>
    <n v="399.59999999999997"/>
    <x v="33"/>
    <d v="2025-02-04T00:00:00"/>
    <x v="2"/>
    <x v="0"/>
    <n v="4"/>
    <s v="California"/>
    <s v="Santa Clara County"/>
    <n v="1"/>
    <x v="5"/>
    <s v="Female"/>
  </r>
  <r>
    <s v="TX500795"/>
    <s v="T-Shirts"/>
    <n v="2"/>
    <n v="22.6"/>
    <n v="45.2"/>
    <x v="33"/>
    <d v="2025-02-06T00:00:00"/>
    <x v="1"/>
    <x v="0"/>
    <n v="4"/>
    <s v="California"/>
    <s v="Santa Clara County"/>
    <n v="3"/>
    <x v="5"/>
    <s v="Male"/>
  </r>
  <r>
    <s v="TX500796"/>
    <s v="Sneakers"/>
    <n v="18"/>
    <n v="66.8"/>
    <n v="1202.3999999999999"/>
    <x v="33"/>
    <d v="2025-02-04T00:00:00"/>
    <x v="2"/>
    <x v="0"/>
    <n v="2"/>
    <s v="California"/>
    <s v="Ventura County"/>
    <n v="1"/>
    <x v="5"/>
    <s v="Female"/>
  </r>
  <r>
    <s v="TX500797"/>
    <s v="Shorts"/>
    <n v="4"/>
    <n v="20.8"/>
    <n v="83.2"/>
    <x v="33"/>
    <d v="2025-02-10T00:00:00"/>
    <x v="1"/>
    <x v="1"/>
    <n v="2"/>
    <s v="California"/>
    <s v="Contra Costa County"/>
    <n v="7"/>
    <x v="5"/>
    <s v="Male"/>
  </r>
  <r>
    <s v="TX500798"/>
    <s v="Sneakers"/>
    <n v="7"/>
    <n v="102.5"/>
    <n v="717.5"/>
    <x v="33"/>
    <d v="2025-02-04T00:00:00"/>
    <x v="2"/>
    <x v="4"/>
    <n v="5"/>
    <s v="California"/>
    <s v="Los Angeles County"/>
    <n v="1"/>
    <x v="5"/>
    <s v="Female"/>
  </r>
  <r>
    <s v="TX500799"/>
    <s v="Shorts"/>
    <n v="18"/>
    <n v="24.8"/>
    <n v="446.40000000000003"/>
    <x v="33"/>
    <d v="2025-02-07T00:00:00"/>
    <x v="2"/>
    <x v="0"/>
    <n v="4"/>
    <s v="California"/>
    <s v="Los Angeles County"/>
    <n v="4"/>
    <x v="5"/>
    <s v="Female"/>
  </r>
  <r>
    <s v="TX500800"/>
    <s v="Graphic Tees"/>
    <n v="31"/>
    <n v="31.4"/>
    <n v="973.4"/>
    <x v="33"/>
    <d v="2025-02-04T00:00:00"/>
    <x v="2"/>
    <x v="3"/>
    <n v="4"/>
    <s v="California"/>
    <s v="Los Angeles County"/>
    <n v="1"/>
    <x v="5"/>
    <s v="Female"/>
  </r>
  <r>
    <s v="TX500801"/>
    <s v="Sundresses"/>
    <n v="5"/>
    <n v="59.3"/>
    <n v="296.5"/>
    <x v="33"/>
    <d v="2025-02-06T00:00:00"/>
    <x v="1"/>
    <x v="1"/>
    <n v="5"/>
    <s v="California"/>
    <s v="Marin County"/>
    <n v="3"/>
    <x v="5"/>
    <s v="Male"/>
  </r>
  <r>
    <s v="TX500802"/>
    <s v="Maxi Dresses"/>
    <n v="6"/>
    <n v="39"/>
    <n v="234"/>
    <x v="33"/>
    <d v="2025-02-06T00:00:00"/>
    <x v="1"/>
    <x v="1"/>
    <n v="4"/>
    <s v="California"/>
    <s v="Sacramento County"/>
    <n v="3"/>
    <x v="5"/>
    <s v="Male"/>
  </r>
  <r>
    <s v="TX500803"/>
    <s v="Sandals"/>
    <n v="6"/>
    <n v="98.6"/>
    <n v="591.59999999999991"/>
    <x v="33"/>
    <d v="2025-02-05T00:00:00"/>
    <x v="2"/>
    <x v="1"/>
    <n v="4"/>
    <s v="California"/>
    <s v="Sacramento County"/>
    <n v="2"/>
    <x v="5"/>
    <s v="Female"/>
  </r>
  <r>
    <s v="TX500804"/>
    <s v="T-Shirts"/>
    <n v="1"/>
    <n v="20"/>
    <n v="20"/>
    <x v="34"/>
    <d v="2025-02-05T00:00:00"/>
    <x v="1"/>
    <x v="3"/>
    <n v="5"/>
    <s v="California"/>
    <s v="San Diego County"/>
    <n v="1"/>
    <x v="5"/>
    <s v="Male"/>
  </r>
  <r>
    <s v="TX500805"/>
    <s v="Tank Tops"/>
    <n v="2"/>
    <n v="42.9"/>
    <n v="85.8"/>
    <x v="34"/>
    <d v="2025-02-06T00:00:00"/>
    <x v="2"/>
    <x v="0"/>
    <n v="5"/>
    <s v="California"/>
    <s v="San Diego County"/>
    <n v="2"/>
    <x v="5"/>
    <s v="Female"/>
  </r>
  <r>
    <s v="TX500806"/>
    <s v="Hoodies &amp; Sweatshirts"/>
    <n v="7"/>
    <n v="55.6"/>
    <n v="389.2"/>
    <x v="34"/>
    <d v="2025-02-06T00:00:00"/>
    <x v="2"/>
    <x v="2"/>
    <n v="3"/>
    <s v="California"/>
    <s v="San Diego County"/>
    <n v="2"/>
    <x v="5"/>
    <s v="Female"/>
  </r>
  <r>
    <s v="TX500807"/>
    <s v="T-Shirts"/>
    <n v="4"/>
    <n v="19.2"/>
    <n v="76.8"/>
    <x v="34"/>
    <d v="2025-02-09T00:00:00"/>
    <x v="2"/>
    <x v="0"/>
    <n v="4"/>
    <s v="California"/>
    <s v="San Luis Obispo County"/>
    <n v="5"/>
    <x v="5"/>
    <s v="Female"/>
  </r>
  <r>
    <s v="TX500808"/>
    <s v="Sandals"/>
    <n v="2"/>
    <n v="28.8"/>
    <n v="57.6"/>
    <x v="34"/>
    <d v="2025-02-06T00:00:00"/>
    <x v="1"/>
    <x v="1"/>
    <n v="4"/>
    <s v="California"/>
    <s v="Sonoma County"/>
    <n v="2"/>
    <x v="5"/>
    <s v="Male"/>
  </r>
  <r>
    <s v="TX500809"/>
    <s v="Graphic Tees"/>
    <n v="1"/>
    <n v="29.7"/>
    <n v="29.7"/>
    <x v="34"/>
    <d v="2025-02-06T00:00:00"/>
    <x v="2"/>
    <x v="2"/>
    <n v="2"/>
    <s v="California"/>
    <s v="Tulare County"/>
    <n v="2"/>
    <x v="5"/>
    <s v="Female"/>
  </r>
  <r>
    <s v="TX500810"/>
    <s v="Jeans"/>
    <n v="6"/>
    <n v="63.3"/>
    <n v="379.79999999999995"/>
    <x v="34"/>
    <d v="2025-02-05T00:00:00"/>
    <x v="0"/>
    <x v="0"/>
    <n v="5"/>
    <s v="California"/>
    <s v="Alameda County"/>
    <n v="1"/>
    <x v="5"/>
    <s v="Unknown"/>
  </r>
  <r>
    <s v="TX500811"/>
    <s v="Graphic Tees"/>
    <n v="1"/>
    <n v="46"/>
    <n v="46"/>
    <x v="34"/>
    <d v="2025-02-05T00:00:00"/>
    <x v="2"/>
    <x v="0"/>
    <n v="5"/>
    <s v="California"/>
    <s v="Alameda County"/>
    <n v="1"/>
    <x v="5"/>
    <s v="Female"/>
  </r>
  <r>
    <s v="TX500812"/>
    <s v="Maxi Dresses"/>
    <n v="3"/>
    <n v="38"/>
    <n v="114"/>
    <x v="34"/>
    <d v="2025-02-06T00:00:00"/>
    <x v="2"/>
    <x v="1"/>
    <n v="5"/>
    <s v="California"/>
    <s v="Alameda County"/>
    <n v="2"/>
    <x v="5"/>
    <s v="Female"/>
  </r>
  <r>
    <s v="TX500813"/>
    <s v="Bikinis"/>
    <n v="13"/>
    <n v="34.6"/>
    <n v="449.8"/>
    <x v="34"/>
    <d v="2025-02-06T00:00:00"/>
    <x v="2"/>
    <x v="0"/>
    <n v="3"/>
    <s v="California"/>
    <s v="Alameda County"/>
    <n v="2"/>
    <x v="5"/>
    <s v="Female"/>
  </r>
  <r>
    <s v="TX500814"/>
    <s v="Workout Tops"/>
    <n v="10"/>
    <n v="79.7"/>
    <n v="797"/>
    <x v="34"/>
    <d v="2025-02-05T00:00:00"/>
    <x v="2"/>
    <x v="4"/>
    <n v="3"/>
    <s v="California"/>
    <s v="Alameda County"/>
    <n v="1"/>
    <x v="5"/>
    <s v="Female"/>
  </r>
  <r>
    <s v="TX500815"/>
    <s v="T-Shirts"/>
    <n v="8"/>
    <n v="30.5"/>
    <n v="244"/>
    <x v="34"/>
    <d v="2025-02-08T00:00:00"/>
    <x v="1"/>
    <x v="3"/>
    <n v="4"/>
    <s v="California"/>
    <s v="Contra Costa County"/>
    <n v="4"/>
    <x v="5"/>
    <s v="Male"/>
  </r>
  <r>
    <s v="TX500816"/>
    <s v="Shorts"/>
    <n v="2"/>
    <n v="20.8"/>
    <n v="41.6"/>
    <x v="34"/>
    <d v="2025-02-05T00:00:00"/>
    <x v="2"/>
    <x v="0"/>
    <n v="4"/>
    <s v="California"/>
    <s v="Fresno County"/>
    <n v="1"/>
    <x v="5"/>
    <s v="Female"/>
  </r>
  <r>
    <s v="TX500817"/>
    <s v="Maxi Dresses"/>
    <n v="7"/>
    <n v="48.5"/>
    <n v="339.5"/>
    <x v="34"/>
    <d v="2025-02-08T00:00:00"/>
    <x v="2"/>
    <x v="2"/>
    <n v="5"/>
    <s v="California"/>
    <s v="Fresno County"/>
    <n v="4"/>
    <x v="5"/>
    <s v="Female"/>
  </r>
  <r>
    <s v="TX500818"/>
    <s v="Sneakers"/>
    <n v="4"/>
    <n v="61.8"/>
    <n v="247.2"/>
    <x v="34"/>
    <d v="2025-02-08T00:00:00"/>
    <x v="2"/>
    <x v="4"/>
    <n v="4"/>
    <s v="California"/>
    <s v="Kern County"/>
    <n v="4"/>
    <x v="5"/>
    <s v="Female"/>
  </r>
  <r>
    <s v="TX500819"/>
    <s v="Bikinis"/>
    <n v="1"/>
    <n v="46.1"/>
    <n v="46.1"/>
    <x v="34"/>
    <d v="2025-02-05T00:00:00"/>
    <x v="3"/>
    <x v="2"/>
    <n v="4"/>
    <s v="California"/>
    <s v="Los Angeles County"/>
    <n v="1"/>
    <x v="5"/>
    <s v="Other"/>
  </r>
  <r>
    <s v="TX500820"/>
    <s v="Graphic Tees"/>
    <n v="6"/>
    <n v="44"/>
    <n v="264"/>
    <x v="34"/>
    <d v="2025-02-05T00:00:00"/>
    <x v="2"/>
    <x v="0"/>
    <n v="4"/>
    <s v="California"/>
    <s v="Los Angeles County"/>
    <n v="1"/>
    <x v="5"/>
    <s v="Female"/>
  </r>
  <r>
    <s v="TX500821"/>
    <s v="Leggings"/>
    <n v="2"/>
    <n v="95.7"/>
    <n v="191.4"/>
    <x v="34"/>
    <d v="2025-02-10T00:00:00"/>
    <x v="2"/>
    <x v="3"/>
    <n v="5"/>
    <s v="California"/>
    <s v="Los Angeles County"/>
    <n v="6"/>
    <x v="5"/>
    <s v="Female"/>
  </r>
  <r>
    <s v="TX500822"/>
    <s v="Hoodies &amp; Sweatshirts"/>
    <n v="5"/>
    <n v="46.4"/>
    <n v="232"/>
    <x v="34"/>
    <d v="2025-02-07T00:00:00"/>
    <x v="2"/>
    <x v="0"/>
    <n v="4"/>
    <s v="California"/>
    <s v="Los Angeles County"/>
    <n v="3"/>
    <x v="5"/>
    <s v="Female"/>
  </r>
  <r>
    <s v="TX500823"/>
    <s v="Jeans"/>
    <n v="2"/>
    <n v="47.2"/>
    <n v="94.4"/>
    <x v="34"/>
    <d v="2025-02-06T00:00:00"/>
    <x v="2"/>
    <x v="0"/>
    <n v="5"/>
    <s v="California"/>
    <s v="Los Angeles County"/>
    <n v="2"/>
    <x v="5"/>
    <s v="Female"/>
  </r>
  <r>
    <s v="TX500824"/>
    <s v="Hoodies &amp; Sweatshirts"/>
    <n v="2"/>
    <n v="58.6"/>
    <n v="117.2"/>
    <x v="34"/>
    <d v="2025-02-05T00:00:00"/>
    <x v="2"/>
    <x v="2"/>
    <n v="3"/>
    <s v="California"/>
    <s v="Los Angeles County"/>
    <n v="1"/>
    <x v="5"/>
    <s v="Female"/>
  </r>
  <r>
    <s v="TX500825"/>
    <s v="Graphic Tees"/>
    <n v="3"/>
    <n v="57"/>
    <n v="171"/>
    <x v="34"/>
    <d v="2025-02-05T00:00:00"/>
    <x v="1"/>
    <x v="0"/>
    <n v="5"/>
    <s v="California"/>
    <s v="Los Angeles County"/>
    <n v="1"/>
    <x v="5"/>
    <s v="Male"/>
  </r>
  <r>
    <s v="TX500826"/>
    <s v="T-Shirts"/>
    <n v="4"/>
    <n v="28.9"/>
    <n v="115.6"/>
    <x v="34"/>
    <d v="2025-02-08T00:00:00"/>
    <x v="1"/>
    <x v="2"/>
    <n v="4"/>
    <s v="California"/>
    <s v="Los Angeles County"/>
    <n v="4"/>
    <x v="5"/>
    <s v="Male"/>
  </r>
  <r>
    <s v="TX500827"/>
    <s v="Casual Dresses"/>
    <n v="5"/>
    <n v="60.7"/>
    <n v="303.5"/>
    <x v="34"/>
    <d v="2025-02-08T00:00:00"/>
    <x v="0"/>
    <x v="1"/>
    <n v="3"/>
    <s v="California"/>
    <s v="Los Angeles County"/>
    <n v="4"/>
    <x v="5"/>
    <s v="Unknown"/>
  </r>
  <r>
    <s v="TX500828"/>
    <s v="Jeans"/>
    <n v="5"/>
    <n v="60.8"/>
    <n v="304"/>
    <x v="34"/>
    <d v="2025-02-08T00:00:00"/>
    <x v="1"/>
    <x v="0"/>
    <n v="3"/>
    <s v="California"/>
    <s v="Los Angeles County"/>
    <n v="4"/>
    <x v="5"/>
    <s v="Male"/>
  </r>
  <r>
    <s v="TX500829"/>
    <s v="Jeans"/>
    <n v="5"/>
    <n v="64.599999999999994"/>
    <n v="323"/>
    <x v="34"/>
    <d v="2025-02-05T00:00:00"/>
    <x v="2"/>
    <x v="3"/>
    <n v="4"/>
    <s v="California"/>
    <s v="Los Angeles County"/>
    <n v="1"/>
    <x v="5"/>
    <s v="Female"/>
  </r>
  <r>
    <s v="TX500830"/>
    <s v="T-Shirts"/>
    <n v="1"/>
    <n v="21.9"/>
    <n v="21.9"/>
    <x v="34"/>
    <d v="2025-02-07T00:00:00"/>
    <x v="1"/>
    <x v="1"/>
    <n v="5"/>
    <s v="California"/>
    <s v="Nevada County"/>
    <n v="3"/>
    <x v="5"/>
    <s v="Male"/>
  </r>
  <r>
    <s v="TX500831"/>
    <s v="Graphic Tees"/>
    <n v="12"/>
    <n v="33.4"/>
    <n v="400.79999999999995"/>
    <x v="34"/>
    <d v="2025-02-06T00:00:00"/>
    <x v="2"/>
    <x v="0"/>
    <n v="4"/>
    <s v="California"/>
    <s v="Riverside County"/>
    <n v="2"/>
    <x v="5"/>
    <s v="Female"/>
  </r>
  <r>
    <s v="TX500832"/>
    <s v="Sneakers"/>
    <n v="1"/>
    <n v="51.7"/>
    <n v="51.7"/>
    <x v="34"/>
    <d v="2025-02-05T00:00:00"/>
    <x v="0"/>
    <x v="0"/>
    <n v="4"/>
    <s v="California"/>
    <s v="Sacramento County"/>
    <n v="1"/>
    <x v="5"/>
    <s v="Unknown"/>
  </r>
  <r>
    <s v="TX500833"/>
    <s v="Tank Tops"/>
    <n v="4"/>
    <n v="84.9"/>
    <n v="339.6"/>
    <x v="34"/>
    <d v="2025-02-05T00:00:00"/>
    <x v="2"/>
    <x v="1"/>
    <n v="3"/>
    <s v="California"/>
    <s v="Sacramento County"/>
    <n v="1"/>
    <x v="5"/>
    <s v="Female"/>
  </r>
  <r>
    <s v="TX500834"/>
    <s v="Tank Tops"/>
    <n v="11"/>
    <n v="62.3"/>
    <n v="685.3"/>
    <x v="34"/>
    <d v="2025-02-05T00:00:00"/>
    <x v="2"/>
    <x v="2"/>
    <n v="5"/>
    <s v="California"/>
    <s v="San Bernardino County"/>
    <n v="1"/>
    <x v="5"/>
    <s v="Female"/>
  </r>
  <r>
    <s v="TX500835"/>
    <s v="Graphic Tees"/>
    <n v="1"/>
    <n v="50.7"/>
    <n v="50.7"/>
    <x v="34"/>
    <d v="2025-02-06T00:00:00"/>
    <x v="1"/>
    <x v="2"/>
    <n v="5"/>
    <s v="California"/>
    <s v="San Diego County"/>
    <n v="2"/>
    <x v="5"/>
    <s v="Male"/>
  </r>
  <r>
    <s v="TX500836"/>
    <s v="Leggings"/>
    <n v="1"/>
    <n v="39.5"/>
    <n v="39.5"/>
    <x v="34"/>
    <d v="2025-02-05T00:00:00"/>
    <x v="1"/>
    <x v="4"/>
    <n v="3"/>
    <s v="California"/>
    <s v="San Diego County"/>
    <n v="1"/>
    <x v="5"/>
    <s v="Male"/>
  </r>
  <r>
    <s v="TX500837"/>
    <s v="Casual Dresses"/>
    <n v="3"/>
    <n v="30.9"/>
    <n v="92.699999999999989"/>
    <x v="34"/>
    <d v="2025-02-05T00:00:00"/>
    <x v="0"/>
    <x v="4"/>
    <n v="5"/>
    <s v="California"/>
    <s v="San Diego County"/>
    <n v="1"/>
    <x v="5"/>
    <s v="Unknown"/>
  </r>
  <r>
    <s v="TX500838"/>
    <s v="Tank Tops"/>
    <n v="7"/>
    <n v="36.4"/>
    <n v="254.79999999999998"/>
    <x v="34"/>
    <d v="2025-02-07T00:00:00"/>
    <x v="2"/>
    <x v="0"/>
    <n v="5"/>
    <s v="California"/>
    <s v="San Diego County"/>
    <n v="3"/>
    <x v="5"/>
    <s v="Female"/>
  </r>
  <r>
    <s v="TX500839"/>
    <s v="Jeans"/>
    <n v="8"/>
    <n v="105.6"/>
    <n v="844.8"/>
    <x v="34"/>
    <d v="2025-02-14T00:00:00"/>
    <x v="2"/>
    <x v="0"/>
    <n v="4"/>
    <s v="California"/>
    <s v="San Diego County"/>
    <n v="10"/>
    <x v="5"/>
    <s v="Female"/>
  </r>
  <r>
    <s v="TX500840"/>
    <s v="T-Shirts"/>
    <n v="2"/>
    <n v="22.1"/>
    <n v="44.2"/>
    <x v="34"/>
    <d v="2025-02-05T00:00:00"/>
    <x v="2"/>
    <x v="0"/>
    <n v="5"/>
    <s v="California"/>
    <s v="San Francisco"/>
    <n v="1"/>
    <x v="5"/>
    <s v="Female"/>
  </r>
  <r>
    <s v="TX500841"/>
    <s v="Shorts"/>
    <n v="3"/>
    <n v="22.6"/>
    <n v="67.800000000000011"/>
    <x v="34"/>
    <d v="2025-02-05T00:00:00"/>
    <x v="2"/>
    <x v="2"/>
    <n v="4"/>
    <s v="California"/>
    <s v="San Francisco"/>
    <n v="1"/>
    <x v="5"/>
    <s v="Female"/>
  </r>
  <r>
    <s v="TX500842"/>
    <s v="Bikinis"/>
    <n v="6"/>
    <n v="26.3"/>
    <n v="157.80000000000001"/>
    <x v="34"/>
    <d v="2025-02-04T00:00:00"/>
    <x v="2"/>
    <x v="2"/>
    <n v="4"/>
    <s v="California"/>
    <s v="San Mateo County"/>
    <n v="0"/>
    <x v="5"/>
    <s v="Female"/>
  </r>
  <r>
    <s v="TX500843"/>
    <s v="Tank Tops"/>
    <n v="4"/>
    <n v="37.799999999999997"/>
    <n v="151.19999999999999"/>
    <x v="34"/>
    <d v="2025-02-05T00:00:00"/>
    <x v="2"/>
    <x v="0"/>
    <n v="5"/>
    <s v="California"/>
    <s v="Santa Clara County"/>
    <n v="1"/>
    <x v="5"/>
    <s v="Female"/>
  </r>
  <r>
    <s v="TX500844"/>
    <s v="Jeans"/>
    <n v="17"/>
    <n v="96"/>
    <n v="1632"/>
    <x v="34"/>
    <d v="2025-02-07T00:00:00"/>
    <x v="2"/>
    <x v="4"/>
    <n v="3"/>
    <s v="California"/>
    <s v="Sonoma County"/>
    <n v="3"/>
    <x v="5"/>
    <s v="Female"/>
  </r>
  <r>
    <s v="TX500845"/>
    <s v="Tank Tops"/>
    <n v="1"/>
    <n v="83.6"/>
    <n v="83.6"/>
    <x v="34"/>
    <d v="2025-02-07T00:00:00"/>
    <x v="2"/>
    <x v="2"/>
    <n v="3"/>
    <s v="California"/>
    <s v="Stanislaus County"/>
    <n v="3"/>
    <x v="5"/>
    <s v="Female"/>
  </r>
  <r>
    <s v="TX500846"/>
    <s v="Sneakers"/>
    <n v="6"/>
    <n v="72.599999999999994"/>
    <n v="435.59999999999997"/>
    <x v="34"/>
    <d v="2025-02-05T00:00:00"/>
    <x v="2"/>
    <x v="0"/>
    <n v="4"/>
    <s v="California"/>
    <s v="Alameda County"/>
    <n v="1"/>
    <x v="5"/>
    <s v="Female"/>
  </r>
  <r>
    <s v="TX500847"/>
    <s v="Sandals"/>
    <n v="20"/>
    <n v="69.099999999999994"/>
    <n v="1382"/>
    <x v="35"/>
    <d v="2025-02-11T00:00:00"/>
    <x v="1"/>
    <x v="0"/>
    <n v="5"/>
    <s v="California"/>
    <s v="Alameda County"/>
    <n v="6"/>
    <x v="5"/>
    <s v="Male"/>
  </r>
  <r>
    <s v="TX500848"/>
    <s v="Graphic Tees"/>
    <n v="2"/>
    <n v="22.6"/>
    <n v="45.2"/>
    <x v="35"/>
    <d v="2025-02-07T00:00:00"/>
    <x v="2"/>
    <x v="1"/>
    <n v="5"/>
    <s v="California"/>
    <s v="Alameda County"/>
    <n v="2"/>
    <x v="5"/>
    <s v="Female"/>
  </r>
  <r>
    <s v="TX500849"/>
    <s v="Jeans"/>
    <n v="2"/>
    <n v="45.3"/>
    <n v="90.6"/>
    <x v="35"/>
    <d v="2025-02-09T00:00:00"/>
    <x v="1"/>
    <x v="4"/>
    <n v="5"/>
    <s v="California"/>
    <s v="Alameda County"/>
    <n v="4"/>
    <x v="5"/>
    <s v="Male"/>
  </r>
  <r>
    <s v="TX500850"/>
    <s v="Sneakers"/>
    <n v="2"/>
    <n v="115.1"/>
    <n v="230.2"/>
    <x v="35"/>
    <d v="2025-02-06T00:00:00"/>
    <x v="2"/>
    <x v="1"/>
    <n v="4"/>
    <s v="California"/>
    <s v="Contra Costa County"/>
    <n v="1"/>
    <x v="5"/>
    <s v="Female"/>
  </r>
  <r>
    <s v="TX500851"/>
    <s v="Leggings"/>
    <n v="4"/>
    <n v="79"/>
    <n v="316"/>
    <x v="35"/>
    <d v="2025-02-07T00:00:00"/>
    <x v="1"/>
    <x v="2"/>
    <n v="2"/>
    <s v="California"/>
    <s v="Contra Costa County"/>
    <n v="2"/>
    <x v="5"/>
    <s v="Male"/>
  </r>
  <r>
    <s v="TX500852"/>
    <s v="Jeans"/>
    <n v="5"/>
    <n v="52.8"/>
    <n v="264"/>
    <x v="35"/>
    <d v="2025-02-06T00:00:00"/>
    <x v="2"/>
    <x v="0"/>
    <n v="4"/>
    <s v="California"/>
    <s v="El Dorado County"/>
    <n v="1"/>
    <x v="5"/>
    <s v="Female"/>
  </r>
  <r>
    <s v="TX500853"/>
    <s v="T-Shirts"/>
    <n v="2"/>
    <n v="34.1"/>
    <n v="68.2"/>
    <x v="35"/>
    <d v="2025-02-06T00:00:00"/>
    <x v="1"/>
    <x v="3"/>
    <n v="5"/>
    <s v="California"/>
    <s v="Humboldt County"/>
    <n v="1"/>
    <x v="5"/>
    <s v="Male"/>
  </r>
  <r>
    <s v="TX500854"/>
    <s v="Jeans"/>
    <n v="5"/>
    <n v="107.9"/>
    <n v="539.5"/>
    <x v="35"/>
    <d v="2025-02-05T00:00:00"/>
    <x v="2"/>
    <x v="0"/>
    <n v="5"/>
    <s v="California"/>
    <s v="Lake County"/>
    <n v="0"/>
    <x v="5"/>
    <s v="Female"/>
  </r>
  <r>
    <s v="TX500855"/>
    <s v="T-Shirts"/>
    <n v="13"/>
    <n v="48.5"/>
    <n v="630.5"/>
    <x v="35"/>
    <d v="2025-02-05T00:00:00"/>
    <x v="1"/>
    <x v="2"/>
    <n v="5"/>
    <s v="California"/>
    <s v="Los Angeles County"/>
    <n v="0"/>
    <x v="5"/>
    <s v="Male"/>
  </r>
  <r>
    <s v="TX500856"/>
    <s v="Sandals"/>
    <n v="3"/>
    <n v="34.700000000000003"/>
    <n v="104.10000000000001"/>
    <x v="35"/>
    <d v="2025-02-06T00:00:00"/>
    <x v="0"/>
    <x v="4"/>
    <n v="3"/>
    <s v="California"/>
    <s v="Los Angeles County"/>
    <n v="1"/>
    <x v="5"/>
    <s v="Unknown"/>
  </r>
  <r>
    <s v="TX500857"/>
    <s v="T-Shirts"/>
    <n v="1"/>
    <n v="16.8"/>
    <n v="16.8"/>
    <x v="35"/>
    <d v="2025-02-07T00:00:00"/>
    <x v="2"/>
    <x v="3"/>
    <n v="4"/>
    <s v="California"/>
    <s v="Los Angeles County"/>
    <n v="2"/>
    <x v="5"/>
    <s v="Female"/>
  </r>
  <r>
    <s v="TX500858"/>
    <s v="T-Shirts"/>
    <n v="6"/>
    <n v="18.3"/>
    <n v="109.80000000000001"/>
    <x v="35"/>
    <d v="2025-02-08T00:00:00"/>
    <x v="2"/>
    <x v="0"/>
    <n v="4"/>
    <s v="California"/>
    <s v="Los Angeles County"/>
    <n v="3"/>
    <x v="5"/>
    <s v="Female"/>
  </r>
  <r>
    <s v="TX500859"/>
    <s v="Leggings"/>
    <n v="3"/>
    <n v="55.9"/>
    <n v="167.7"/>
    <x v="35"/>
    <d v="2025-02-11T00:00:00"/>
    <x v="1"/>
    <x v="3"/>
    <n v="3"/>
    <s v="California"/>
    <s v="Los Angeles County"/>
    <n v="6"/>
    <x v="5"/>
    <s v="Male"/>
  </r>
  <r>
    <s v="TX500860"/>
    <s v="T-Shirts"/>
    <n v="3"/>
    <n v="39.200000000000003"/>
    <n v="117.60000000000001"/>
    <x v="35"/>
    <d v="2025-02-07T00:00:00"/>
    <x v="2"/>
    <x v="0"/>
    <n v="3"/>
    <s v="California"/>
    <s v="Los Angeles County"/>
    <n v="2"/>
    <x v="5"/>
    <s v="Female"/>
  </r>
  <r>
    <s v="TX500861"/>
    <s v="Crop Tops"/>
    <n v="4"/>
    <n v="66.5"/>
    <n v="266"/>
    <x v="35"/>
    <d v="2025-02-07T00:00:00"/>
    <x v="0"/>
    <x v="3"/>
    <n v="3"/>
    <s v="California"/>
    <s v="Los Angeles County"/>
    <n v="2"/>
    <x v="5"/>
    <s v="Unknown"/>
  </r>
  <r>
    <s v="TX500862"/>
    <s v="Jeans"/>
    <n v="6"/>
    <n v="52.1"/>
    <n v="312.60000000000002"/>
    <x v="35"/>
    <d v="2025-02-07T00:00:00"/>
    <x v="1"/>
    <x v="1"/>
    <n v="3"/>
    <s v="California"/>
    <s v="Napa County"/>
    <n v="2"/>
    <x v="5"/>
    <s v="Male"/>
  </r>
  <r>
    <s v="TX500863"/>
    <s v="T-Shirts"/>
    <n v="2"/>
    <n v="19"/>
    <n v="38"/>
    <x v="35"/>
    <d v="2025-02-06T00:00:00"/>
    <x v="1"/>
    <x v="4"/>
    <n v="5"/>
    <s v="California"/>
    <s v="Sacramento County"/>
    <n v="1"/>
    <x v="5"/>
    <s v="Male"/>
  </r>
  <r>
    <s v="TX500864"/>
    <s v="Hoodies &amp; Sweatshirts"/>
    <n v="3"/>
    <n v="84.8"/>
    <n v="254.39999999999998"/>
    <x v="35"/>
    <d v="2025-02-07T00:00:00"/>
    <x v="2"/>
    <x v="2"/>
    <n v="4"/>
    <s v="California"/>
    <s v="San Diego County"/>
    <n v="2"/>
    <x v="5"/>
    <s v="Female"/>
  </r>
  <r>
    <s v="TX500865"/>
    <s v="Sneakers"/>
    <n v="4"/>
    <n v="63.9"/>
    <n v="255.6"/>
    <x v="35"/>
    <d v="2025-02-08T00:00:00"/>
    <x v="2"/>
    <x v="0"/>
    <n v="4"/>
    <s v="California"/>
    <s v="San Diego County"/>
    <n v="3"/>
    <x v="5"/>
    <s v="Female"/>
  </r>
  <r>
    <s v="TX500866"/>
    <s v="Sneakers"/>
    <n v="3"/>
    <n v="65.5"/>
    <n v="196.5"/>
    <x v="35"/>
    <d v="2025-02-05T00:00:00"/>
    <x v="2"/>
    <x v="1"/>
    <n v="3"/>
    <s v="California"/>
    <s v="San Diego County"/>
    <n v="0"/>
    <x v="5"/>
    <s v="Female"/>
  </r>
  <r>
    <s v="TX500867"/>
    <s v="Casual Dresses"/>
    <n v="2"/>
    <n v="116.2"/>
    <n v="232.4"/>
    <x v="35"/>
    <d v="2025-02-11T00:00:00"/>
    <x v="1"/>
    <x v="3"/>
    <n v="4"/>
    <s v="California"/>
    <s v="San Francisco"/>
    <n v="6"/>
    <x v="5"/>
    <s v="Male"/>
  </r>
  <r>
    <s v="TX500868"/>
    <s v="Bikinis"/>
    <n v="4"/>
    <n v="22.9"/>
    <n v="91.6"/>
    <x v="35"/>
    <d v="2025-02-07T00:00:00"/>
    <x v="2"/>
    <x v="2"/>
    <n v="3"/>
    <s v="California"/>
    <s v="Solano County"/>
    <n v="2"/>
    <x v="5"/>
    <s v="Female"/>
  </r>
  <r>
    <s v="TX500869"/>
    <s v="Bikinis"/>
    <n v="3"/>
    <n v="53.7"/>
    <n v="161.10000000000002"/>
    <x v="35"/>
    <d v="2025-02-06T00:00:00"/>
    <x v="1"/>
    <x v="0"/>
    <n v="2"/>
    <s v="California"/>
    <s v="Sonoma County"/>
    <n v="1"/>
    <x v="5"/>
    <s v="Male"/>
  </r>
  <r>
    <s v="TX500870"/>
    <s v="Jeans"/>
    <n v="5"/>
    <n v="43.2"/>
    <n v="216"/>
    <x v="35"/>
    <d v="2025-02-07T00:00:00"/>
    <x v="2"/>
    <x v="0"/>
    <n v="4"/>
    <s v="California"/>
    <s v="Stanislaus County"/>
    <n v="2"/>
    <x v="5"/>
    <s v="Female"/>
  </r>
  <r>
    <s v="TX500871"/>
    <s v="Tank Tops"/>
    <n v="3"/>
    <n v="84.5"/>
    <n v="253.5"/>
    <x v="35"/>
    <d v="2025-02-07T00:00:00"/>
    <x v="1"/>
    <x v="2"/>
    <n v="5"/>
    <s v="California"/>
    <s v="Butte County"/>
    <n v="2"/>
    <x v="5"/>
    <s v="Male"/>
  </r>
  <r>
    <s v="TX500872"/>
    <s v="Workout Tops"/>
    <n v="2"/>
    <n v="42.2"/>
    <n v="84.4"/>
    <x v="35"/>
    <d v="2025-02-06T00:00:00"/>
    <x v="2"/>
    <x v="1"/>
    <n v="5"/>
    <s v="California"/>
    <s v="Contra Costa County"/>
    <n v="1"/>
    <x v="5"/>
    <s v="Female"/>
  </r>
  <r>
    <s v="TX500873"/>
    <s v="Sneakers"/>
    <n v="6"/>
    <n v="94.7"/>
    <n v="568.20000000000005"/>
    <x v="35"/>
    <d v="2025-02-08T00:00:00"/>
    <x v="2"/>
    <x v="1"/>
    <n v="5"/>
    <s v="California"/>
    <s v="Fresno County"/>
    <n v="3"/>
    <x v="5"/>
    <s v="Female"/>
  </r>
  <r>
    <s v="TX500874"/>
    <s v="T-Shirts"/>
    <n v="18"/>
    <n v="16.7"/>
    <n v="300.59999999999997"/>
    <x v="35"/>
    <d v="2025-02-17T00:00:00"/>
    <x v="2"/>
    <x v="0"/>
    <n v="5"/>
    <s v="California"/>
    <s v="Fresno County"/>
    <n v="12"/>
    <x v="5"/>
    <s v="Female"/>
  </r>
  <r>
    <s v="TX500875"/>
    <s v="Sneakers"/>
    <n v="2"/>
    <n v="83.6"/>
    <n v="167.2"/>
    <x v="35"/>
    <d v="2025-02-11T00:00:00"/>
    <x v="2"/>
    <x v="1"/>
    <n v="4"/>
    <s v="California"/>
    <s v="Los Angeles County"/>
    <n v="6"/>
    <x v="5"/>
    <s v="Female"/>
  </r>
  <r>
    <s v="TX500876"/>
    <s v="Hoodies &amp; Sweatshirts"/>
    <n v="6"/>
    <n v="33.6"/>
    <n v="201.60000000000002"/>
    <x v="36"/>
    <d v="2025-02-07T00:00:00"/>
    <x v="2"/>
    <x v="3"/>
    <n v="4"/>
    <s v="California"/>
    <s v="Los Angeles County"/>
    <n v="1"/>
    <x v="5"/>
    <s v="Female"/>
  </r>
  <r>
    <s v="TX500877"/>
    <s v="Hoodies &amp; Sweatshirts"/>
    <n v="2"/>
    <n v="64.7"/>
    <n v="129.4"/>
    <x v="36"/>
    <d v="2025-02-08T00:00:00"/>
    <x v="1"/>
    <x v="1"/>
    <n v="5"/>
    <s v="California"/>
    <s v="Los Angeles County"/>
    <n v="2"/>
    <x v="5"/>
    <s v="Male"/>
  </r>
  <r>
    <s v="TX500878"/>
    <s v="Shorts"/>
    <n v="3"/>
    <n v="15.7"/>
    <n v="47.099999999999994"/>
    <x v="36"/>
    <d v="2025-02-12T00:00:00"/>
    <x v="2"/>
    <x v="0"/>
    <n v="4"/>
    <s v="California"/>
    <s v="Los Angeles County"/>
    <n v="6"/>
    <x v="5"/>
    <s v="Female"/>
  </r>
  <r>
    <s v="TX500879"/>
    <s v="Crop Tops"/>
    <n v="6"/>
    <n v="49.4"/>
    <n v="296.39999999999998"/>
    <x v="36"/>
    <d v="2025-02-06T00:00:00"/>
    <x v="1"/>
    <x v="1"/>
    <n v="4"/>
    <s v="California"/>
    <s v="Los Angeles County"/>
    <n v="0"/>
    <x v="5"/>
    <s v="Male"/>
  </r>
  <r>
    <s v="TX500880"/>
    <s v="Bikinis"/>
    <n v="6"/>
    <n v="37"/>
    <n v="222"/>
    <x v="36"/>
    <d v="2025-02-09T00:00:00"/>
    <x v="2"/>
    <x v="1"/>
    <n v="5"/>
    <s v="California"/>
    <s v="Los Angeles County"/>
    <n v="3"/>
    <x v="5"/>
    <s v="Female"/>
  </r>
  <r>
    <s v="TX500881"/>
    <s v="Sneakers"/>
    <n v="2"/>
    <n v="83.7"/>
    <n v="167.4"/>
    <x v="36"/>
    <d v="2025-02-08T00:00:00"/>
    <x v="2"/>
    <x v="3"/>
    <n v="5"/>
    <s v="California"/>
    <s v="Los Angeles County"/>
    <n v="2"/>
    <x v="5"/>
    <s v="Female"/>
  </r>
  <r>
    <s v="TX500882"/>
    <s v="Tank Tops"/>
    <n v="5"/>
    <n v="35.1"/>
    <n v="175.5"/>
    <x v="36"/>
    <d v="2025-02-07T00:00:00"/>
    <x v="2"/>
    <x v="0"/>
    <n v="4"/>
    <s v="California"/>
    <s v="Los Angeles County"/>
    <n v="1"/>
    <x v="5"/>
    <s v="Female"/>
  </r>
  <r>
    <s v="TX500883"/>
    <s v="Sunglasses"/>
    <n v="8"/>
    <n v="74"/>
    <n v="592"/>
    <x v="36"/>
    <d v="2025-02-07T00:00:00"/>
    <x v="2"/>
    <x v="4"/>
    <n v="4"/>
    <s v="California"/>
    <s v="Madera County"/>
    <n v="1"/>
    <x v="5"/>
    <s v="Female"/>
  </r>
  <r>
    <s v="TX500884"/>
    <s v="Jeans"/>
    <n v="24"/>
    <n v="55.5"/>
    <n v="1332"/>
    <x v="36"/>
    <d v="2025-02-09T00:00:00"/>
    <x v="1"/>
    <x v="3"/>
    <n v="4"/>
    <s v="California"/>
    <s v="Monterey County"/>
    <n v="3"/>
    <x v="5"/>
    <s v="Male"/>
  </r>
  <r>
    <s v="TX500885"/>
    <s v="Maxi Dresses"/>
    <n v="2"/>
    <n v="38.9"/>
    <n v="77.8"/>
    <x v="36"/>
    <d v="2025-02-08T00:00:00"/>
    <x v="2"/>
    <x v="1"/>
    <n v="5"/>
    <s v="California"/>
    <s v="Orange County"/>
    <n v="2"/>
    <x v="5"/>
    <s v="Female"/>
  </r>
  <r>
    <s v="TX500886"/>
    <s v="Sunglasses"/>
    <n v="2"/>
    <n v="64.599999999999994"/>
    <n v="129.19999999999999"/>
    <x v="36"/>
    <d v="2025-02-13T00:00:00"/>
    <x v="1"/>
    <x v="2"/>
    <n v="3"/>
    <s v="California"/>
    <s v="Orange County"/>
    <n v="7"/>
    <x v="5"/>
    <s v="Male"/>
  </r>
  <r>
    <s v="TX500887"/>
    <s v="Sneakers"/>
    <n v="3"/>
    <n v="95.3"/>
    <n v="285.89999999999998"/>
    <x v="36"/>
    <d v="2025-02-07T00:00:00"/>
    <x v="1"/>
    <x v="0"/>
    <n v="4"/>
    <s v="California"/>
    <s v="Placer County"/>
    <n v="1"/>
    <x v="5"/>
    <s v="Male"/>
  </r>
  <r>
    <s v="TX500888"/>
    <s v="Tote Bags"/>
    <n v="3"/>
    <n v="25.8"/>
    <n v="77.400000000000006"/>
    <x v="36"/>
    <d v="2025-02-07T00:00:00"/>
    <x v="2"/>
    <x v="1"/>
    <n v="3"/>
    <s v="California"/>
    <s v="Sacramento County"/>
    <n v="1"/>
    <x v="5"/>
    <s v="Female"/>
  </r>
  <r>
    <s v="TX500889"/>
    <s v="Shorts"/>
    <n v="2"/>
    <n v="11.6"/>
    <n v="23.2"/>
    <x v="36"/>
    <d v="2025-02-10T00:00:00"/>
    <x v="2"/>
    <x v="1"/>
    <n v="3"/>
    <s v="California"/>
    <s v="Sacramento County"/>
    <n v="4"/>
    <x v="5"/>
    <s v="Female"/>
  </r>
  <r>
    <s v="TX500890"/>
    <s v="Hoodies &amp; Sweatshirts"/>
    <n v="1"/>
    <n v="52.3"/>
    <n v="52.3"/>
    <x v="36"/>
    <d v="2025-02-07T00:00:00"/>
    <x v="2"/>
    <x v="1"/>
    <n v="4"/>
    <s v="California"/>
    <s v="San Diego County"/>
    <n v="1"/>
    <x v="5"/>
    <s v="Female"/>
  </r>
  <r>
    <s v="TX500891"/>
    <s v="Sneakers"/>
    <n v="10"/>
    <n v="112.2"/>
    <n v="1122"/>
    <x v="36"/>
    <d v="2025-02-07T00:00:00"/>
    <x v="2"/>
    <x v="1"/>
    <n v="3"/>
    <s v="California"/>
    <s v="San Diego County"/>
    <n v="1"/>
    <x v="5"/>
    <s v="Female"/>
  </r>
  <r>
    <s v="TX500892"/>
    <s v="Graphic Tees"/>
    <n v="5"/>
    <n v="34.6"/>
    <n v="173"/>
    <x v="36"/>
    <d v="2025-02-08T00:00:00"/>
    <x v="1"/>
    <x v="2"/>
    <n v="4"/>
    <s v="California"/>
    <s v="San Diego County"/>
    <n v="2"/>
    <x v="5"/>
    <s v="Male"/>
  </r>
  <r>
    <s v="TX500893"/>
    <s v="Baseball Caps"/>
    <n v="4"/>
    <n v="20.100000000000001"/>
    <n v="80.400000000000006"/>
    <x v="36"/>
    <d v="2025-02-12T00:00:00"/>
    <x v="1"/>
    <x v="1"/>
    <n v="5"/>
    <s v="California"/>
    <s v="San Diego County"/>
    <n v="6"/>
    <x v="5"/>
    <s v="Male"/>
  </r>
  <r>
    <s v="TX500894"/>
    <s v="Sneakers"/>
    <n v="4"/>
    <n v="56.4"/>
    <n v="225.6"/>
    <x v="36"/>
    <d v="2025-02-08T00:00:00"/>
    <x v="2"/>
    <x v="2"/>
    <n v="4"/>
    <s v="California"/>
    <s v="Santa Barbara County"/>
    <n v="2"/>
    <x v="5"/>
    <s v="Female"/>
  </r>
  <r>
    <s v="TX500895"/>
    <s v="Tote Bags"/>
    <n v="9"/>
    <n v="55.3"/>
    <n v="497.7"/>
    <x v="36"/>
    <d v="2025-02-08T00:00:00"/>
    <x v="2"/>
    <x v="1"/>
    <n v="2"/>
    <s v="California"/>
    <s v="Santa Clara County"/>
    <n v="2"/>
    <x v="5"/>
    <s v="Female"/>
  </r>
  <r>
    <s v="TX500896"/>
    <s v="Sneakers"/>
    <n v="28"/>
    <n v="75.5"/>
    <n v="2114"/>
    <x v="36"/>
    <d v="2025-02-07T00:00:00"/>
    <x v="2"/>
    <x v="0"/>
    <n v="4"/>
    <s v="California"/>
    <s v="Santa Clara County"/>
    <n v="1"/>
    <x v="5"/>
    <s v="Female"/>
  </r>
  <r>
    <s v="TX500897"/>
    <s v="T-Shirts"/>
    <n v="1"/>
    <n v="23.6"/>
    <n v="23.6"/>
    <x v="36"/>
    <d v="2025-02-11T00:00:00"/>
    <x v="2"/>
    <x v="0"/>
    <n v="4"/>
    <s v="California"/>
    <s v="Stanislaus County"/>
    <n v="5"/>
    <x v="5"/>
    <s v="Female"/>
  </r>
  <r>
    <s v="TX500898"/>
    <s v="Sundresses"/>
    <n v="2"/>
    <n v="70.7"/>
    <n v="141.4"/>
    <x v="36"/>
    <d v="2025-02-08T00:00:00"/>
    <x v="2"/>
    <x v="2"/>
    <n v="4"/>
    <s v="California"/>
    <s v="Stanislaus County"/>
    <n v="2"/>
    <x v="5"/>
    <s v="Female"/>
  </r>
  <r>
    <s v="TX500899"/>
    <s v="Casual Dresses"/>
    <n v="2"/>
    <n v="43.2"/>
    <n v="86.4"/>
    <x v="36"/>
    <d v="2025-02-07T00:00:00"/>
    <x v="2"/>
    <x v="2"/>
    <n v="4"/>
    <s v="California"/>
    <s v="Sutter County"/>
    <n v="1"/>
    <x v="5"/>
    <s v="Female"/>
  </r>
  <r>
    <s v="TX500900"/>
    <s v="Sundresses"/>
    <n v="9"/>
    <n v="70"/>
    <n v="630"/>
    <x v="36"/>
    <d v="2025-02-07T00:00:00"/>
    <x v="0"/>
    <x v="1"/>
    <n v="4"/>
    <s v="California"/>
    <s v="Tuolumne County"/>
    <n v="1"/>
    <x v="5"/>
    <s v="Unknown"/>
  </r>
  <r>
    <s v="TX500901"/>
    <s v="Shorts"/>
    <n v="2"/>
    <n v="20.5"/>
    <n v="41"/>
    <x v="36"/>
    <d v="2025-02-08T00:00:00"/>
    <x v="2"/>
    <x v="2"/>
    <n v="2"/>
    <s v="California"/>
    <s v="Ventura County"/>
    <n v="2"/>
    <x v="5"/>
    <s v="Female"/>
  </r>
  <r>
    <s v="TX500902"/>
    <s v="Shorts"/>
    <n v="4"/>
    <n v="29.1"/>
    <n v="116.4"/>
    <x v="36"/>
    <d v="2025-02-07T00:00:00"/>
    <x v="2"/>
    <x v="3"/>
    <n v="4"/>
    <s v="California"/>
    <s v="Yolo County"/>
    <n v="1"/>
    <x v="5"/>
    <s v="Female"/>
  </r>
  <r>
    <s v="TX500903"/>
    <s v="Jeans"/>
    <n v="9"/>
    <n v="53.6"/>
    <n v="482.40000000000003"/>
    <x v="36"/>
    <d v="2025-02-07T00:00:00"/>
    <x v="1"/>
    <x v="2"/>
    <n v="3"/>
    <s v="California"/>
    <s v="Los Angeles County"/>
    <n v="1"/>
    <x v="5"/>
    <s v="Male"/>
  </r>
  <r>
    <s v="TX500904"/>
    <s v="Jeans"/>
    <n v="5"/>
    <n v="72.3"/>
    <n v="361.5"/>
    <x v="36"/>
    <d v="2025-02-08T00:00:00"/>
    <x v="2"/>
    <x v="1"/>
    <n v="4"/>
    <s v="California"/>
    <s v="Los Angeles County"/>
    <n v="2"/>
    <x v="5"/>
    <s v="Female"/>
  </r>
  <r>
    <s v="TX500905"/>
    <s v="Tote Bags"/>
    <n v="4"/>
    <n v="22.6"/>
    <n v="90.4"/>
    <x v="36"/>
    <d v="2025-02-09T00:00:00"/>
    <x v="3"/>
    <x v="0"/>
    <n v="3"/>
    <s v="California"/>
    <s v="Los Angeles County"/>
    <n v="3"/>
    <x v="5"/>
    <s v="Other"/>
  </r>
  <r>
    <s v="TX500906"/>
    <s v="Sundresses"/>
    <n v="2"/>
    <n v="44.2"/>
    <n v="88.4"/>
    <x v="36"/>
    <d v="2025-02-10T00:00:00"/>
    <x v="0"/>
    <x v="2"/>
    <n v="2"/>
    <s v="California"/>
    <s v="Los Angeles County"/>
    <n v="4"/>
    <x v="5"/>
    <s v="Unknown"/>
  </r>
  <r>
    <s v="TX500907"/>
    <s v="Sundresses"/>
    <n v="3"/>
    <n v="94.1"/>
    <n v="282.29999999999995"/>
    <x v="36"/>
    <d v="2025-02-19T00:00:00"/>
    <x v="2"/>
    <x v="2"/>
    <n v="5"/>
    <s v="California"/>
    <s v="Los Angeles County"/>
    <n v="13"/>
    <x v="5"/>
    <s v="Female"/>
  </r>
  <r>
    <s v="TX500908"/>
    <s v="T-Shirts"/>
    <n v="3"/>
    <n v="17.899999999999999"/>
    <n v="53.699999999999996"/>
    <x v="36"/>
    <d v="2025-02-08T00:00:00"/>
    <x v="1"/>
    <x v="1"/>
    <n v="3"/>
    <s v="California"/>
    <s v="Los Angeles County"/>
    <n v="2"/>
    <x v="5"/>
    <s v="Male"/>
  </r>
  <r>
    <s v="TX500909"/>
    <s v="Casual Dresses"/>
    <n v="7"/>
    <n v="52.7"/>
    <n v="368.90000000000003"/>
    <x v="36"/>
    <d v="2025-02-07T00:00:00"/>
    <x v="1"/>
    <x v="1"/>
    <n v="3"/>
    <s v="California"/>
    <s v="Los Angeles County"/>
    <n v="1"/>
    <x v="5"/>
    <s v="Male"/>
  </r>
  <r>
    <s v="TX500910"/>
    <s v="T-Shirts"/>
    <n v="1"/>
    <n v="36.799999999999997"/>
    <n v="36.799999999999997"/>
    <x v="36"/>
    <d v="2025-02-06T00:00:00"/>
    <x v="0"/>
    <x v="0"/>
    <n v="5"/>
    <s v="California"/>
    <s v="Los Angeles County"/>
    <n v="0"/>
    <x v="5"/>
    <s v="Unknown"/>
  </r>
  <r>
    <s v="TX500911"/>
    <s v="Graphic Tees"/>
    <n v="1"/>
    <n v="52.5"/>
    <n v="52.5"/>
    <x v="36"/>
    <d v="2025-02-07T00:00:00"/>
    <x v="1"/>
    <x v="0"/>
    <n v="3"/>
    <s v="California"/>
    <s v="Sacramento County"/>
    <n v="1"/>
    <x v="5"/>
    <s v="Male"/>
  </r>
  <r>
    <s v="TX500912"/>
    <s v="Sneakers"/>
    <n v="2"/>
    <n v="133.80000000000001"/>
    <n v="267.60000000000002"/>
    <x v="36"/>
    <d v="2025-02-08T00:00:00"/>
    <x v="1"/>
    <x v="0"/>
    <n v="3"/>
    <s v="California"/>
    <s v="San Bernardino County"/>
    <n v="2"/>
    <x v="5"/>
    <s v="Male"/>
  </r>
  <r>
    <s v="TX500913"/>
    <s v="Jeans"/>
    <n v="2"/>
    <n v="53.2"/>
    <n v="106.4"/>
    <x v="36"/>
    <d v="2025-02-08T00:00:00"/>
    <x v="1"/>
    <x v="0"/>
    <n v="4"/>
    <s v="California"/>
    <s v="San Francisco"/>
    <n v="2"/>
    <x v="5"/>
    <s v="Male"/>
  </r>
  <r>
    <s v="TX500914"/>
    <s v="Baseball Caps"/>
    <n v="6"/>
    <n v="18.7"/>
    <n v="112.19999999999999"/>
    <x v="36"/>
    <d v="2025-02-08T00:00:00"/>
    <x v="0"/>
    <x v="0"/>
    <n v="3"/>
    <s v="California"/>
    <s v="Santa Barbara County"/>
    <n v="2"/>
    <x v="5"/>
    <s v="Unknown"/>
  </r>
  <r>
    <s v="TX500915"/>
    <s v="Jeans"/>
    <n v="4"/>
    <n v="108.8"/>
    <n v="435.2"/>
    <x v="36"/>
    <d v="2025-02-07T00:00:00"/>
    <x v="2"/>
    <x v="3"/>
    <n v="5"/>
    <s v="California"/>
    <s v="Santa Clara County"/>
    <n v="1"/>
    <x v="5"/>
    <s v="Female"/>
  </r>
  <r>
    <s v="TX500916"/>
    <s v="Crop Tops"/>
    <n v="5"/>
    <n v="38.5"/>
    <n v="192.5"/>
    <x v="36"/>
    <d v="2025-02-10T00:00:00"/>
    <x v="2"/>
    <x v="0"/>
    <n v="3"/>
    <s v="California"/>
    <s v="Calaveras County"/>
    <n v="4"/>
    <x v="5"/>
    <s v="Female"/>
  </r>
  <r>
    <s v="TX500917"/>
    <s v="Bikinis"/>
    <n v="10"/>
    <n v="46.5"/>
    <n v="465"/>
    <x v="36"/>
    <d v="2025-02-08T00:00:00"/>
    <x v="1"/>
    <x v="2"/>
    <n v="3"/>
    <s v="California"/>
    <s v="Fresno County"/>
    <n v="2"/>
    <x v="5"/>
    <s v="Male"/>
  </r>
  <r>
    <s v="TX500918"/>
    <s v="Sneakers"/>
    <n v="3"/>
    <n v="75.8"/>
    <n v="227.39999999999998"/>
    <x v="36"/>
    <d v="2025-02-10T00:00:00"/>
    <x v="2"/>
    <x v="1"/>
    <n v="2"/>
    <s v="California"/>
    <s v="Humboldt County"/>
    <n v="4"/>
    <x v="5"/>
    <s v="Female"/>
  </r>
  <r>
    <s v="TX500919"/>
    <s v="T-Shirts"/>
    <n v="1"/>
    <n v="20.9"/>
    <n v="20.9"/>
    <x v="36"/>
    <d v="2025-02-10T00:00:00"/>
    <x v="1"/>
    <x v="0"/>
    <n v="4"/>
    <s v="California"/>
    <s v="Kern County"/>
    <n v="4"/>
    <x v="5"/>
    <s v="Male"/>
  </r>
  <r>
    <s v="TX500920"/>
    <s v="Leggings"/>
    <n v="3"/>
    <n v="47.4"/>
    <n v="142.19999999999999"/>
    <x v="36"/>
    <d v="2025-02-09T00:00:00"/>
    <x v="2"/>
    <x v="0"/>
    <n v="4"/>
    <s v="California"/>
    <s v="Los Angeles County"/>
    <n v="3"/>
    <x v="5"/>
    <s v="Female"/>
  </r>
  <r>
    <s v="TX500921"/>
    <s v="Sundresses"/>
    <n v="2"/>
    <n v="53.8"/>
    <n v="107.6"/>
    <x v="36"/>
    <d v="2025-02-07T00:00:00"/>
    <x v="0"/>
    <x v="0"/>
    <n v="3"/>
    <s v="California"/>
    <s v="Los Angeles County"/>
    <n v="1"/>
    <x v="5"/>
    <s v="Unknown"/>
  </r>
  <r>
    <s v="TX500922"/>
    <s v="T-Shirts"/>
    <n v="3"/>
    <n v="24.6"/>
    <n v="73.800000000000011"/>
    <x v="36"/>
    <d v="2025-02-08T00:00:00"/>
    <x v="3"/>
    <x v="1"/>
    <n v="5"/>
    <s v="California"/>
    <s v="Los Angeles County"/>
    <n v="2"/>
    <x v="5"/>
    <s v="Other"/>
  </r>
  <r>
    <s v="TX500923"/>
    <s v="Sundresses"/>
    <n v="3"/>
    <n v="70.900000000000006"/>
    <n v="212.70000000000002"/>
    <x v="36"/>
    <d v="2025-02-11T00:00:00"/>
    <x v="2"/>
    <x v="2"/>
    <n v="5"/>
    <s v="California"/>
    <s v="Los Angeles County"/>
    <n v="5"/>
    <x v="5"/>
    <s v="Female"/>
  </r>
  <r>
    <s v="TX500924"/>
    <s v="Pajama Sets"/>
    <n v="3"/>
    <n v="31.9"/>
    <n v="95.699999999999989"/>
    <x v="36"/>
    <d v="2025-02-08T00:00:00"/>
    <x v="2"/>
    <x v="2"/>
    <n v="5"/>
    <s v="California"/>
    <s v="Los Angeles County"/>
    <n v="2"/>
    <x v="5"/>
    <s v="Female"/>
  </r>
  <r>
    <s v="TX500925"/>
    <s v="Shorts"/>
    <n v="2"/>
    <n v="20.399999999999999"/>
    <n v="40.799999999999997"/>
    <x v="36"/>
    <d v="2025-02-10T00:00:00"/>
    <x v="1"/>
    <x v="3"/>
    <n v="5"/>
    <s v="California"/>
    <s v="Los Angeles County"/>
    <n v="4"/>
    <x v="5"/>
    <s v="Male"/>
  </r>
  <r>
    <s v="TX500926"/>
    <s v="T-Shirts"/>
    <n v="2"/>
    <n v="18.600000000000001"/>
    <n v="37.200000000000003"/>
    <x v="36"/>
    <d v="2025-02-08T00:00:00"/>
    <x v="0"/>
    <x v="0"/>
    <n v="3"/>
    <s v="California"/>
    <s v="Los Angeles County"/>
    <n v="2"/>
    <x v="5"/>
    <s v="Unknown"/>
  </r>
  <r>
    <s v="TX500927"/>
    <s v="Graphic Tees"/>
    <n v="5"/>
    <n v="48.3"/>
    <n v="241.5"/>
    <x v="36"/>
    <d v="2025-02-08T00:00:00"/>
    <x v="2"/>
    <x v="1"/>
    <n v="4"/>
    <s v="California"/>
    <s v="Los Angeles County"/>
    <n v="2"/>
    <x v="5"/>
    <s v="Female"/>
  </r>
  <r>
    <s v="TX500928"/>
    <s v="Shorts"/>
    <n v="4"/>
    <n v="27.7"/>
    <n v="110.8"/>
    <x v="36"/>
    <d v="2025-02-08T00:00:00"/>
    <x v="2"/>
    <x v="0"/>
    <n v="4"/>
    <s v="California"/>
    <s v="Los Angeles County"/>
    <n v="2"/>
    <x v="5"/>
    <s v="Female"/>
  </r>
  <r>
    <s v="TX500929"/>
    <s v="Graphic Tees"/>
    <n v="5"/>
    <n v="22.5"/>
    <n v="112.5"/>
    <x v="36"/>
    <d v="2025-02-08T00:00:00"/>
    <x v="2"/>
    <x v="4"/>
    <n v="5"/>
    <s v="California"/>
    <s v="Los Angeles County"/>
    <n v="2"/>
    <x v="5"/>
    <s v="Female"/>
  </r>
  <r>
    <s v="TX500930"/>
    <s v="Pajama Sets"/>
    <n v="5"/>
    <n v="21.6"/>
    <n v="108"/>
    <x v="36"/>
    <d v="2025-02-14T00:00:00"/>
    <x v="2"/>
    <x v="0"/>
    <n v="3"/>
    <s v="California"/>
    <s v="Los Angeles County"/>
    <n v="8"/>
    <x v="5"/>
    <s v="Female"/>
  </r>
  <r>
    <s v="TX500931"/>
    <s v="Bikinis"/>
    <n v="7"/>
    <n v="26.3"/>
    <n v="184.1"/>
    <x v="36"/>
    <d v="2025-02-06T00:00:00"/>
    <x v="2"/>
    <x v="2"/>
    <n v="3"/>
    <s v="California"/>
    <s v="Los Angeles County"/>
    <n v="0"/>
    <x v="5"/>
    <s v="Female"/>
  </r>
  <r>
    <s v="TX500932"/>
    <s v="Jeans"/>
    <n v="7"/>
    <n v="103"/>
    <n v="721"/>
    <x v="37"/>
    <d v="2025-02-08T00:00:00"/>
    <x v="1"/>
    <x v="0"/>
    <n v="5"/>
    <s v="California"/>
    <s v="Sacramento County"/>
    <n v="1"/>
    <x v="5"/>
    <s v="Male"/>
  </r>
  <r>
    <s v="TX500933"/>
    <s v="Sandals"/>
    <n v="15"/>
    <n v="46.6"/>
    <n v="699"/>
    <x v="37"/>
    <d v="2025-02-08T00:00:00"/>
    <x v="2"/>
    <x v="0"/>
    <n v="3"/>
    <s v="California"/>
    <s v="Sacramento County"/>
    <n v="1"/>
    <x v="5"/>
    <s v="Female"/>
  </r>
  <r>
    <s v="TX500934"/>
    <s v="Shorts"/>
    <n v="5"/>
    <n v="32.200000000000003"/>
    <n v="161"/>
    <x v="37"/>
    <d v="2025-02-10T00:00:00"/>
    <x v="2"/>
    <x v="0"/>
    <n v="5"/>
    <s v="California"/>
    <s v="San Benito County"/>
    <n v="3"/>
    <x v="5"/>
    <s v="Female"/>
  </r>
  <r>
    <s v="TX500935"/>
    <s v="T-Shirts"/>
    <n v="3"/>
    <n v="22"/>
    <n v="66"/>
    <x v="37"/>
    <d v="2025-02-14T00:00:00"/>
    <x v="1"/>
    <x v="1"/>
    <n v="4"/>
    <s v="California"/>
    <s v="San Bernardino County"/>
    <n v="7"/>
    <x v="5"/>
    <s v="Male"/>
  </r>
  <r>
    <s v="TX500936"/>
    <s v="Shorts"/>
    <n v="2"/>
    <n v="25.2"/>
    <n v="50.4"/>
    <x v="37"/>
    <d v="2025-02-11T00:00:00"/>
    <x v="2"/>
    <x v="0"/>
    <n v="4"/>
    <s v="California"/>
    <s v="San Bernardino County"/>
    <n v="4"/>
    <x v="5"/>
    <s v="Female"/>
  </r>
  <r>
    <s v="TX500937"/>
    <s v="Tank Tops"/>
    <n v="6"/>
    <n v="68.7"/>
    <n v="412.20000000000005"/>
    <x v="37"/>
    <d v="2025-02-09T00:00:00"/>
    <x v="1"/>
    <x v="4"/>
    <n v="4"/>
    <s v="California"/>
    <s v="San Diego County"/>
    <n v="2"/>
    <x v="5"/>
    <s v="Male"/>
  </r>
  <r>
    <s v="TX500938"/>
    <s v="Shorts"/>
    <n v="3"/>
    <n v="22.2"/>
    <n v="66.599999999999994"/>
    <x v="37"/>
    <d v="2025-02-10T00:00:00"/>
    <x v="1"/>
    <x v="2"/>
    <n v="5"/>
    <s v="California"/>
    <s v="San Diego County"/>
    <n v="3"/>
    <x v="5"/>
    <s v="Male"/>
  </r>
  <r>
    <s v="TX500939"/>
    <s v="Tank Tops"/>
    <n v="7"/>
    <n v="36"/>
    <n v="252"/>
    <x v="37"/>
    <d v="2025-02-08T00:00:00"/>
    <x v="2"/>
    <x v="1"/>
    <n v="4"/>
    <s v="California"/>
    <s v="San Diego County"/>
    <n v="1"/>
    <x v="5"/>
    <s v="Female"/>
  </r>
  <r>
    <s v="TX500940"/>
    <s v="Leggings"/>
    <n v="1"/>
    <n v="50.6"/>
    <n v="50.6"/>
    <x v="37"/>
    <d v="2025-02-09T00:00:00"/>
    <x v="2"/>
    <x v="0"/>
    <n v="3"/>
    <s v="California"/>
    <s v="San Diego County"/>
    <n v="2"/>
    <x v="5"/>
    <s v="Female"/>
  </r>
  <r>
    <s v="TX500941"/>
    <s v="Crop Tops"/>
    <n v="2"/>
    <n v="44.9"/>
    <n v="89.8"/>
    <x v="37"/>
    <d v="2025-02-09T00:00:00"/>
    <x v="1"/>
    <x v="0"/>
    <n v="3"/>
    <s v="California"/>
    <s v="San Diego County"/>
    <n v="2"/>
    <x v="5"/>
    <s v="Male"/>
  </r>
  <r>
    <s v="TX500942"/>
    <s v="Jeans"/>
    <n v="3"/>
    <n v="71.599999999999994"/>
    <n v="214.79999999999998"/>
    <x v="37"/>
    <d v="2025-02-11T00:00:00"/>
    <x v="1"/>
    <x v="1"/>
    <n v="5"/>
    <s v="California"/>
    <s v="Santa Barbara County"/>
    <n v="4"/>
    <x v="5"/>
    <s v="Male"/>
  </r>
  <r>
    <s v="TX500943"/>
    <s v="Jeans"/>
    <n v="6"/>
    <n v="51.5"/>
    <n v="309"/>
    <x v="37"/>
    <d v="2025-02-09T00:00:00"/>
    <x v="0"/>
    <x v="4"/>
    <n v="4"/>
    <s v="California"/>
    <s v="Santa Clara County"/>
    <n v="2"/>
    <x v="5"/>
    <s v="Unknown"/>
  </r>
  <r>
    <s v="TX500944"/>
    <s v="Hoodies &amp; Sweatshirts"/>
    <n v="5"/>
    <n v="55.5"/>
    <n v="277.5"/>
    <x v="37"/>
    <d v="2025-02-08T00:00:00"/>
    <x v="1"/>
    <x v="1"/>
    <n v="3"/>
    <s v="California"/>
    <s v="Santa Clara County"/>
    <n v="1"/>
    <x v="5"/>
    <s v="Male"/>
  </r>
  <r>
    <s v="TX500945"/>
    <s v="Jeans"/>
    <n v="1"/>
    <n v="51.7"/>
    <n v="51.7"/>
    <x v="37"/>
    <d v="2025-02-21T00:00:00"/>
    <x v="1"/>
    <x v="2"/>
    <n v="4"/>
    <s v="California"/>
    <s v="Stanislaus County"/>
    <n v="14"/>
    <x v="5"/>
    <s v="Male"/>
  </r>
  <r>
    <s v="TX500946"/>
    <s v="T-Shirts"/>
    <n v="21"/>
    <n v="45.5"/>
    <n v="955.5"/>
    <x v="37"/>
    <d v="2025-02-08T00:00:00"/>
    <x v="2"/>
    <x v="3"/>
    <n v="5"/>
    <s v="California"/>
    <s v="Stanislaus County"/>
    <n v="1"/>
    <x v="5"/>
    <s v="Female"/>
  </r>
  <r>
    <s v="TX500947"/>
    <s v="T-Shirts"/>
    <n v="2"/>
    <n v="33.799999999999997"/>
    <n v="67.599999999999994"/>
    <x v="37"/>
    <d v="2025-02-13T00:00:00"/>
    <x v="2"/>
    <x v="3"/>
    <n v="4"/>
    <s v="California"/>
    <s v="Tulare County"/>
    <n v="6"/>
    <x v="5"/>
    <s v="Female"/>
  </r>
  <r>
    <s v="TX500948"/>
    <s v="Workout Tops"/>
    <n v="3"/>
    <n v="76.5"/>
    <n v="229.5"/>
    <x v="37"/>
    <d v="2025-02-08T00:00:00"/>
    <x v="2"/>
    <x v="0"/>
    <n v="3"/>
    <s v="California"/>
    <s v="Alameda County"/>
    <n v="1"/>
    <x v="5"/>
    <s v="Female"/>
  </r>
  <r>
    <s v="TX500949"/>
    <s v="Sundresses"/>
    <n v="3"/>
    <n v="42.6"/>
    <n v="127.80000000000001"/>
    <x v="37"/>
    <d v="2025-02-13T00:00:00"/>
    <x v="2"/>
    <x v="2"/>
    <n v="5"/>
    <s v="California"/>
    <s v="Fresno County"/>
    <n v="6"/>
    <x v="5"/>
    <s v="Female"/>
  </r>
  <r>
    <s v="TX500950"/>
    <s v="Jeans"/>
    <n v="3"/>
    <n v="44.1"/>
    <n v="132.30000000000001"/>
    <x v="37"/>
    <d v="2025-02-09T00:00:00"/>
    <x v="2"/>
    <x v="1"/>
    <n v="3"/>
    <s v="California"/>
    <s v="Kern County"/>
    <n v="2"/>
    <x v="5"/>
    <s v="Female"/>
  </r>
  <r>
    <s v="TX500951"/>
    <s v="T-Shirts"/>
    <n v="2"/>
    <n v="40.9"/>
    <n v="81.8"/>
    <x v="37"/>
    <d v="2025-02-11T00:00:00"/>
    <x v="1"/>
    <x v="0"/>
    <n v="4"/>
    <s v="California"/>
    <s v="Los Angeles County"/>
    <n v="4"/>
    <x v="5"/>
    <s v="Male"/>
  </r>
  <r>
    <s v="TX500952"/>
    <s v="Sundresses"/>
    <n v="3"/>
    <n v="49.1"/>
    <n v="147.30000000000001"/>
    <x v="37"/>
    <d v="2025-02-11T00:00:00"/>
    <x v="2"/>
    <x v="3"/>
    <n v="3"/>
    <s v="California"/>
    <s v="Los Angeles County"/>
    <n v="4"/>
    <x v="5"/>
    <s v="Female"/>
  </r>
  <r>
    <s v="TX500953"/>
    <s v="Leggings"/>
    <n v="1"/>
    <n v="85.3"/>
    <n v="85.3"/>
    <x v="37"/>
    <d v="2025-02-11T00:00:00"/>
    <x v="1"/>
    <x v="1"/>
    <n v="3"/>
    <s v="California"/>
    <s v="Los Angeles County"/>
    <n v="4"/>
    <x v="5"/>
    <s v="Male"/>
  </r>
  <r>
    <s v="TX500954"/>
    <s v="Jeans"/>
    <n v="4"/>
    <n v="43.1"/>
    <n v="172.4"/>
    <x v="38"/>
    <d v="2025-02-11T00:00:00"/>
    <x v="1"/>
    <x v="0"/>
    <n v="4"/>
    <s v="California"/>
    <s v="Los Angeles County"/>
    <n v="3"/>
    <x v="5"/>
    <s v="Male"/>
  </r>
  <r>
    <s v="TX500955"/>
    <s v="Graphic Tees"/>
    <n v="4"/>
    <n v="46.2"/>
    <n v="184.8"/>
    <x v="38"/>
    <d v="2025-02-09T00:00:00"/>
    <x v="1"/>
    <x v="2"/>
    <n v="4"/>
    <s v="California"/>
    <s v="Los Angeles County"/>
    <n v="1"/>
    <x v="5"/>
    <s v="Male"/>
  </r>
  <r>
    <s v="TX500956"/>
    <s v="Tank Tops"/>
    <n v="1"/>
    <n v="74.400000000000006"/>
    <n v="74.400000000000006"/>
    <x v="38"/>
    <d v="2025-02-10T00:00:00"/>
    <x v="1"/>
    <x v="4"/>
    <n v="5"/>
    <s v="California"/>
    <s v="Los Angeles County"/>
    <n v="2"/>
    <x v="5"/>
    <s v="Male"/>
  </r>
  <r>
    <s v="TX500957"/>
    <s v="Pajama Sets"/>
    <n v="2"/>
    <n v="51.2"/>
    <n v="102.4"/>
    <x v="38"/>
    <d v="2025-02-09T00:00:00"/>
    <x v="1"/>
    <x v="1"/>
    <n v="4"/>
    <s v="California"/>
    <s v="Los Angeles County"/>
    <n v="1"/>
    <x v="5"/>
    <s v="Male"/>
  </r>
  <r>
    <s v="TX500958"/>
    <s v="Baseball Caps"/>
    <n v="4"/>
    <n v="11.8"/>
    <n v="47.2"/>
    <x v="38"/>
    <d v="2025-02-08T00:00:00"/>
    <x v="1"/>
    <x v="2"/>
    <n v="4"/>
    <s v="California"/>
    <s v="Los Angeles County"/>
    <n v="0"/>
    <x v="5"/>
    <s v="Male"/>
  </r>
  <r>
    <s v="TX500959"/>
    <s v="Bikinis"/>
    <n v="27"/>
    <n v="40.799999999999997"/>
    <n v="1101.5999999999999"/>
    <x v="38"/>
    <d v="2025-02-09T00:00:00"/>
    <x v="2"/>
    <x v="3"/>
    <n v="5"/>
    <s v="California"/>
    <s v="Los Angeles County"/>
    <n v="1"/>
    <x v="5"/>
    <s v="Female"/>
  </r>
  <r>
    <s v="TX500960"/>
    <s v="T-Shirts"/>
    <n v="1"/>
    <n v="24.7"/>
    <n v="24.7"/>
    <x v="38"/>
    <d v="2025-02-10T00:00:00"/>
    <x v="2"/>
    <x v="2"/>
    <n v="3"/>
    <s v="California"/>
    <s v="Los Angeles County"/>
    <n v="2"/>
    <x v="5"/>
    <s v="Female"/>
  </r>
  <r>
    <s v="TX500961"/>
    <s v="T-Shirts"/>
    <n v="7"/>
    <n v="22.1"/>
    <n v="154.70000000000002"/>
    <x v="38"/>
    <d v="2025-02-08T00:00:00"/>
    <x v="2"/>
    <x v="2"/>
    <n v="2"/>
    <s v="California"/>
    <s v="Los Angeles County"/>
    <n v="0"/>
    <x v="5"/>
    <s v="Female"/>
  </r>
  <r>
    <s v="TX500962"/>
    <s v="T-Shirts"/>
    <n v="1"/>
    <n v="18.100000000000001"/>
    <n v="18.100000000000001"/>
    <x v="38"/>
    <d v="2025-02-12T00:00:00"/>
    <x v="1"/>
    <x v="3"/>
    <n v="5"/>
    <s v="California"/>
    <s v="Los Angeles County"/>
    <n v="4"/>
    <x v="5"/>
    <s v="Male"/>
  </r>
  <r>
    <s v="TX500963"/>
    <s v="Pajama Sets"/>
    <n v="2"/>
    <n v="58.8"/>
    <n v="117.6"/>
    <x v="38"/>
    <d v="2025-02-11T00:00:00"/>
    <x v="2"/>
    <x v="0"/>
    <n v="4"/>
    <s v="California"/>
    <s v="Orange County"/>
    <n v="3"/>
    <x v="5"/>
    <s v="Female"/>
  </r>
  <r>
    <s v="TX500964"/>
    <s v="Leggings"/>
    <n v="2"/>
    <n v="30.8"/>
    <n v="61.6"/>
    <x v="38"/>
    <d v="2025-02-09T00:00:00"/>
    <x v="2"/>
    <x v="0"/>
    <n v="4"/>
    <s v="California"/>
    <s v="Sacramento County"/>
    <n v="1"/>
    <x v="5"/>
    <s v="Female"/>
  </r>
  <r>
    <s v="TX500965"/>
    <s v="Shorts"/>
    <n v="2"/>
    <n v="12"/>
    <n v="24"/>
    <x v="38"/>
    <d v="2025-02-12T00:00:00"/>
    <x v="2"/>
    <x v="0"/>
    <n v="4"/>
    <s v="California"/>
    <s v="Sacramento County"/>
    <n v="4"/>
    <x v="5"/>
    <s v="Female"/>
  </r>
  <r>
    <s v="TX500966"/>
    <s v="Shorts"/>
    <n v="4"/>
    <n v="13.6"/>
    <n v="54.4"/>
    <x v="38"/>
    <d v="2025-02-11T00:00:00"/>
    <x v="1"/>
    <x v="2"/>
    <n v="4"/>
    <s v="California"/>
    <s v="Sacramento County"/>
    <n v="3"/>
    <x v="5"/>
    <s v="Male"/>
  </r>
  <r>
    <s v="TX500967"/>
    <s v="Shorts"/>
    <n v="1"/>
    <n v="17.899999999999999"/>
    <n v="17.899999999999999"/>
    <x v="38"/>
    <d v="2025-02-09T00:00:00"/>
    <x v="1"/>
    <x v="3"/>
    <n v="4"/>
    <s v="California"/>
    <s v="Sacramento County"/>
    <n v="1"/>
    <x v="5"/>
    <s v="Male"/>
  </r>
  <r>
    <s v="TX500968"/>
    <s v="Sundresses"/>
    <n v="2"/>
    <n v="38.6"/>
    <n v="77.2"/>
    <x v="38"/>
    <d v="2025-02-12T00:00:00"/>
    <x v="2"/>
    <x v="4"/>
    <n v="4"/>
    <s v="California"/>
    <s v="San Bernardino County"/>
    <n v="4"/>
    <x v="5"/>
    <s v="Female"/>
  </r>
  <r>
    <s v="TX500969"/>
    <s v="Sandals"/>
    <n v="5"/>
    <n v="32.700000000000003"/>
    <n v="163.5"/>
    <x v="38"/>
    <d v="2025-02-09T00:00:00"/>
    <x v="1"/>
    <x v="2"/>
    <n v="5"/>
    <s v="California"/>
    <s v="San Diego County"/>
    <n v="1"/>
    <x v="5"/>
    <s v="Male"/>
  </r>
  <r>
    <s v="TX500970"/>
    <s v="Workout Tops"/>
    <n v="2"/>
    <n v="111.4"/>
    <n v="222.8"/>
    <x v="38"/>
    <d v="2025-02-09T00:00:00"/>
    <x v="2"/>
    <x v="1"/>
    <n v="4"/>
    <s v="California"/>
    <s v="San Diego County"/>
    <n v="1"/>
    <x v="5"/>
    <s v="Female"/>
  </r>
  <r>
    <s v="TX500971"/>
    <s v="Sneakers"/>
    <n v="6"/>
    <n v="80.3"/>
    <n v="481.79999999999995"/>
    <x v="38"/>
    <d v="2025-02-10T00:00:00"/>
    <x v="2"/>
    <x v="1"/>
    <n v="4"/>
    <s v="California"/>
    <s v="San Diego County"/>
    <n v="2"/>
    <x v="5"/>
    <s v="Female"/>
  </r>
  <r>
    <s v="TX500972"/>
    <s v="Jeans"/>
    <n v="2"/>
    <n v="58.9"/>
    <n v="117.8"/>
    <x v="38"/>
    <d v="2025-02-09T00:00:00"/>
    <x v="1"/>
    <x v="1"/>
    <n v="4"/>
    <s v="California"/>
    <s v="San Diego County"/>
    <n v="1"/>
    <x v="5"/>
    <s v="Male"/>
  </r>
  <r>
    <s v="TX500973"/>
    <s v="Jeans"/>
    <n v="3"/>
    <n v="51.9"/>
    <n v="155.69999999999999"/>
    <x v="38"/>
    <d v="2025-02-10T00:00:00"/>
    <x v="2"/>
    <x v="1"/>
    <n v="2"/>
    <s v="California"/>
    <s v="San Diego County"/>
    <n v="2"/>
    <x v="5"/>
    <s v="Female"/>
  </r>
  <r>
    <s v="TX500974"/>
    <s v="Sneakers"/>
    <n v="3"/>
    <n v="50.3"/>
    <n v="150.89999999999998"/>
    <x v="38"/>
    <d v="2025-02-09T00:00:00"/>
    <x v="1"/>
    <x v="2"/>
    <n v="4"/>
    <s v="California"/>
    <s v="San Francisco"/>
    <n v="1"/>
    <x v="5"/>
    <s v="Male"/>
  </r>
  <r>
    <s v="TX500975"/>
    <s v="Maxi Dresses"/>
    <n v="6"/>
    <n v="45"/>
    <n v="270"/>
    <x v="38"/>
    <d v="2025-02-14T00:00:00"/>
    <x v="2"/>
    <x v="3"/>
    <n v="4"/>
    <s v="California"/>
    <s v="San Mateo County"/>
    <n v="6"/>
    <x v="5"/>
    <s v="Female"/>
  </r>
  <r>
    <s v="TX500976"/>
    <s v="Bikinis"/>
    <n v="6"/>
    <n v="44.7"/>
    <n v="268.20000000000005"/>
    <x v="38"/>
    <d v="2025-02-10T00:00:00"/>
    <x v="2"/>
    <x v="2"/>
    <n v="4"/>
    <s v="California"/>
    <s v="Santa Clara County"/>
    <n v="2"/>
    <x v="5"/>
    <s v="Female"/>
  </r>
  <r>
    <s v="TX500977"/>
    <s v="Leggings"/>
    <n v="15"/>
    <n v="33"/>
    <n v="495"/>
    <x v="38"/>
    <d v="2025-02-09T00:00:00"/>
    <x v="2"/>
    <x v="2"/>
    <n v="4"/>
    <s v="California"/>
    <s v="Santa Clara County"/>
    <n v="1"/>
    <x v="5"/>
    <s v="Female"/>
  </r>
  <r>
    <s v="TX500978"/>
    <s v="Tank Tops"/>
    <n v="5"/>
    <n v="44.9"/>
    <n v="224.5"/>
    <x v="38"/>
    <d v="2025-02-11T00:00:00"/>
    <x v="2"/>
    <x v="2"/>
    <n v="5"/>
    <s v="California"/>
    <s v="Sonoma County"/>
    <n v="3"/>
    <x v="5"/>
    <s v="Female"/>
  </r>
  <r>
    <s v="TX500979"/>
    <s v="Bikinis"/>
    <n v="2"/>
    <n v="34.6"/>
    <n v="69.2"/>
    <x v="38"/>
    <d v="2025-02-12T00:00:00"/>
    <x v="2"/>
    <x v="0"/>
    <n v="3"/>
    <s v="California"/>
    <s v="Stanislaus County"/>
    <n v="4"/>
    <x v="5"/>
    <s v="Female"/>
  </r>
  <r>
    <s v="TX500980"/>
    <s v="Hoodies &amp; Sweatshirts"/>
    <n v="7"/>
    <n v="47.1"/>
    <n v="329.7"/>
    <x v="38"/>
    <d v="2025-02-13T00:00:00"/>
    <x v="2"/>
    <x v="0"/>
    <n v="4"/>
    <s v="California"/>
    <s v="Ventura County"/>
    <n v="5"/>
    <x v="5"/>
    <s v="Female"/>
  </r>
  <r>
    <s v="TX500981"/>
    <s v="Graphic Tees"/>
    <n v="5"/>
    <n v="26.1"/>
    <n v="130.5"/>
    <x v="38"/>
    <d v="2025-02-13T00:00:00"/>
    <x v="1"/>
    <x v="0"/>
    <n v="5"/>
    <s v="California"/>
    <s v="Alameda County"/>
    <n v="5"/>
    <x v="5"/>
    <s v="Male"/>
  </r>
  <r>
    <s v="TX500982"/>
    <s v="Casual Dresses"/>
    <n v="5"/>
    <n v="66.8"/>
    <n v="334"/>
    <x v="38"/>
    <d v="2025-02-11T00:00:00"/>
    <x v="2"/>
    <x v="0"/>
    <n v="4"/>
    <s v="California"/>
    <s v="Alameda County"/>
    <n v="3"/>
    <x v="5"/>
    <s v="Female"/>
  </r>
  <r>
    <s v="TX500983"/>
    <s v="Sneakers"/>
    <n v="2"/>
    <n v="167.9"/>
    <n v="335.8"/>
    <x v="38"/>
    <d v="2025-02-09T00:00:00"/>
    <x v="2"/>
    <x v="3"/>
    <n v="5"/>
    <s v="California"/>
    <s v="Alameda County"/>
    <n v="1"/>
    <x v="5"/>
    <s v="Female"/>
  </r>
  <r>
    <s v="TX500984"/>
    <s v="Bikinis"/>
    <n v="9"/>
    <n v="34.6"/>
    <n v="311.40000000000003"/>
    <x v="38"/>
    <d v="2025-02-09T00:00:00"/>
    <x v="2"/>
    <x v="2"/>
    <n v="3"/>
    <s v="California"/>
    <s v="Alameda County"/>
    <n v="1"/>
    <x v="5"/>
    <s v="Female"/>
  </r>
  <r>
    <s v="TX500985"/>
    <s v="T-Shirts"/>
    <n v="3"/>
    <n v="35.1"/>
    <n v="105.30000000000001"/>
    <x v="39"/>
    <d v="2025-02-13T00:00:00"/>
    <x v="1"/>
    <x v="4"/>
    <n v="5"/>
    <s v="California"/>
    <s v="Contra Costa County"/>
    <n v="4"/>
    <x v="6"/>
    <s v="Male"/>
  </r>
  <r>
    <s v="TX500986"/>
    <s v="Jeans"/>
    <n v="4"/>
    <n v="104.5"/>
    <n v="418"/>
    <x v="39"/>
    <d v="2025-02-10T00:00:00"/>
    <x v="1"/>
    <x v="1"/>
    <n v="3"/>
    <s v="California"/>
    <s v="Contra Costa County"/>
    <n v="1"/>
    <x v="6"/>
    <s v="Male"/>
  </r>
  <r>
    <s v="TX500987"/>
    <s v="T-Shirts"/>
    <n v="1"/>
    <n v="37.9"/>
    <n v="37.9"/>
    <x v="39"/>
    <d v="2025-02-11T00:00:00"/>
    <x v="0"/>
    <x v="1"/>
    <n v="5"/>
    <s v="California"/>
    <s v="Fresno County"/>
    <n v="2"/>
    <x v="6"/>
    <s v="Unknown"/>
  </r>
  <r>
    <s v="TX500988"/>
    <s v="Graphic Tees"/>
    <n v="3"/>
    <n v="25.5"/>
    <n v="76.5"/>
    <x v="39"/>
    <d v="2025-02-12T00:00:00"/>
    <x v="1"/>
    <x v="3"/>
    <n v="4"/>
    <s v="California"/>
    <s v="Fresno County"/>
    <n v="3"/>
    <x v="6"/>
    <s v="Male"/>
  </r>
  <r>
    <s v="TX500989"/>
    <s v="Shorts"/>
    <n v="3"/>
    <n v="32"/>
    <n v="96"/>
    <x v="39"/>
    <d v="2025-02-13T00:00:00"/>
    <x v="2"/>
    <x v="1"/>
    <n v="4"/>
    <s v="California"/>
    <s v="Kern County"/>
    <n v="4"/>
    <x v="6"/>
    <s v="Female"/>
  </r>
  <r>
    <s v="TX500990"/>
    <s v="Tank Tops"/>
    <n v="1"/>
    <n v="47.1"/>
    <n v="47.1"/>
    <x v="39"/>
    <d v="2025-02-10T00:00:00"/>
    <x v="2"/>
    <x v="0"/>
    <n v="4"/>
    <s v="California"/>
    <s v="Kings County"/>
    <n v="1"/>
    <x v="6"/>
    <s v="Female"/>
  </r>
  <r>
    <s v="TX500991"/>
    <s v="Jeans"/>
    <n v="2"/>
    <n v="50.6"/>
    <n v="101.2"/>
    <x v="39"/>
    <d v="2025-02-15T00:00:00"/>
    <x v="0"/>
    <x v="0"/>
    <n v="4"/>
    <s v="California"/>
    <s v="Los Angeles County"/>
    <n v="6"/>
    <x v="6"/>
    <s v="Unknown"/>
  </r>
  <r>
    <s v="TX500992"/>
    <s v="Jeans"/>
    <n v="5"/>
    <n v="81.7"/>
    <n v="408.5"/>
    <x v="39"/>
    <d v="2025-02-10T00:00:00"/>
    <x v="2"/>
    <x v="1"/>
    <n v="5"/>
    <s v="California"/>
    <s v="Los Angeles County"/>
    <n v="1"/>
    <x v="6"/>
    <s v="Female"/>
  </r>
  <r>
    <s v="TX500993"/>
    <s v="Sandals"/>
    <n v="2"/>
    <n v="50.7"/>
    <n v="101.4"/>
    <x v="39"/>
    <d v="2025-02-10T00:00:00"/>
    <x v="3"/>
    <x v="2"/>
    <n v="5"/>
    <s v="California"/>
    <s v="Los Angeles County"/>
    <n v="1"/>
    <x v="6"/>
    <s v="Other"/>
  </r>
  <r>
    <s v="TX500994"/>
    <s v="Sneakers"/>
    <n v="19"/>
    <n v="67.3"/>
    <n v="1278.7"/>
    <x v="39"/>
    <d v="2025-02-13T00:00:00"/>
    <x v="2"/>
    <x v="2"/>
    <n v="4"/>
    <s v="California"/>
    <s v="Los Angeles County"/>
    <n v="4"/>
    <x v="6"/>
    <s v="Female"/>
  </r>
  <r>
    <s v="TX500995"/>
    <s v="Sneakers"/>
    <n v="4"/>
    <n v="64.8"/>
    <n v="259.2"/>
    <x v="39"/>
    <d v="2025-02-12T00:00:00"/>
    <x v="2"/>
    <x v="3"/>
    <n v="4"/>
    <s v="California"/>
    <s v="Los Angeles County"/>
    <n v="3"/>
    <x v="6"/>
    <s v="Female"/>
  </r>
  <r>
    <s v="TX500996"/>
    <s v="Sandals"/>
    <n v="22"/>
    <n v="61.3"/>
    <n v="1348.6"/>
    <x v="39"/>
    <d v="2025-02-10T00:00:00"/>
    <x v="2"/>
    <x v="0"/>
    <n v="5"/>
    <s v="California"/>
    <s v="Los Angeles County"/>
    <n v="1"/>
    <x v="6"/>
    <s v="Female"/>
  </r>
  <r>
    <s v="TX500997"/>
    <s v="Baseball Caps"/>
    <n v="1"/>
    <n v="32.9"/>
    <n v="32.9"/>
    <x v="39"/>
    <d v="2025-02-12T00:00:00"/>
    <x v="2"/>
    <x v="4"/>
    <n v="4"/>
    <s v="California"/>
    <s v="Los Angeles County"/>
    <n v="3"/>
    <x v="6"/>
    <s v="Female"/>
  </r>
  <r>
    <s v="TX500998"/>
    <s v="Jeans"/>
    <n v="2"/>
    <n v="100.8"/>
    <n v="201.6"/>
    <x v="39"/>
    <d v="2025-02-12T00:00:00"/>
    <x v="2"/>
    <x v="0"/>
    <n v="4"/>
    <s v="California"/>
    <s v="Los Angeles County"/>
    <n v="3"/>
    <x v="6"/>
    <s v="Female"/>
  </r>
  <r>
    <s v="TX500999"/>
    <s v="T-Shirts"/>
    <n v="4"/>
    <n v="25.1"/>
    <n v="100.4"/>
    <x v="39"/>
    <d v="2025-02-11T00:00:00"/>
    <x v="2"/>
    <x v="1"/>
    <n v="4"/>
    <s v="California"/>
    <s v="Los Angeles County"/>
    <n v="2"/>
    <x v="6"/>
    <s v="Female"/>
  </r>
  <r>
    <s v="TX501000"/>
    <s v="Pajama Sets"/>
    <n v="1"/>
    <n v="48.5"/>
    <n v="48.5"/>
    <x v="39"/>
    <d v="2025-02-10T00:00:00"/>
    <x v="2"/>
    <x v="0"/>
    <n v="3"/>
    <s v="California"/>
    <s v="Los Angeles County"/>
    <n v="1"/>
    <x v="6"/>
    <s v="Female"/>
  </r>
  <r>
    <s v="TX501001"/>
    <s v="Hoodies &amp; Sweatshirts"/>
    <n v="2"/>
    <n v="33.6"/>
    <n v="67.2"/>
    <x v="39"/>
    <d v="2025-02-13T00:00:00"/>
    <x v="2"/>
    <x v="2"/>
    <n v="5"/>
    <s v="California"/>
    <s v="Los Angeles County"/>
    <n v="4"/>
    <x v="6"/>
    <s v="Female"/>
  </r>
  <r>
    <s v="TX501002"/>
    <s v="T-Shirts"/>
    <n v="1"/>
    <n v="39.299999999999997"/>
    <n v="39.299999999999997"/>
    <x v="39"/>
    <d v="2025-02-20T00:00:00"/>
    <x v="2"/>
    <x v="1"/>
    <n v="3"/>
    <s v="California"/>
    <s v="Monterey County"/>
    <n v="11"/>
    <x v="6"/>
    <s v="Female"/>
  </r>
  <r>
    <s v="TX501003"/>
    <s v="Graphic Tees"/>
    <n v="10"/>
    <n v="48.8"/>
    <n v="488"/>
    <x v="39"/>
    <d v="2025-02-11T00:00:00"/>
    <x v="2"/>
    <x v="3"/>
    <n v="3"/>
    <s v="California"/>
    <s v="Orange County"/>
    <n v="2"/>
    <x v="6"/>
    <s v="Female"/>
  </r>
  <r>
    <s v="TX501004"/>
    <s v="Jeans"/>
    <n v="8"/>
    <n v="72.8"/>
    <n v="582.4"/>
    <x v="39"/>
    <d v="2025-02-11T00:00:00"/>
    <x v="1"/>
    <x v="1"/>
    <n v="5"/>
    <s v="California"/>
    <s v="Placer County"/>
    <n v="2"/>
    <x v="6"/>
    <s v="Male"/>
  </r>
  <r>
    <s v="TX501005"/>
    <s v="Bikinis"/>
    <n v="8"/>
    <n v="46.2"/>
    <n v="369.6"/>
    <x v="39"/>
    <d v="2025-02-10T00:00:00"/>
    <x v="1"/>
    <x v="3"/>
    <n v="2"/>
    <s v="California"/>
    <s v="Placer County"/>
    <n v="1"/>
    <x v="6"/>
    <s v="Male"/>
  </r>
  <r>
    <s v="TX501006"/>
    <s v="Graphic Tees"/>
    <n v="2"/>
    <n v="20.7"/>
    <n v="41.4"/>
    <x v="39"/>
    <d v="2025-02-10T00:00:00"/>
    <x v="2"/>
    <x v="2"/>
    <n v="1"/>
    <s v="California"/>
    <s v="Sacramento County"/>
    <n v="1"/>
    <x v="6"/>
    <s v="Female"/>
  </r>
  <r>
    <s v="TX501007"/>
    <s v="Shorts"/>
    <n v="1"/>
    <n v="35.700000000000003"/>
    <n v="35.700000000000003"/>
    <x v="39"/>
    <d v="2025-02-11T00:00:00"/>
    <x v="2"/>
    <x v="3"/>
    <n v="4"/>
    <s v="California"/>
    <s v="Sacramento County"/>
    <n v="2"/>
    <x v="6"/>
    <s v="Female"/>
  </r>
  <r>
    <s v="TX501008"/>
    <s v="Sneakers"/>
    <n v="16"/>
    <n v="166.2"/>
    <n v="2659.2"/>
    <x v="39"/>
    <d v="2025-02-11T00:00:00"/>
    <x v="0"/>
    <x v="2"/>
    <n v="4"/>
    <s v="California"/>
    <s v="San Bernardino County"/>
    <n v="2"/>
    <x v="6"/>
    <s v="Unknown"/>
  </r>
  <r>
    <s v="TX501009"/>
    <s v="Jeans"/>
    <n v="4"/>
    <n v="85.8"/>
    <n v="343.2"/>
    <x v="39"/>
    <d v="2025-02-10T00:00:00"/>
    <x v="2"/>
    <x v="1"/>
    <n v="3"/>
    <s v="California"/>
    <s v="San Bernardino County"/>
    <n v="1"/>
    <x v="6"/>
    <s v="Female"/>
  </r>
  <r>
    <s v="TX501010"/>
    <s v="T-Shirts"/>
    <n v="3"/>
    <n v="26"/>
    <n v="78"/>
    <x v="39"/>
    <d v="2025-02-11T00:00:00"/>
    <x v="3"/>
    <x v="1"/>
    <n v="4"/>
    <s v="California"/>
    <s v="San Bernardino County"/>
    <n v="2"/>
    <x v="6"/>
    <s v="Other"/>
  </r>
  <r>
    <s v="TX501011"/>
    <s v="Sneakers"/>
    <n v="13"/>
    <n v="116.6"/>
    <n v="1515.8"/>
    <x v="39"/>
    <d v="2025-02-12T00:00:00"/>
    <x v="2"/>
    <x v="0"/>
    <n v="4"/>
    <s v="California"/>
    <s v="San Diego County"/>
    <n v="3"/>
    <x v="6"/>
    <s v="Female"/>
  </r>
  <r>
    <s v="TX501012"/>
    <s v="Sundresses"/>
    <n v="7"/>
    <n v="53.9"/>
    <n v="377.3"/>
    <x v="39"/>
    <d v="2025-02-12T00:00:00"/>
    <x v="3"/>
    <x v="0"/>
    <n v="5"/>
    <s v="California"/>
    <s v="San Diego County"/>
    <n v="3"/>
    <x v="6"/>
    <s v="Other"/>
  </r>
  <r>
    <s v="TX501013"/>
    <s v="Casual Dresses"/>
    <n v="5"/>
    <n v="72.3"/>
    <n v="361.5"/>
    <x v="39"/>
    <d v="2025-02-11T00:00:00"/>
    <x v="0"/>
    <x v="2"/>
    <n v="5"/>
    <s v="California"/>
    <s v="San Diego County"/>
    <n v="2"/>
    <x v="6"/>
    <s v="Unknown"/>
  </r>
  <r>
    <s v="TX501014"/>
    <s v="Sandals"/>
    <n v="2"/>
    <n v="31.4"/>
    <n v="62.8"/>
    <x v="39"/>
    <d v="2025-02-11T00:00:00"/>
    <x v="2"/>
    <x v="0"/>
    <n v="4"/>
    <s v="California"/>
    <s v="San Diego County"/>
    <n v="2"/>
    <x v="6"/>
    <s v="Female"/>
  </r>
  <r>
    <s v="TX501015"/>
    <s v="Tote Bags"/>
    <n v="2"/>
    <n v="53.1"/>
    <n v="106.2"/>
    <x v="39"/>
    <d v="2025-02-12T00:00:00"/>
    <x v="1"/>
    <x v="1"/>
    <n v="4"/>
    <s v="California"/>
    <s v="San Diego County"/>
    <n v="3"/>
    <x v="6"/>
    <s v="Male"/>
  </r>
  <r>
    <s v="TX501016"/>
    <s v="Sneakers"/>
    <n v="4"/>
    <n v="56.2"/>
    <n v="224.8"/>
    <x v="39"/>
    <d v="2025-02-10T00:00:00"/>
    <x v="2"/>
    <x v="0"/>
    <n v="4"/>
    <s v="California"/>
    <s v="San Diego County"/>
    <n v="1"/>
    <x v="6"/>
    <s v="Female"/>
  </r>
  <r>
    <s v="TX501017"/>
    <s v="Tank Tops"/>
    <n v="10"/>
    <n v="77.3"/>
    <n v="773"/>
    <x v="39"/>
    <d v="2025-02-10T00:00:00"/>
    <x v="2"/>
    <x v="2"/>
    <n v="4"/>
    <s v="California"/>
    <s v="Santa Clara County"/>
    <n v="1"/>
    <x v="6"/>
    <s v="Female"/>
  </r>
  <r>
    <s v="TX501018"/>
    <s v="Jeans"/>
    <n v="13"/>
    <n v="57.8"/>
    <n v="751.4"/>
    <x v="39"/>
    <d v="2025-02-10T00:00:00"/>
    <x v="0"/>
    <x v="0"/>
    <n v="4"/>
    <s v="California"/>
    <s v="Shasta County"/>
    <n v="1"/>
    <x v="6"/>
    <s v="Unknown"/>
  </r>
  <r>
    <s v="TX501019"/>
    <s v="Casual Dresses"/>
    <n v="15"/>
    <n v="42.1"/>
    <n v="631.5"/>
    <x v="39"/>
    <d v="2025-02-11T00:00:00"/>
    <x v="2"/>
    <x v="1"/>
    <n v="3"/>
    <s v="California"/>
    <s v="Shasta County"/>
    <n v="2"/>
    <x v="6"/>
    <s v="Female"/>
  </r>
  <r>
    <s v="TX501020"/>
    <s v="T-Shirts"/>
    <n v="9"/>
    <n v="22.8"/>
    <n v="205.20000000000002"/>
    <x v="39"/>
    <d v="2025-02-13T00:00:00"/>
    <x v="1"/>
    <x v="2"/>
    <n v="5"/>
    <s v="California"/>
    <s v="Stanislaus County"/>
    <n v="4"/>
    <x v="6"/>
    <s v="Male"/>
  </r>
  <r>
    <s v="TX501021"/>
    <s v="Sneakers"/>
    <n v="3"/>
    <n v="171.1"/>
    <n v="513.29999999999995"/>
    <x v="40"/>
    <d v="2025-02-17T00:00:00"/>
    <x v="2"/>
    <x v="2"/>
    <n v="3"/>
    <s v="California"/>
    <s v="Stanislaus County"/>
    <n v="7"/>
    <x v="6"/>
    <s v="Female"/>
  </r>
  <r>
    <s v="TX501022"/>
    <s v="T-Shirts"/>
    <n v="1"/>
    <n v="28"/>
    <n v="28"/>
    <x v="40"/>
    <d v="2025-02-12T00:00:00"/>
    <x v="1"/>
    <x v="2"/>
    <n v="5"/>
    <s v="California"/>
    <s v="Alameda County"/>
    <n v="2"/>
    <x v="6"/>
    <s v="Male"/>
  </r>
  <r>
    <s v="TX501023"/>
    <s v="Jeans"/>
    <n v="7"/>
    <n v="50.2"/>
    <n v="351.40000000000003"/>
    <x v="40"/>
    <d v="2025-02-12T00:00:00"/>
    <x v="1"/>
    <x v="2"/>
    <n v="4"/>
    <s v="California"/>
    <s v="Alameda County"/>
    <n v="2"/>
    <x v="6"/>
    <s v="Male"/>
  </r>
  <r>
    <s v="TX501024"/>
    <s v="Jeans"/>
    <n v="2"/>
    <n v="56"/>
    <n v="112"/>
    <x v="40"/>
    <d v="2025-02-10T00:00:00"/>
    <x v="1"/>
    <x v="0"/>
    <n v="5"/>
    <s v="California"/>
    <s v="Kern County"/>
    <n v="0"/>
    <x v="6"/>
    <s v="Male"/>
  </r>
  <r>
    <s v="TX501025"/>
    <s v="Tank Tops"/>
    <n v="2"/>
    <n v="38.299999999999997"/>
    <n v="76.599999999999994"/>
    <x v="40"/>
    <d v="2025-02-11T00:00:00"/>
    <x v="2"/>
    <x v="1"/>
    <n v="4"/>
    <s v="California"/>
    <s v="Los Angeles County"/>
    <n v="1"/>
    <x v="6"/>
    <s v="Female"/>
  </r>
  <r>
    <s v="TX501026"/>
    <s v="Shorts"/>
    <n v="5"/>
    <n v="22.3"/>
    <n v="111.5"/>
    <x v="40"/>
    <d v="2025-02-14T00:00:00"/>
    <x v="2"/>
    <x v="2"/>
    <n v="3"/>
    <s v="California"/>
    <s v="Los Angeles County"/>
    <n v="4"/>
    <x v="6"/>
    <s v="Female"/>
  </r>
  <r>
    <s v="TX501027"/>
    <s v="Shorts"/>
    <n v="3"/>
    <n v="22.3"/>
    <n v="66.900000000000006"/>
    <x v="40"/>
    <d v="2025-02-13T00:00:00"/>
    <x v="2"/>
    <x v="2"/>
    <n v="4"/>
    <s v="California"/>
    <s v="Los Angeles County"/>
    <n v="3"/>
    <x v="6"/>
    <s v="Female"/>
  </r>
  <r>
    <s v="TX501028"/>
    <s v="Tank Tops"/>
    <n v="1"/>
    <n v="32.9"/>
    <n v="32.9"/>
    <x v="40"/>
    <d v="2025-02-15T00:00:00"/>
    <x v="2"/>
    <x v="0"/>
    <n v="4"/>
    <s v="California"/>
    <s v="Los Angeles County"/>
    <n v="5"/>
    <x v="6"/>
    <s v="Female"/>
  </r>
  <r>
    <s v="TX501029"/>
    <s v="Bikinis"/>
    <n v="3"/>
    <n v="31.9"/>
    <n v="95.699999999999989"/>
    <x v="40"/>
    <d v="2025-02-15T00:00:00"/>
    <x v="2"/>
    <x v="0"/>
    <n v="4"/>
    <s v="California"/>
    <s v="Los Angeles County"/>
    <n v="5"/>
    <x v="6"/>
    <s v="Female"/>
  </r>
  <r>
    <s v="TX501030"/>
    <s v="Jeans"/>
    <n v="2"/>
    <n v="94"/>
    <n v="188"/>
    <x v="40"/>
    <d v="2025-02-11T00:00:00"/>
    <x v="1"/>
    <x v="2"/>
    <n v="5"/>
    <s v="California"/>
    <s v="Los Angeles County"/>
    <n v="1"/>
    <x v="6"/>
    <s v="Male"/>
  </r>
  <r>
    <s v="TX501031"/>
    <s v="Bikinis"/>
    <n v="2"/>
    <n v="30.7"/>
    <n v="61.4"/>
    <x v="40"/>
    <d v="2025-02-11T00:00:00"/>
    <x v="2"/>
    <x v="0"/>
    <n v="3"/>
    <s v="California"/>
    <s v="Los Angeles County"/>
    <n v="1"/>
    <x v="6"/>
    <s v="Female"/>
  </r>
  <r>
    <s v="TX501032"/>
    <s v="Sandals"/>
    <n v="5"/>
    <n v="90.5"/>
    <n v="452.5"/>
    <x v="40"/>
    <d v="2025-02-17T00:00:00"/>
    <x v="1"/>
    <x v="0"/>
    <n v="5"/>
    <s v="California"/>
    <s v="Los Angeles County"/>
    <n v="7"/>
    <x v="6"/>
    <s v="Male"/>
  </r>
  <r>
    <s v="TX501033"/>
    <s v="T-Shirts"/>
    <n v="5"/>
    <n v="25.3"/>
    <n v="126.5"/>
    <x v="40"/>
    <d v="2025-02-14T00:00:00"/>
    <x v="2"/>
    <x v="0"/>
    <n v="5"/>
    <s v="California"/>
    <s v="Los Angeles County"/>
    <n v="4"/>
    <x v="6"/>
    <s v="Female"/>
  </r>
  <r>
    <s v="TX501034"/>
    <s v="Jeans"/>
    <n v="3"/>
    <n v="58.1"/>
    <n v="174.3"/>
    <x v="40"/>
    <d v="2025-02-14T00:00:00"/>
    <x v="0"/>
    <x v="0"/>
    <n v="5"/>
    <s v="California"/>
    <s v="Los Angeles County"/>
    <n v="4"/>
    <x v="6"/>
    <s v="Unknown"/>
  </r>
  <r>
    <s v="TX501035"/>
    <s v="Sneakers"/>
    <n v="3"/>
    <n v="74.900000000000006"/>
    <n v="224.70000000000002"/>
    <x v="40"/>
    <d v="2025-02-11T00:00:00"/>
    <x v="2"/>
    <x v="4"/>
    <n v="4"/>
    <s v="California"/>
    <s v="Los Angeles County"/>
    <n v="1"/>
    <x v="6"/>
    <s v="Female"/>
  </r>
  <r>
    <s v="TX501036"/>
    <s v="Graphic Tees"/>
    <n v="2"/>
    <n v="32.5"/>
    <n v="65"/>
    <x v="40"/>
    <d v="2025-02-11T00:00:00"/>
    <x v="1"/>
    <x v="2"/>
    <n v="5"/>
    <s v="California"/>
    <s v="Marin County"/>
    <n v="1"/>
    <x v="6"/>
    <s v="Male"/>
  </r>
  <r>
    <s v="TX501037"/>
    <s v="Graphic Tees"/>
    <n v="5"/>
    <n v="62"/>
    <n v="310"/>
    <x v="40"/>
    <d v="2025-02-11T00:00:00"/>
    <x v="1"/>
    <x v="4"/>
    <n v="5"/>
    <s v="California"/>
    <s v="Orange County"/>
    <n v="1"/>
    <x v="6"/>
    <s v="Male"/>
  </r>
  <r>
    <s v="TX501038"/>
    <s v="Tote Bags"/>
    <n v="6"/>
    <n v="28.9"/>
    <n v="173.39999999999998"/>
    <x v="40"/>
    <d v="2025-02-13T00:00:00"/>
    <x v="2"/>
    <x v="0"/>
    <n v="3"/>
    <s v="California"/>
    <s v="Sacramento County"/>
    <n v="3"/>
    <x v="6"/>
    <s v="Female"/>
  </r>
  <r>
    <s v="TX501039"/>
    <s v="Jeans"/>
    <n v="8"/>
    <n v="42.8"/>
    <n v="342.4"/>
    <x v="40"/>
    <d v="2025-02-12T00:00:00"/>
    <x v="2"/>
    <x v="0"/>
    <n v="5"/>
    <s v="California"/>
    <s v="Sacramento County"/>
    <n v="2"/>
    <x v="6"/>
    <s v="Female"/>
  </r>
  <r>
    <s v="TX501040"/>
    <s v="T-Shirts"/>
    <n v="8"/>
    <n v="39.4"/>
    <n v="315.2"/>
    <x v="40"/>
    <d v="2025-02-12T00:00:00"/>
    <x v="1"/>
    <x v="0"/>
    <n v="4"/>
    <s v="California"/>
    <s v="San Benito County"/>
    <n v="2"/>
    <x v="6"/>
    <s v="Male"/>
  </r>
  <r>
    <s v="TX501041"/>
    <s v="Leggings"/>
    <n v="3"/>
    <n v="66.400000000000006"/>
    <n v="199.20000000000002"/>
    <x v="40"/>
    <d v="2025-02-11T00:00:00"/>
    <x v="0"/>
    <x v="2"/>
    <n v="3"/>
    <s v="California"/>
    <s v="San Bernardino County"/>
    <n v="1"/>
    <x v="6"/>
    <s v="Unknown"/>
  </r>
  <r>
    <s v="TX501042"/>
    <s v="Pajama Sets"/>
    <n v="4"/>
    <n v="35.9"/>
    <n v="143.6"/>
    <x v="40"/>
    <d v="2025-02-17T00:00:00"/>
    <x v="2"/>
    <x v="1"/>
    <n v="4"/>
    <s v="California"/>
    <s v="San Bernardino County"/>
    <n v="7"/>
    <x v="6"/>
    <s v="Female"/>
  </r>
  <r>
    <s v="TX501043"/>
    <s v="Shorts"/>
    <n v="4"/>
    <n v="26.9"/>
    <n v="107.6"/>
    <x v="40"/>
    <d v="2025-02-11T00:00:00"/>
    <x v="1"/>
    <x v="1"/>
    <n v="4"/>
    <s v="California"/>
    <s v="San Bernardino County"/>
    <n v="1"/>
    <x v="6"/>
    <s v="Male"/>
  </r>
  <r>
    <s v="TX501044"/>
    <s v="Sneakers"/>
    <n v="1"/>
    <n v="55.1"/>
    <n v="55.1"/>
    <x v="40"/>
    <d v="2025-02-11T00:00:00"/>
    <x v="2"/>
    <x v="0"/>
    <n v="4"/>
    <s v="California"/>
    <s v="San Bernardino County"/>
    <n v="1"/>
    <x v="6"/>
    <s v="Female"/>
  </r>
  <r>
    <s v="TX501045"/>
    <s v="Graphic Tees"/>
    <n v="2"/>
    <n v="23.9"/>
    <n v="47.8"/>
    <x v="40"/>
    <d v="2025-02-11T00:00:00"/>
    <x v="1"/>
    <x v="0"/>
    <n v="5"/>
    <s v="California"/>
    <s v="San Diego County"/>
    <n v="1"/>
    <x v="6"/>
    <s v="Male"/>
  </r>
  <r>
    <s v="TX501046"/>
    <s v="Sundresses"/>
    <n v="13"/>
    <n v="21.1"/>
    <n v="274.3"/>
    <x v="40"/>
    <d v="2025-02-18T00:00:00"/>
    <x v="2"/>
    <x v="0"/>
    <n v="3"/>
    <s v="California"/>
    <s v="San Diego County"/>
    <n v="8"/>
    <x v="6"/>
    <s v="Female"/>
  </r>
  <r>
    <s v="TX501047"/>
    <s v="T-Shirts"/>
    <n v="5"/>
    <n v="33.799999999999997"/>
    <n v="169"/>
    <x v="40"/>
    <d v="2025-02-12T00:00:00"/>
    <x v="2"/>
    <x v="0"/>
    <n v="4"/>
    <s v="California"/>
    <s v="San Diego County"/>
    <n v="2"/>
    <x v="6"/>
    <s v="Female"/>
  </r>
  <r>
    <s v="TX501048"/>
    <s v="Sneakers"/>
    <n v="4"/>
    <n v="56.1"/>
    <n v="224.4"/>
    <x v="40"/>
    <d v="2025-02-10T00:00:00"/>
    <x v="2"/>
    <x v="3"/>
    <n v="5"/>
    <s v="California"/>
    <s v="San Mateo County"/>
    <n v="0"/>
    <x v="6"/>
    <s v="Female"/>
  </r>
  <r>
    <s v="TX501049"/>
    <s v="Workout Tops"/>
    <n v="1"/>
    <n v="58.5"/>
    <n v="58.5"/>
    <x v="41"/>
    <d v="2025-02-15T00:00:00"/>
    <x v="2"/>
    <x v="1"/>
    <n v="5"/>
    <s v="California"/>
    <s v="San Mateo County"/>
    <n v="4"/>
    <x v="6"/>
    <s v="Female"/>
  </r>
  <r>
    <s v="TX501050"/>
    <s v="Jeans"/>
    <n v="1"/>
    <n v="84.2"/>
    <n v="84.2"/>
    <x v="41"/>
    <d v="2025-02-13T00:00:00"/>
    <x v="1"/>
    <x v="3"/>
    <n v="4"/>
    <s v="California"/>
    <s v="Santa Clara County"/>
    <n v="2"/>
    <x v="6"/>
    <s v="Male"/>
  </r>
  <r>
    <s v="TX501051"/>
    <s v="Maxi Dresses"/>
    <n v="4"/>
    <n v="52"/>
    <n v="208"/>
    <x v="41"/>
    <d v="2025-02-14T00:00:00"/>
    <x v="1"/>
    <x v="0"/>
    <n v="4"/>
    <s v="California"/>
    <s v="Santa Clara County"/>
    <n v="3"/>
    <x v="6"/>
    <s v="Male"/>
  </r>
  <r>
    <s v="TX501052"/>
    <s v="Graphic Tees"/>
    <n v="5"/>
    <n v="31.5"/>
    <n v="157.5"/>
    <x v="41"/>
    <d v="2025-02-12T00:00:00"/>
    <x v="2"/>
    <x v="0"/>
    <n v="5"/>
    <s v="California"/>
    <s v="Santa Clara County"/>
    <n v="1"/>
    <x v="6"/>
    <s v="Female"/>
  </r>
  <r>
    <s v="TX501053"/>
    <s v="Sunglasses"/>
    <n v="3"/>
    <n v="46.2"/>
    <n v="138.60000000000002"/>
    <x v="41"/>
    <d v="2025-02-12T00:00:00"/>
    <x v="1"/>
    <x v="0"/>
    <n v="4"/>
    <s v="California"/>
    <s v="Shasta County"/>
    <n v="1"/>
    <x v="6"/>
    <s v="Male"/>
  </r>
  <r>
    <s v="TX501054"/>
    <s v="Sneakers"/>
    <n v="6"/>
    <n v="135"/>
    <n v="810"/>
    <x v="41"/>
    <d v="2025-02-12T00:00:00"/>
    <x v="2"/>
    <x v="1"/>
    <n v="5"/>
    <s v="California"/>
    <s v="Sonoma County"/>
    <n v="1"/>
    <x v="6"/>
    <s v="Female"/>
  </r>
  <r>
    <s v="TX501055"/>
    <s v="Casual Dresses"/>
    <n v="3"/>
    <n v="92.2"/>
    <n v="276.60000000000002"/>
    <x v="41"/>
    <d v="2025-02-15T00:00:00"/>
    <x v="1"/>
    <x v="0"/>
    <n v="4"/>
    <s v="California"/>
    <s v="Alameda County"/>
    <n v="4"/>
    <x v="6"/>
    <s v="Male"/>
  </r>
  <r>
    <s v="TX501056"/>
    <s v="T-Shirts"/>
    <n v="1"/>
    <n v="36.6"/>
    <n v="36.6"/>
    <x v="41"/>
    <d v="2025-02-13T00:00:00"/>
    <x v="1"/>
    <x v="2"/>
    <n v="5"/>
    <s v="California"/>
    <s v="Alameda County"/>
    <n v="2"/>
    <x v="6"/>
    <s v="Male"/>
  </r>
  <r>
    <s v="TX501057"/>
    <s v="Sundresses"/>
    <n v="2"/>
    <n v="50.6"/>
    <n v="101.2"/>
    <x v="41"/>
    <d v="2025-02-14T00:00:00"/>
    <x v="2"/>
    <x v="0"/>
    <n v="4"/>
    <s v="California"/>
    <s v="Fresno County"/>
    <n v="3"/>
    <x v="6"/>
    <s v="Female"/>
  </r>
  <r>
    <s v="TX501058"/>
    <s v="Leggings"/>
    <n v="7"/>
    <n v="56.7"/>
    <n v="396.90000000000003"/>
    <x v="41"/>
    <d v="2025-02-14T00:00:00"/>
    <x v="2"/>
    <x v="0"/>
    <n v="4"/>
    <s v="California"/>
    <s v="Fresno County"/>
    <n v="3"/>
    <x v="6"/>
    <s v="Female"/>
  </r>
  <r>
    <s v="TX501059"/>
    <s v="Sundresses"/>
    <n v="13"/>
    <n v="22.9"/>
    <n v="297.7"/>
    <x v="41"/>
    <d v="2025-02-12T00:00:00"/>
    <x v="2"/>
    <x v="0"/>
    <n v="3"/>
    <s v="California"/>
    <s v="Humboldt County"/>
    <n v="1"/>
    <x v="6"/>
    <s v="Female"/>
  </r>
  <r>
    <s v="TX501060"/>
    <s v="Crop Tops"/>
    <n v="19"/>
    <n v="53.6"/>
    <n v="1018.4"/>
    <x v="41"/>
    <d v="2025-02-12T00:00:00"/>
    <x v="1"/>
    <x v="0"/>
    <n v="4"/>
    <s v="California"/>
    <s v="Kern County"/>
    <n v="1"/>
    <x v="6"/>
    <s v="Male"/>
  </r>
  <r>
    <s v="TX501061"/>
    <s v="Leggings"/>
    <n v="2"/>
    <n v="30.2"/>
    <n v="60.4"/>
    <x v="41"/>
    <d v="2025-02-13T00:00:00"/>
    <x v="0"/>
    <x v="2"/>
    <n v="5"/>
    <s v="California"/>
    <s v="Los Angeles County"/>
    <n v="2"/>
    <x v="6"/>
    <s v="Unknown"/>
  </r>
  <r>
    <s v="TX501062"/>
    <s v="Crop Tops"/>
    <n v="6"/>
    <n v="83.4"/>
    <n v="500.40000000000003"/>
    <x v="41"/>
    <d v="2025-02-12T00:00:00"/>
    <x v="1"/>
    <x v="1"/>
    <n v="5"/>
    <s v="California"/>
    <s v="Los Angeles County"/>
    <n v="1"/>
    <x v="6"/>
    <s v="Male"/>
  </r>
  <r>
    <s v="TX501063"/>
    <s v="Tote Bags"/>
    <n v="12"/>
    <n v="16.600000000000001"/>
    <n v="199.20000000000002"/>
    <x v="41"/>
    <d v="2025-02-13T00:00:00"/>
    <x v="1"/>
    <x v="1"/>
    <n v="4"/>
    <s v="California"/>
    <s v="Los Angeles County"/>
    <n v="2"/>
    <x v="6"/>
    <s v="Male"/>
  </r>
  <r>
    <s v="TX501064"/>
    <s v="T-Shirts"/>
    <n v="17"/>
    <n v="21.9"/>
    <n v="372.29999999999995"/>
    <x v="41"/>
    <d v="2025-02-13T00:00:00"/>
    <x v="2"/>
    <x v="4"/>
    <n v="3"/>
    <s v="California"/>
    <s v="Los Angeles County"/>
    <n v="2"/>
    <x v="6"/>
    <s v="Female"/>
  </r>
  <r>
    <s v="TX501065"/>
    <s v="T-Shirts"/>
    <n v="28"/>
    <n v="33.799999999999997"/>
    <n v="946.39999999999986"/>
    <x v="41"/>
    <d v="2025-02-13T00:00:00"/>
    <x v="1"/>
    <x v="2"/>
    <n v="2"/>
    <s v="California"/>
    <s v="Los Angeles County"/>
    <n v="2"/>
    <x v="6"/>
    <s v="Male"/>
  </r>
  <r>
    <s v="TX501066"/>
    <s v="Leggings"/>
    <n v="2"/>
    <n v="53.2"/>
    <n v="106.4"/>
    <x v="41"/>
    <d v="2025-02-11T00:00:00"/>
    <x v="1"/>
    <x v="1"/>
    <n v="4"/>
    <s v="California"/>
    <s v="Los Angeles County"/>
    <n v="0"/>
    <x v="6"/>
    <s v="Male"/>
  </r>
  <r>
    <s v="TX501067"/>
    <s v="Sneakers"/>
    <n v="2"/>
    <n v="176.7"/>
    <n v="353.4"/>
    <x v="41"/>
    <d v="2025-02-14T00:00:00"/>
    <x v="2"/>
    <x v="2"/>
    <n v="4"/>
    <s v="California"/>
    <s v="Los Angeles County"/>
    <n v="3"/>
    <x v="6"/>
    <s v="Female"/>
  </r>
  <r>
    <s v="TX501068"/>
    <s v="Casual Dresses"/>
    <n v="3"/>
    <n v="54"/>
    <n v="162"/>
    <x v="41"/>
    <d v="2025-02-14T00:00:00"/>
    <x v="1"/>
    <x v="0"/>
    <n v="3"/>
    <s v="California"/>
    <s v="Los Angeles County"/>
    <n v="3"/>
    <x v="6"/>
    <s v="Male"/>
  </r>
  <r>
    <s v="TX501069"/>
    <s v="Sundresses"/>
    <n v="2"/>
    <n v="70.099999999999994"/>
    <n v="140.19999999999999"/>
    <x v="41"/>
    <d v="2025-02-19T00:00:00"/>
    <x v="2"/>
    <x v="3"/>
    <n v="5"/>
    <s v="California"/>
    <s v="Los Angeles County"/>
    <n v="8"/>
    <x v="6"/>
    <s v="Female"/>
  </r>
  <r>
    <s v="TX501070"/>
    <s v="T-Shirts"/>
    <n v="1"/>
    <n v="26.5"/>
    <n v="26.5"/>
    <x v="41"/>
    <d v="2025-02-13T00:00:00"/>
    <x v="2"/>
    <x v="1"/>
    <n v="4"/>
    <s v="California"/>
    <s v="Los Angeles County"/>
    <n v="2"/>
    <x v="6"/>
    <s v="Female"/>
  </r>
  <r>
    <s v="TX501071"/>
    <s v="Hoodies &amp; Sweatshirts"/>
    <n v="5"/>
    <n v="89"/>
    <n v="445"/>
    <x v="41"/>
    <d v="2025-02-13T00:00:00"/>
    <x v="1"/>
    <x v="2"/>
    <n v="2"/>
    <s v="California"/>
    <s v="Los Angeles County"/>
    <n v="2"/>
    <x v="6"/>
    <s v="Male"/>
  </r>
  <r>
    <s v="TX501072"/>
    <s v="Tank Tops"/>
    <n v="6"/>
    <n v="47"/>
    <n v="282"/>
    <x v="41"/>
    <d v="2025-02-14T00:00:00"/>
    <x v="2"/>
    <x v="3"/>
    <n v="4"/>
    <s v="California"/>
    <s v="Merced County"/>
    <n v="3"/>
    <x v="6"/>
    <s v="Female"/>
  </r>
  <r>
    <s v="TX501073"/>
    <s v="Workout Tops"/>
    <n v="2"/>
    <n v="55.2"/>
    <n v="110.4"/>
    <x v="41"/>
    <d v="2025-02-14T00:00:00"/>
    <x v="1"/>
    <x v="1"/>
    <n v="3"/>
    <s v="California"/>
    <s v="Sacramento County"/>
    <n v="3"/>
    <x v="6"/>
    <s v="Male"/>
  </r>
  <r>
    <s v="TX501074"/>
    <s v="T-Shirts"/>
    <n v="42"/>
    <n v="33.299999999999997"/>
    <n v="1398.6"/>
    <x v="41"/>
    <d v="2025-02-25T00:00:00"/>
    <x v="1"/>
    <x v="1"/>
    <n v="5"/>
    <s v="California"/>
    <s v="Sacramento County"/>
    <n v="14"/>
    <x v="6"/>
    <s v="Male"/>
  </r>
  <r>
    <s v="TX501075"/>
    <s v="Sneakers"/>
    <n v="4"/>
    <n v="110.9"/>
    <n v="443.6"/>
    <x v="42"/>
    <d v="2025-02-12T00:00:00"/>
    <x v="1"/>
    <x v="2"/>
    <n v="2"/>
    <s v="California"/>
    <s v="Sacramento County"/>
    <n v="0"/>
    <x v="6"/>
    <s v="Male"/>
  </r>
  <r>
    <s v="TX501076"/>
    <s v="Sneakers"/>
    <n v="6"/>
    <n v="67.3"/>
    <n v="403.79999999999995"/>
    <x v="42"/>
    <d v="2025-02-13T00:00:00"/>
    <x v="1"/>
    <x v="0"/>
    <n v="4"/>
    <s v="California"/>
    <s v="San Diego County"/>
    <n v="1"/>
    <x v="6"/>
    <s v="Male"/>
  </r>
  <r>
    <s v="TX501077"/>
    <s v="Jeans"/>
    <n v="3"/>
    <n v="69.7"/>
    <n v="209.10000000000002"/>
    <x v="42"/>
    <d v="2025-02-13T00:00:00"/>
    <x v="1"/>
    <x v="2"/>
    <n v="3"/>
    <s v="California"/>
    <s v="San Diego County"/>
    <n v="1"/>
    <x v="6"/>
    <s v="Male"/>
  </r>
  <r>
    <s v="TX501078"/>
    <s v="Sandals"/>
    <n v="1"/>
    <n v="39.1"/>
    <n v="39.1"/>
    <x v="42"/>
    <d v="2025-02-17T00:00:00"/>
    <x v="1"/>
    <x v="0"/>
    <n v="3"/>
    <s v="California"/>
    <s v="San Francisco"/>
    <n v="5"/>
    <x v="6"/>
    <s v="Male"/>
  </r>
  <r>
    <s v="TX501079"/>
    <s v="Sneakers"/>
    <n v="3"/>
    <n v="208.6"/>
    <n v="625.79999999999995"/>
    <x v="42"/>
    <d v="2025-02-12T00:00:00"/>
    <x v="1"/>
    <x v="4"/>
    <n v="5"/>
    <s v="California"/>
    <s v="San Francisco"/>
    <n v="0"/>
    <x v="6"/>
    <s v="Male"/>
  </r>
  <r>
    <s v="TX501080"/>
    <s v="Crop Tops"/>
    <n v="3"/>
    <n v="27.8"/>
    <n v="83.4"/>
    <x v="42"/>
    <d v="2025-02-13T00:00:00"/>
    <x v="1"/>
    <x v="3"/>
    <n v="3"/>
    <s v="California"/>
    <s v="Santa Clara County"/>
    <n v="1"/>
    <x v="6"/>
    <s v="Male"/>
  </r>
  <r>
    <s v="TX501081"/>
    <s v="Bikinis"/>
    <n v="5"/>
    <n v="29.4"/>
    <n v="147"/>
    <x v="42"/>
    <d v="2025-02-14T00:00:00"/>
    <x v="2"/>
    <x v="0"/>
    <n v="4"/>
    <s v="California"/>
    <s v="Santa Clara County"/>
    <n v="2"/>
    <x v="6"/>
    <s v="Female"/>
  </r>
  <r>
    <s v="TX501082"/>
    <s v="Sundresses"/>
    <n v="2"/>
    <n v="29.2"/>
    <n v="58.4"/>
    <x v="42"/>
    <d v="2025-02-14T00:00:00"/>
    <x v="2"/>
    <x v="1"/>
    <n v="5"/>
    <s v="California"/>
    <s v="Tulare County"/>
    <n v="2"/>
    <x v="6"/>
    <s v="Female"/>
  </r>
  <r>
    <s v="TX501083"/>
    <s v="Bikinis"/>
    <n v="5"/>
    <n v="26.5"/>
    <n v="132.5"/>
    <x v="42"/>
    <d v="2025-02-14T00:00:00"/>
    <x v="2"/>
    <x v="0"/>
    <n v="4"/>
    <s v="California"/>
    <s v="Tuolumne County"/>
    <n v="2"/>
    <x v="6"/>
    <s v="Female"/>
  </r>
  <r>
    <s v="TX501084"/>
    <s v="Sandals"/>
    <n v="1"/>
    <n v="30.3"/>
    <n v="30.3"/>
    <x v="42"/>
    <d v="2025-02-13T00:00:00"/>
    <x v="2"/>
    <x v="4"/>
    <n v="3"/>
    <s v="California"/>
    <s v="Ventura County"/>
    <n v="1"/>
    <x v="6"/>
    <s v="Female"/>
  </r>
  <r>
    <s v="TX501085"/>
    <s v="Sunglasses"/>
    <n v="12"/>
    <n v="39.700000000000003"/>
    <n v="476.40000000000003"/>
    <x v="42"/>
    <d v="2025-02-13T00:00:00"/>
    <x v="2"/>
    <x v="0"/>
    <n v="4"/>
    <s v="California"/>
    <s v="Alameda County"/>
    <n v="1"/>
    <x v="6"/>
    <s v="Female"/>
  </r>
  <r>
    <s v="TX501086"/>
    <s v="Hoodies &amp; Sweatshirts"/>
    <n v="10"/>
    <n v="58.9"/>
    <n v="589"/>
    <x v="42"/>
    <d v="2025-02-14T00:00:00"/>
    <x v="2"/>
    <x v="1"/>
    <n v="2"/>
    <s v="California"/>
    <s v="Alameda County"/>
    <n v="2"/>
    <x v="6"/>
    <s v="Female"/>
  </r>
  <r>
    <s v="TX501087"/>
    <s v="Sneakers"/>
    <n v="2"/>
    <n v="174.1"/>
    <n v="348.2"/>
    <x v="42"/>
    <d v="2025-02-14T00:00:00"/>
    <x v="2"/>
    <x v="0"/>
    <n v="3"/>
    <s v="California"/>
    <s v="Amador County"/>
    <n v="2"/>
    <x v="6"/>
    <s v="Female"/>
  </r>
  <r>
    <s v="TX501088"/>
    <s v="Jeans"/>
    <n v="2"/>
    <n v="70.8"/>
    <n v="141.6"/>
    <x v="42"/>
    <d v="2025-02-15T00:00:00"/>
    <x v="1"/>
    <x v="2"/>
    <n v="4"/>
    <s v="California"/>
    <s v="Kern County"/>
    <n v="3"/>
    <x v="6"/>
    <s v="Male"/>
  </r>
  <r>
    <s v="TX501089"/>
    <s v="Hoodies &amp; Sweatshirts"/>
    <n v="2"/>
    <n v="57.4"/>
    <n v="114.8"/>
    <x v="42"/>
    <d v="2025-02-14T00:00:00"/>
    <x v="2"/>
    <x v="1"/>
    <n v="3"/>
    <s v="California"/>
    <s v="Kings County"/>
    <n v="2"/>
    <x v="6"/>
    <s v="Female"/>
  </r>
  <r>
    <s v="TX501090"/>
    <s v="Shorts"/>
    <n v="2"/>
    <n v="28.5"/>
    <n v="57"/>
    <x v="42"/>
    <d v="2025-02-14T00:00:00"/>
    <x v="1"/>
    <x v="3"/>
    <n v="3"/>
    <s v="California"/>
    <s v="Los Angeles County"/>
    <n v="2"/>
    <x v="6"/>
    <s v="Male"/>
  </r>
  <r>
    <s v="TX501091"/>
    <s v="Sneakers"/>
    <n v="20"/>
    <n v="106.6"/>
    <n v="2132"/>
    <x v="42"/>
    <d v="2025-02-13T00:00:00"/>
    <x v="0"/>
    <x v="1"/>
    <n v="2"/>
    <s v="California"/>
    <s v="Los Angeles County"/>
    <n v="1"/>
    <x v="6"/>
    <s v="Unknown"/>
  </r>
  <r>
    <s v="TX501092"/>
    <s v="Sneakers"/>
    <n v="3"/>
    <n v="119.7"/>
    <n v="359.1"/>
    <x v="42"/>
    <d v="2025-02-13T00:00:00"/>
    <x v="2"/>
    <x v="1"/>
    <n v="2"/>
    <s v="California"/>
    <s v="Los Angeles County"/>
    <n v="1"/>
    <x v="6"/>
    <s v="Female"/>
  </r>
  <r>
    <s v="TX501093"/>
    <s v="Leggings"/>
    <n v="1"/>
    <n v="73.3"/>
    <n v="73.3"/>
    <x v="42"/>
    <d v="2025-02-17T00:00:00"/>
    <x v="2"/>
    <x v="0"/>
    <n v="5"/>
    <s v="California"/>
    <s v="Los Angeles County"/>
    <n v="5"/>
    <x v="6"/>
    <s v="Female"/>
  </r>
  <r>
    <s v="TX501094"/>
    <s v="Shorts"/>
    <n v="2"/>
    <n v="25.8"/>
    <n v="51.6"/>
    <x v="42"/>
    <d v="2025-02-26T00:00:00"/>
    <x v="1"/>
    <x v="2"/>
    <n v="4"/>
    <s v="California"/>
    <s v="Los Angeles County"/>
    <n v="14"/>
    <x v="6"/>
    <s v="Male"/>
  </r>
  <r>
    <s v="TX501095"/>
    <s v="Pajama Sets"/>
    <n v="3"/>
    <n v="49.1"/>
    <n v="147.30000000000001"/>
    <x v="42"/>
    <d v="2025-02-14T00:00:00"/>
    <x v="2"/>
    <x v="0"/>
    <n v="4"/>
    <s v="California"/>
    <s v="Merced County"/>
    <n v="2"/>
    <x v="6"/>
    <s v="Female"/>
  </r>
  <r>
    <s v="TX501096"/>
    <s v="Tank Tops"/>
    <n v="1"/>
    <n v="44.9"/>
    <n v="44.9"/>
    <x v="42"/>
    <d v="2025-02-15T00:00:00"/>
    <x v="2"/>
    <x v="3"/>
    <n v="5"/>
    <s v="California"/>
    <s v="Sacramento County"/>
    <n v="3"/>
    <x v="6"/>
    <s v="Female"/>
  </r>
  <r>
    <s v="TX501097"/>
    <s v="Crop Tops"/>
    <n v="7"/>
    <n v="29.9"/>
    <n v="209.29999999999998"/>
    <x v="42"/>
    <d v="2025-02-13T00:00:00"/>
    <x v="2"/>
    <x v="0"/>
    <n v="4"/>
    <s v="California"/>
    <s v="Sacramento County"/>
    <n v="1"/>
    <x v="6"/>
    <s v="Female"/>
  </r>
  <r>
    <s v="TX501098"/>
    <s v="Hoodies &amp; Sweatshirts"/>
    <n v="2"/>
    <n v="54.3"/>
    <n v="108.6"/>
    <x v="43"/>
    <d v="2025-02-14T00:00:00"/>
    <x v="1"/>
    <x v="3"/>
    <n v="4"/>
    <s v="California"/>
    <s v="San Benito County"/>
    <n v="1"/>
    <x v="6"/>
    <s v="Male"/>
  </r>
  <r>
    <s v="TX501099"/>
    <s v="Sundresses"/>
    <n v="4"/>
    <n v="57"/>
    <n v="228"/>
    <x v="43"/>
    <d v="2025-02-15T00:00:00"/>
    <x v="2"/>
    <x v="0"/>
    <n v="4"/>
    <s v="California"/>
    <s v="San Diego County"/>
    <n v="2"/>
    <x v="6"/>
    <s v="Female"/>
  </r>
  <r>
    <s v="TX501100"/>
    <s v="Sneakers"/>
    <n v="1"/>
    <n v="139.19999999999999"/>
    <n v="139.19999999999999"/>
    <x v="43"/>
    <d v="2025-02-14T00:00:00"/>
    <x v="2"/>
    <x v="3"/>
    <n v="5"/>
    <s v="California"/>
    <s v="San Diego County"/>
    <n v="1"/>
    <x v="6"/>
    <s v="Female"/>
  </r>
  <r>
    <s v="TX501101"/>
    <s v="Bikinis"/>
    <n v="1"/>
    <n v="33"/>
    <n v="33"/>
    <x v="43"/>
    <d v="2025-02-16T00:00:00"/>
    <x v="2"/>
    <x v="0"/>
    <n v="5"/>
    <s v="California"/>
    <s v="San Diego County"/>
    <n v="3"/>
    <x v="6"/>
    <s v="Female"/>
  </r>
  <r>
    <s v="TX501102"/>
    <s v="Maxi Dresses"/>
    <n v="6"/>
    <n v="80.2"/>
    <n v="481.20000000000005"/>
    <x v="43"/>
    <d v="2025-02-15T00:00:00"/>
    <x v="1"/>
    <x v="1"/>
    <n v="2"/>
    <s v="California"/>
    <s v="San Diego County"/>
    <n v="2"/>
    <x v="6"/>
    <s v="Male"/>
  </r>
  <r>
    <s v="TX501103"/>
    <s v="Leggings"/>
    <n v="8"/>
    <n v="49"/>
    <n v="392"/>
    <x v="43"/>
    <d v="2025-02-14T00:00:00"/>
    <x v="0"/>
    <x v="2"/>
    <n v="3"/>
    <s v="California"/>
    <s v="San Mateo County"/>
    <n v="1"/>
    <x v="6"/>
    <s v="Unknown"/>
  </r>
  <r>
    <s v="TX501104"/>
    <s v="Tank Tops"/>
    <n v="4"/>
    <n v="104.4"/>
    <n v="417.6"/>
    <x v="43"/>
    <d v="2025-02-13T00:00:00"/>
    <x v="2"/>
    <x v="0"/>
    <n v="4"/>
    <s v="California"/>
    <s v="San Mateo County"/>
    <n v="0"/>
    <x v="6"/>
    <s v="Female"/>
  </r>
  <r>
    <s v="TX501105"/>
    <s v="Workout Tops"/>
    <n v="1"/>
    <n v="41.6"/>
    <n v="41.6"/>
    <x v="43"/>
    <d v="2025-02-16T00:00:00"/>
    <x v="1"/>
    <x v="3"/>
    <n v="4"/>
    <s v="California"/>
    <s v="Santa Clara County"/>
    <n v="3"/>
    <x v="6"/>
    <s v="Male"/>
  </r>
  <r>
    <s v="TX501106"/>
    <s v="Jewelry"/>
    <n v="2"/>
    <n v="16.399999999999999"/>
    <n v="32.799999999999997"/>
    <x v="43"/>
    <d v="2025-02-14T00:00:00"/>
    <x v="3"/>
    <x v="0"/>
    <n v="5"/>
    <s v="California"/>
    <s v="Santa Clara County"/>
    <n v="1"/>
    <x v="6"/>
    <s v="Other"/>
  </r>
  <r>
    <s v="TX501107"/>
    <s v="T-Shirts"/>
    <n v="2"/>
    <n v="22"/>
    <n v="44"/>
    <x v="43"/>
    <d v="2025-02-14T00:00:00"/>
    <x v="1"/>
    <x v="2"/>
    <n v="5"/>
    <s v="California"/>
    <s v="Shasta County"/>
    <n v="1"/>
    <x v="6"/>
    <s v="Male"/>
  </r>
  <r>
    <s v="TX501108"/>
    <s v="Crop Tops"/>
    <n v="2"/>
    <n v="33.6"/>
    <n v="67.2"/>
    <x v="43"/>
    <d v="2025-02-18T00:00:00"/>
    <x v="2"/>
    <x v="0"/>
    <n v="4"/>
    <s v="California"/>
    <s v="Alameda County"/>
    <n v="5"/>
    <x v="6"/>
    <s v="Female"/>
  </r>
  <r>
    <s v="TX501109"/>
    <s v="Maxi Dresses"/>
    <n v="6"/>
    <n v="43"/>
    <n v="258"/>
    <x v="43"/>
    <d v="2025-02-14T00:00:00"/>
    <x v="2"/>
    <x v="2"/>
    <n v="4"/>
    <s v="California"/>
    <s v="Alameda County"/>
    <n v="1"/>
    <x v="6"/>
    <s v="Female"/>
  </r>
  <r>
    <s v="TX501110"/>
    <s v="Jeans"/>
    <n v="5"/>
    <n v="108.8"/>
    <n v="544"/>
    <x v="43"/>
    <d v="2025-02-16T00:00:00"/>
    <x v="2"/>
    <x v="4"/>
    <n v="5"/>
    <s v="California"/>
    <s v="Alameda County"/>
    <n v="3"/>
    <x v="6"/>
    <s v="Female"/>
  </r>
  <r>
    <s v="TX501111"/>
    <s v="Shorts"/>
    <n v="9"/>
    <n v="29.3"/>
    <n v="263.7"/>
    <x v="43"/>
    <d v="2025-02-15T00:00:00"/>
    <x v="1"/>
    <x v="4"/>
    <n v="5"/>
    <s v="California"/>
    <s v="Alameda County"/>
    <n v="2"/>
    <x v="6"/>
    <s v="Male"/>
  </r>
  <r>
    <s v="TX501112"/>
    <s v="Sneakers"/>
    <n v="1"/>
    <n v="122.7"/>
    <n v="122.7"/>
    <x v="43"/>
    <d v="2025-02-16T00:00:00"/>
    <x v="3"/>
    <x v="0"/>
    <n v="5"/>
    <s v="California"/>
    <s v="Contra Costa County"/>
    <n v="3"/>
    <x v="6"/>
    <s v="Other"/>
  </r>
  <r>
    <s v="TX501113"/>
    <s v="Graphic Tees"/>
    <n v="7"/>
    <n v="22.9"/>
    <n v="160.29999999999998"/>
    <x v="43"/>
    <d v="2025-02-14T00:00:00"/>
    <x v="2"/>
    <x v="0"/>
    <n v="4"/>
    <s v="California"/>
    <s v="El Dorado County"/>
    <n v="1"/>
    <x v="6"/>
    <s v="Female"/>
  </r>
  <r>
    <s v="TX501114"/>
    <s v="T-Shirts"/>
    <n v="10"/>
    <n v="25.5"/>
    <n v="255"/>
    <x v="43"/>
    <d v="2025-02-20T00:00:00"/>
    <x v="2"/>
    <x v="0"/>
    <n v="4"/>
    <s v="California"/>
    <s v="Imperial County"/>
    <n v="7"/>
    <x v="6"/>
    <s v="Female"/>
  </r>
  <r>
    <s v="TX501115"/>
    <s v="Pajama Sets"/>
    <n v="3"/>
    <n v="23.4"/>
    <n v="70.199999999999989"/>
    <x v="43"/>
    <d v="2025-02-17T00:00:00"/>
    <x v="2"/>
    <x v="0"/>
    <n v="5"/>
    <s v="California"/>
    <s v="Los Angeles County"/>
    <n v="4"/>
    <x v="6"/>
    <s v="Female"/>
  </r>
  <r>
    <s v="TX501116"/>
    <s v="Sandals"/>
    <n v="8"/>
    <n v="27.4"/>
    <n v="219.2"/>
    <x v="43"/>
    <d v="2025-02-16T00:00:00"/>
    <x v="2"/>
    <x v="2"/>
    <n v="4"/>
    <s v="California"/>
    <s v="Los Angeles County"/>
    <n v="3"/>
    <x v="6"/>
    <s v="Female"/>
  </r>
  <r>
    <s v="TX501117"/>
    <s v="Sandals"/>
    <n v="5"/>
    <n v="68.400000000000006"/>
    <n v="342"/>
    <x v="43"/>
    <d v="2025-02-14T00:00:00"/>
    <x v="2"/>
    <x v="0"/>
    <n v="4"/>
    <s v="California"/>
    <s v="Los Angeles County"/>
    <n v="1"/>
    <x v="6"/>
    <s v="Female"/>
  </r>
  <r>
    <s v="TX501118"/>
    <s v="Jeans"/>
    <n v="1"/>
    <n v="51.9"/>
    <n v="51.9"/>
    <x v="43"/>
    <d v="2025-02-13T00:00:00"/>
    <x v="2"/>
    <x v="0"/>
    <n v="4"/>
    <s v="California"/>
    <s v="Los Angeles County"/>
    <n v="0"/>
    <x v="6"/>
    <s v="Female"/>
  </r>
  <r>
    <s v="TX501119"/>
    <s v="Shorts"/>
    <n v="5"/>
    <n v="26.4"/>
    <n v="132"/>
    <x v="43"/>
    <d v="2025-02-16T00:00:00"/>
    <x v="2"/>
    <x v="0"/>
    <n v="5"/>
    <s v="California"/>
    <s v="Los Angeles County"/>
    <n v="3"/>
    <x v="6"/>
    <s v="Female"/>
  </r>
  <r>
    <s v="TX501120"/>
    <s v="Casual Dresses"/>
    <n v="2"/>
    <n v="117"/>
    <n v="234"/>
    <x v="43"/>
    <d v="2025-02-14T00:00:00"/>
    <x v="2"/>
    <x v="1"/>
    <n v="3"/>
    <s v="California"/>
    <s v="Los Angeles County"/>
    <n v="1"/>
    <x v="6"/>
    <s v="Female"/>
  </r>
  <r>
    <s v="TX501121"/>
    <s v="Hoodies &amp; Sweatshirts"/>
    <n v="3"/>
    <n v="49.6"/>
    <n v="148.80000000000001"/>
    <x v="44"/>
    <d v="2025-02-16T00:00:00"/>
    <x v="2"/>
    <x v="0"/>
    <n v="4"/>
    <s v="California"/>
    <s v="Los Angeles County"/>
    <n v="2"/>
    <x v="6"/>
    <s v="Female"/>
  </r>
  <r>
    <s v="TX501122"/>
    <s v="Graphic Tees"/>
    <n v="3"/>
    <n v="38"/>
    <n v="114"/>
    <x v="44"/>
    <d v="2025-02-17T00:00:00"/>
    <x v="1"/>
    <x v="2"/>
    <n v="2"/>
    <s v="California"/>
    <s v="Los Angeles County"/>
    <n v="3"/>
    <x v="6"/>
    <s v="Male"/>
  </r>
  <r>
    <s v="TX501123"/>
    <s v="Shorts"/>
    <n v="3"/>
    <n v="20.6"/>
    <n v="61.800000000000004"/>
    <x v="44"/>
    <d v="2025-02-16T00:00:00"/>
    <x v="2"/>
    <x v="4"/>
    <n v="5"/>
    <s v="California"/>
    <s v="Los Angeles County"/>
    <n v="2"/>
    <x v="6"/>
    <s v="Female"/>
  </r>
  <r>
    <s v="TX501124"/>
    <s v="Shorts"/>
    <n v="2"/>
    <n v="16"/>
    <n v="32"/>
    <x v="44"/>
    <d v="2025-02-15T00:00:00"/>
    <x v="1"/>
    <x v="1"/>
    <n v="3"/>
    <s v="California"/>
    <s v="Monterey County"/>
    <n v="1"/>
    <x v="6"/>
    <s v="Male"/>
  </r>
  <r>
    <s v="TX501125"/>
    <s v="Crop Tops"/>
    <n v="4"/>
    <n v="49.3"/>
    <n v="197.2"/>
    <x v="44"/>
    <d v="2025-02-15T00:00:00"/>
    <x v="2"/>
    <x v="2"/>
    <n v="4"/>
    <s v="California"/>
    <s v="Riverside County"/>
    <n v="1"/>
    <x v="6"/>
    <s v="Female"/>
  </r>
  <r>
    <s v="TX501126"/>
    <s v="Sundresses"/>
    <n v="2"/>
    <n v="24.1"/>
    <n v="48.2"/>
    <x v="44"/>
    <d v="2025-02-18T00:00:00"/>
    <x v="2"/>
    <x v="0"/>
    <n v="4"/>
    <s v="California"/>
    <s v="Sacramento County"/>
    <n v="4"/>
    <x v="6"/>
    <s v="Female"/>
  </r>
  <r>
    <s v="TX501127"/>
    <s v="Crop Tops"/>
    <n v="8"/>
    <n v="32.700000000000003"/>
    <n v="261.60000000000002"/>
    <x v="44"/>
    <d v="2025-02-15T00:00:00"/>
    <x v="2"/>
    <x v="1"/>
    <n v="4"/>
    <s v="California"/>
    <s v="Sacramento County"/>
    <n v="1"/>
    <x v="6"/>
    <s v="Female"/>
  </r>
  <r>
    <s v="TX501128"/>
    <s v="Jeans"/>
    <n v="3"/>
    <n v="74.400000000000006"/>
    <n v="223.20000000000002"/>
    <x v="44"/>
    <d v="2025-02-15T00:00:00"/>
    <x v="2"/>
    <x v="3"/>
    <n v="5"/>
    <s v="California"/>
    <s v="San Diego County"/>
    <n v="1"/>
    <x v="6"/>
    <s v="Female"/>
  </r>
  <r>
    <s v="TX501129"/>
    <s v="Casual Dresses"/>
    <n v="1"/>
    <n v="45.6"/>
    <n v="45.6"/>
    <x v="44"/>
    <d v="2025-02-18T00:00:00"/>
    <x v="2"/>
    <x v="4"/>
    <n v="4"/>
    <s v="California"/>
    <s v="San Diego County"/>
    <n v="4"/>
    <x v="6"/>
    <s v="Female"/>
  </r>
  <r>
    <s v="TX501130"/>
    <s v="T-Shirts"/>
    <n v="8"/>
    <n v="19.600000000000001"/>
    <n v="156.80000000000001"/>
    <x v="44"/>
    <d v="2025-02-27T00:00:00"/>
    <x v="2"/>
    <x v="0"/>
    <n v="4"/>
    <s v="California"/>
    <s v="San Diego County"/>
    <n v="13"/>
    <x v="6"/>
    <s v="Female"/>
  </r>
  <r>
    <s v="TX501131"/>
    <s v="Sundresses"/>
    <n v="1"/>
    <n v="51.8"/>
    <n v="51.8"/>
    <x v="44"/>
    <d v="2025-02-15T00:00:00"/>
    <x v="2"/>
    <x v="1"/>
    <n v="4"/>
    <s v="California"/>
    <s v="San Diego County"/>
    <n v="1"/>
    <x v="6"/>
    <s v="Female"/>
  </r>
  <r>
    <s v="TX501132"/>
    <s v="Jeans"/>
    <n v="1"/>
    <n v="74.7"/>
    <n v="74.7"/>
    <x v="44"/>
    <d v="2025-02-15T00:00:00"/>
    <x v="1"/>
    <x v="0"/>
    <n v="3"/>
    <s v="California"/>
    <s v="San Diego County"/>
    <n v="1"/>
    <x v="6"/>
    <s v="Male"/>
  </r>
  <r>
    <s v="TX501133"/>
    <s v="Jewelry"/>
    <n v="3"/>
    <n v="22.4"/>
    <n v="67.199999999999989"/>
    <x v="44"/>
    <d v="2025-02-15T00:00:00"/>
    <x v="2"/>
    <x v="1"/>
    <n v="5"/>
    <s v="California"/>
    <s v="San Mateo County"/>
    <n v="1"/>
    <x v="6"/>
    <s v="Female"/>
  </r>
  <r>
    <s v="TX501134"/>
    <s v="Tank Tops"/>
    <n v="4"/>
    <n v="31.4"/>
    <n v="125.6"/>
    <x v="44"/>
    <d v="2025-02-15T00:00:00"/>
    <x v="2"/>
    <x v="1"/>
    <n v="4"/>
    <s v="California"/>
    <s v="San Mateo County"/>
    <n v="1"/>
    <x v="6"/>
    <s v="Female"/>
  </r>
  <r>
    <s v="TX501135"/>
    <s v="Jeans"/>
    <n v="1"/>
    <n v="94"/>
    <n v="94"/>
    <x v="44"/>
    <d v="2025-02-14T00:00:00"/>
    <x v="2"/>
    <x v="1"/>
    <n v="5"/>
    <s v="California"/>
    <s v="Santa Barbara County"/>
    <n v="0"/>
    <x v="6"/>
    <s v="Female"/>
  </r>
  <r>
    <s v="TX501136"/>
    <s v="Bikinis"/>
    <n v="1"/>
    <n v="22.3"/>
    <n v="22.3"/>
    <x v="44"/>
    <d v="2025-02-15T00:00:00"/>
    <x v="1"/>
    <x v="4"/>
    <n v="4"/>
    <s v="California"/>
    <s v="Tulare County"/>
    <n v="1"/>
    <x v="6"/>
    <s v="Male"/>
  </r>
  <r>
    <s v="TX501137"/>
    <s v="Shorts"/>
    <n v="1"/>
    <n v="21.9"/>
    <n v="21.9"/>
    <x v="44"/>
    <d v="2025-02-17T00:00:00"/>
    <x v="2"/>
    <x v="2"/>
    <n v="4"/>
    <s v="California"/>
    <s v="Alameda County"/>
    <n v="3"/>
    <x v="6"/>
    <s v="Female"/>
  </r>
  <r>
    <s v="TX501138"/>
    <s v="Pajama Sets"/>
    <n v="3"/>
    <n v="27"/>
    <n v="81"/>
    <x v="44"/>
    <d v="2025-02-16T00:00:00"/>
    <x v="2"/>
    <x v="4"/>
    <n v="5"/>
    <s v="California"/>
    <s v="Fresno County"/>
    <n v="2"/>
    <x v="6"/>
    <s v="Female"/>
  </r>
  <r>
    <s v="TX501139"/>
    <s v="Sneakers"/>
    <n v="4"/>
    <n v="149.6"/>
    <n v="598.4"/>
    <x v="44"/>
    <d v="2025-02-14T00:00:00"/>
    <x v="2"/>
    <x v="4"/>
    <n v="4"/>
    <s v="California"/>
    <s v="Kern County"/>
    <n v="0"/>
    <x v="6"/>
    <s v="Female"/>
  </r>
  <r>
    <s v="TX501140"/>
    <s v="Sneakers"/>
    <n v="4"/>
    <n v="129.1"/>
    <n v="516.4"/>
    <x v="44"/>
    <d v="2025-02-24T00:00:00"/>
    <x v="1"/>
    <x v="0"/>
    <n v="3"/>
    <s v="California"/>
    <s v="Los Angeles County"/>
    <n v="10"/>
    <x v="6"/>
    <s v="Male"/>
  </r>
  <r>
    <s v="TX501141"/>
    <s v="Tank Tops"/>
    <n v="12"/>
    <n v="40.4"/>
    <n v="484.79999999999995"/>
    <x v="44"/>
    <d v="2025-02-15T00:00:00"/>
    <x v="1"/>
    <x v="1"/>
    <n v="3"/>
    <s v="California"/>
    <s v="Los Angeles County"/>
    <n v="1"/>
    <x v="6"/>
    <s v="Male"/>
  </r>
  <r>
    <s v="TX501142"/>
    <s v="Graphic Tees"/>
    <n v="3"/>
    <n v="48.5"/>
    <n v="145.5"/>
    <x v="44"/>
    <d v="2025-02-16T00:00:00"/>
    <x v="2"/>
    <x v="0"/>
    <n v="2"/>
    <s v="California"/>
    <s v="Los Angeles County"/>
    <n v="2"/>
    <x v="6"/>
    <s v="Female"/>
  </r>
  <r>
    <s v="TX501143"/>
    <s v="Sundresses"/>
    <n v="2"/>
    <n v="37.6"/>
    <n v="75.2"/>
    <x v="44"/>
    <d v="2025-02-16T00:00:00"/>
    <x v="2"/>
    <x v="1"/>
    <n v="5"/>
    <s v="California"/>
    <s v="Los Angeles County"/>
    <n v="2"/>
    <x v="6"/>
    <s v="Female"/>
  </r>
  <r>
    <s v="TX501144"/>
    <s v="T-Shirts"/>
    <n v="2"/>
    <n v="19.600000000000001"/>
    <n v="39.200000000000003"/>
    <x v="44"/>
    <d v="2025-02-15T00:00:00"/>
    <x v="1"/>
    <x v="3"/>
    <n v="2"/>
    <s v="California"/>
    <s v="Marin County"/>
    <n v="1"/>
    <x v="6"/>
    <s v="Male"/>
  </r>
  <r>
    <s v="TX501145"/>
    <s v="T-Shirts"/>
    <n v="5"/>
    <n v="18.5"/>
    <n v="92.5"/>
    <x v="44"/>
    <d v="2025-02-15T00:00:00"/>
    <x v="2"/>
    <x v="2"/>
    <n v="3"/>
    <s v="California"/>
    <s v="Sacramento County"/>
    <n v="1"/>
    <x v="6"/>
    <s v="Female"/>
  </r>
  <r>
    <s v="TX501146"/>
    <s v="Sandals"/>
    <n v="3"/>
    <n v="25.5"/>
    <n v="76.5"/>
    <x v="44"/>
    <d v="2025-02-16T00:00:00"/>
    <x v="2"/>
    <x v="4"/>
    <n v="3"/>
    <s v="California"/>
    <s v="Sacramento County"/>
    <n v="2"/>
    <x v="6"/>
    <s v="Female"/>
  </r>
  <r>
    <s v="TX501147"/>
    <s v="Sneakers"/>
    <n v="2"/>
    <n v="94.7"/>
    <n v="189.4"/>
    <x v="44"/>
    <d v="2025-02-15T00:00:00"/>
    <x v="2"/>
    <x v="2"/>
    <n v="4"/>
    <s v="California"/>
    <s v="San Benito County"/>
    <n v="1"/>
    <x v="6"/>
    <s v="Female"/>
  </r>
  <r>
    <s v="TX501148"/>
    <s v="Tank Tops"/>
    <n v="6"/>
    <n v="38.799999999999997"/>
    <n v="232.79999999999998"/>
    <x v="44"/>
    <d v="2025-02-19T00:00:00"/>
    <x v="2"/>
    <x v="2"/>
    <n v="5"/>
    <s v="California"/>
    <s v="San Diego County"/>
    <n v="5"/>
    <x v="6"/>
    <s v="Female"/>
  </r>
  <r>
    <s v="TX501149"/>
    <s v="Sundresses"/>
    <n v="2"/>
    <n v="49.4"/>
    <n v="98.8"/>
    <x v="45"/>
    <d v="2025-02-23T00:00:00"/>
    <x v="1"/>
    <x v="4"/>
    <n v="3"/>
    <s v="California"/>
    <s v="San Diego County"/>
    <n v="8"/>
    <x v="6"/>
    <s v="Male"/>
  </r>
  <r>
    <s v="TX501150"/>
    <s v="Hoodies &amp; Sweatshirts"/>
    <n v="3"/>
    <n v="68"/>
    <n v="204"/>
    <x v="45"/>
    <d v="2025-02-18T00:00:00"/>
    <x v="1"/>
    <x v="0"/>
    <n v="5"/>
    <s v="California"/>
    <s v="San Diego County"/>
    <n v="3"/>
    <x v="6"/>
    <s v="Male"/>
  </r>
  <r>
    <s v="TX501151"/>
    <s v="Crop Tops"/>
    <n v="7"/>
    <n v="63.7"/>
    <n v="445.90000000000003"/>
    <x v="45"/>
    <d v="2025-02-16T00:00:00"/>
    <x v="2"/>
    <x v="2"/>
    <n v="5"/>
    <s v="California"/>
    <s v="San Diego County"/>
    <n v="1"/>
    <x v="6"/>
    <s v="Female"/>
  </r>
  <r>
    <s v="TX501152"/>
    <s v="Bikinis"/>
    <n v="2"/>
    <n v="66.2"/>
    <n v="132.4"/>
    <x v="45"/>
    <d v="2025-02-16T00:00:00"/>
    <x v="2"/>
    <x v="4"/>
    <n v="5"/>
    <s v="California"/>
    <s v="San Francisco"/>
    <n v="1"/>
    <x v="6"/>
    <s v="Female"/>
  </r>
  <r>
    <s v="TX501153"/>
    <s v="Casual Dresses"/>
    <n v="3"/>
    <n v="32.299999999999997"/>
    <n v="96.899999999999991"/>
    <x v="45"/>
    <d v="2025-02-16T00:00:00"/>
    <x v="3"/>
    <x v="2"/>
    <n v="3"/>
    <s v="California"/>
    <s v="San Mateo County"/>
    <n v="1"/>
    <x v="6"/>
    <s v="Other"/>
  </r>
  <r>
    <s v="TX501154"/>
    <s v="Graphic Tees"/>
    <n v="2"/>
    <n v="66.900000000000006"/>
    <n v="133.80000000000001"/>
    <x v="45"/>
    <d v="2025-02-18T00:00:00"/>
    <x v="1"/>
    <x v="1"/>
    <n v="4"/>
    <s v="California"/>
    <s v="Santa Clara County"/>
    <n v="3"/>
    <x v="6"/>
    <s v="Male"/>
  </r>
  <r>
    <s v="TX501155"/>
    <s v="Graphic Tees"/>
    <n v="12"/>
    <n v="25.2"/>
    <n v="302.39999999999998"/>
    <x v="45"/>
    <d v="2025-02-19T00:00:00"/>
    <x v="2"/>
    <x v="0"/>
    <n v="3"/>
    <s v="California"/>
    <s v="Santa Clara County"/>
    <n v="4"/>
    <x v="6"/>
    <s v="Female"/>
  </r>
  <r>
    <s v="TX501156"/>
    <s v="Bikinis"/>
    <n v="6"/>
    <n v="29.5"/>
    <n v="177"/>
    <x v="45"/>
    <d v="2025-02-16T00:00:00"/>
    <x v="1"/>
    <x v="2"/>
    <n v="4"/>
    <s v="California"/>
    <s v="Santa Clara County"/>
    <n v="1"/>
    <x v="6"/>
    <s v="Male"/>
  </r>
  <r>
    <s v="TX501157"/>
    <s v="T-Shirts"/>
    <n v="5"/>
    <n v="21.6"/>
    <n v="108"/>
    <x v="45"/>
    <d v="2025-02-17T00:00:00"/>
    <x v="2"/>
    <x v="0"/>
    <n v="5"/>
    <s v="California"/>
    <s v="Santa Cruz County"/>
    <n v="2"/>
    <x v="6"/>
    <s v="Female"/>
  </r>
  <r>
    <s v="TX501158"/>
    <s v="Casual Dresses"/>
    <n v="3"/>
    <n v="69"/>
    <n v="207"/>
    <x v="45"/>
    <d v="2025-02-16T00:00:00"/>
    <x v="2"/>
    <x v="0"/>
    <n v="4"/>
    <s v="California"/>
    <s v="Sonoma County"/>
    <n v="1"/>
    <x v="6"/>
    <s v="Female"/>
  </r>
  <r>
    <s v="TX501159"/>
    <s v="Hoodies &amp; Sweatshirts"/>
    <n v="2"/>
    <n v="115"/>
    <n v="230"/>
    <x v="45"/>
    <d v="2025-02-19T00:00:00"/>
    <x v="1"/>
    <x v="0"/>
    <n v="5"/>
    <s v="California"/>
    <s v="Sonoma County"/>
    <n v="4"/>
    <x v="6"/>
    <s v="Male"/>
  </r>
  <r>
    <s v="TX501160"/>
    <s v="Sneakers"/>
    <n v="2"/>
    <n v="109.3"/>
    <n v="218.6"/>
    <x v="45"/>
    <d v="2025-02-17T00:00:00"/>
    <x v="0"/>
    <x v="3"/>
    <n v="3"/>
    <s v="California"/>
    <s v="Stanislaus County"/>
    <n v="2"/>
    <x v="6"/>
    <s v="Unknown"/>
  </r>
  <r>
    <s v="TX501161"/>
    <s v="Sundresses"/>
    <n v="2"/>
    <n v="66.599999999999994"/>
    <n v="133.19999999999999"/>
    <x v="45"/>
    <d v="2025-02-18T00:00:00"/>
    <x v="0"/>
    <x v="4"/>
    <n v="3"/>
    <s v="California"/>
    <s v="Stanislaus County"/>
    <n v="3"/>
    <x v="6"/>
    <s v="Unknown"/>
  </r>
  <r>
    <s v="TX501162"/>
    <s v="Casual Dresses"/>
    <n v="5"/>
    <n v="47.7"/>
    <n v="238.5"/>
    <x v="45"/>
    <d v="2025-02-16T00:00:00"/>
    <x v="1"/>
    <x v="3"/>
    <n v="5"/>
    <s v="California"/>
    <s v="Alameda County"/>
    <n v="1"/>
    <x v="6"/>
    <s v="Male"/>
  </r>
  <r>
    <s v="TX501163"/>
    <s v="T-Shirts"/>
    <n v="2"/>
    <n v="46"/>
    <n v="92"/>
    <x v="45"/>
    <d v="2025-02-16T00:00:00"/>
    <x v="2"/>
    <x v="4"/>
    <n v="2"/>
    <s v="California"/>
    <s v="Kern County"/>
    <n v="1"/>
    <x v="6"/>
    <s v="Female"/>
  </r>
  <r>
    <s v="TX501164"/>
    <s v="Tank Tops"/>
    <n v="6"/>
    <n v="39.299999999999997"/>
    <n v="235.79999999999998"/>
    <x v="45"/>
    <d v="2025-02-17T00:00:00"/>
    <x v="1"/>
    <x v="3"/>
    <n v="5"/>
    <s v="California"/>
    <s v="Los Angeles County"/>
    <n v="2"/>
    <x v="6"/>
    <s v="Male"/>
  </r>
  <r>
    <s v="TX501165"/>
    <s v="Sundresses"/>
    <n v="1"/>
    <n v="70.2"/>
    <n v="70.2"/>
    <x v="45"/>
    <d v="2025-02-16T00:00:00"/>
    <x v="2"/>
    <x v="0"/>
    <n v="2"/>
    <s v="California"/>
    <s v="Los Angeles County"/>
    <n v="1"/>
    <x v="6"/>
    <s v="Female"/>
  </r>
  <r>
    <s v="TX501166"/>
    <s v="Workout Tops"/>
    <n v="4"/>
    <n v="71.5"/>
    <n v="286"/>
    <x v="45"/>
    <d v="2025-02-15T00:00:00"/>
    <x v="2"/>
    <x v="1"/>
    <n v="5"/>
    <s v="California"/>
    <s v="Los Angeles County"/>
    <n v="0"/>
    <x v="6"/>
    <s v="Female"/>
  </r>
  <r>
    <s v="TX501167"/>
    <s v="Bikinis"/>
    <n v="7"/>
    <n v="31"/>
    <n v="217"/>
    <x v="45"/>
    <d v="2025-02-22T00:00:00"/>
    <x v="2"/>
    <x v="3"/>
    <n v="5"/>
    <s v="California"/>
    <s v="Los Angeles County"/>
    <n v="7"/>
    <x v="6"/>
    <s v="Female"/>
  </r>
  <r>
    <s v="TX501168"/>
    <s v="Sneakers"/>
    <n v="5"/>
    <n v="68.2"/>
    <n v="341"/>
    <x v="45"/>
    <d v="2025-02-20T00:00:00"/>
    <x v="2"/>
    <x v="0"/>
    <n v="5"/>
    <s v="California"/>
    <s v="Los Angeles County"/>
    <n v="5"/>
    <x v="6"/>
    <s v="Female"/>
  </r>
  <r>
    <s v="TX501169"/>
    <s v="Sneakers"/>
    <n v="1"/>
    <n v="91.4"/>
    <n v="91.4"/>
    <x v="45"/>
    <d v="2025-02-19T00:00:00"/>
    <x v="2"/>
    <x v="1"/>
    <n v="5"/>
    <s v="California"/>
    <s v="Sacramento County"/>
    <n v="4"/>
    <x v="6"/>
    <s v="Female"/>
  </r>
  <r>
    <s v="TX501170"/>
    <s v="Jeans"/>
    <n v="10"/>
    <n v="112.9"/>
    <n v="1129"/>
    <x v="45"/>
    <d v="2025-02-16T00:00:00"/>
    <x v="2"/>
    <x v="0"/>
    <n v="4"/>
    <s v="California"/>
    <s v="Sacramento County"/>
    <n v="1"/>
    <x v="6"/>
    <s v="Female"/>
  </r>
  <r>
    <s v="TX501171"/>
    <s v="Pajama Sets"/>
    <n v="9"/>
    <n v="33.700000000000003"/>
    <n v="303.3"/>
    <x v="45"/>
    <d v="2025-02-16T00:00:00"/>
    <x v="2"/>
    <x v="1"/>
    <n v="5"/>
    <s v="California"/>
    <s v="San Diego County"/>
    <n v="1"/>
    <x v="6"/>
    <s v="Female"/>
  </r>
  <r>
    <s v="TX501172"/>
    <s v="Crop Tops"/>
    <n v="10"/>
    <n v="35.299999999999997"/>
    <n v="353"/>
    <x v="45"/>
    <d v="2025-02-17T00:00:00"/>
    <x v="1"/>
    <x v="2"/>
    <n v="4"/>
    <s v="California"/>
    <s v="San Diego County"/>
    <n v="2"/>
    <x v="6"/>
    <s v="Male"/>
  </r>
  <r>
    <s v="TX501173"/>
    <s v="Leggings"/>
    <n v="3"/>
    <n v="45.6"/>
    <n v="136.80000000000001"/>
    <x v="45"/>
    <d v="2025-02-19T00:00:00"/>
    <x v="1"/>
    <x v="3"/>
    <n v="4"/>
    <s v="California"/>
    <s v="San Diego County"/>
    <n v="4"/>
    <x v="6"/>
    <s v="Male"/>
  </r>
  <r>
    <s v="TX501174"/>
    <s v="Hoodies &amp; Sweatshirts"/>
    <n v="7"/>
    <n v="47.1"/>
    <n v="329.7"/>
    <x v="45"/>
    <d v="2025-02-16T00:00:00"/>
    <x v="2"/>
    <x v="4"/>
    <n v="5"/>
    <s v="California"/>
    <s v="San Mateo County"/>
    <n v="1"/>
    <x v="6"/>
    <s v="Female"/>
  </r>
  <r>
    <s v="TX501175"/>
    <s v="T-Shirts"/>
    <n v="5"/>
    <n v="16.2"/>
    <n v="81"/>
    <x v="45"/>
    <d v="2025-02-17T00:00:00"/>
    <x v="2"/>
    <x v="3"/>
    <n v="5"/>
    <s v="California"/>
    <s v="Stanislaus County"/>
    <n v="2"/>
    <x v="6"/>
    <s v="Female"/>
  </r>
  <r>
    <s v="TX501176"/>
    <s v="Tank Tops"/>
    <n v="2"/>
    <n v="159.69999999999999"/>
    <n v="319.39999999999998"/>
    <x v="46"/>
    <d v="2025-02-17T00:00:00"/>
    <x v="1"/>
    <x v="4"/>
    <n v="4"/>
    <s v="California"/>
    <s v="Ventura County"/>
    <n v="1"/>
    <x v="7"/>
    <s v="Male"/>
  </r>
  <r>
    <s v="TX501177"/>
    <s v="T-Shirts"/>
    <n v="4"/>
    <n v="19"/>
    <n v="76"/>
    <x v="46"/>
    <d v="2025-02-23T00:00:00"/>
    <x v="2"/>
    <x v="2"/>
    <n v="5"/>
    <s v="California"/>
    <s v="Alameda County"/>
    <n v="7"/>
    <x v="7"/>
    <s v="Female"/>
  </r>
  <r>
    <s v="TX501178"/>
    <s v="Jeans"/>
    <n v="6"/>
    <n v="91.1"/>
    <n v="546.59999999999991"/>
    <x v="46"/>
    <d v="2025-02-25T00:00:00"/>
    <x v="2"/>
    <x v="4"/>
    <n v="4"/>
    <s v="California"/>
    <s v="Alameda County"/>
    <n v="9"/>
    <x v="7"/>
    <s v="Female"/>
  </r>
  <r>
    <s v="TX501179"/>
    <s v="Sneakers"/>
    <n v="5"/>
    <n v="94.1"/>
    <n v="470.5"/>
    <x v="46"/>
    <d v="2025-02-19T00:00:00"/>
    <x v="0"/>
    <x v="1"/>
    <n v="3"/>
    <s v="California"/>
    <s v="Alameda County"/>
    <n v="3"/>
    <x v="7"/>
    <s v="Unknown"/>
  </r>
  <r>
    <s v="TX501180"/>
    <s v="Sundresses"/>
    <n v="9"/>
    <n v="21.1"/>
    <n v="189.9"/>
    <x v="46"/>
    <d v="2025-02-17T00:00:00"/>
    <x v="2"/>
    <x v="4"/>
    <n v="5"/>
    <s v="California"/>
    <s v="Butte County"/>
    <n v="1"/>
    <x v="7"/>
    <s v="Female"/>
  </r>
  <r>
    <s v="TX501181"/>
    <s v="T-Shirts"/>
    <n v="7"/>
    <n v="15.3"/>
    <n v="107.10000000000001"/>
    <x v="46"/>
    <d v="2025-02-24T00:00:00"/>
    <x v="2"/>
    <x v="2"/>
    <n v="4"/>
    <s v="California"/>
    <s v="Contra Costa County"/>
    <n v="8"/>
    <x v="7"/>
    <s v="Female"/>
  </r>
  <r>
    <s v="TX501182"/>
    <s v="Crop Tops"/>
    <n v="4"/>
    <n v="21.3"/>
    <n v="85.2"/>
    <x v="46"/>
    <d v="2025-02-19T00:00:00"/>
    <x v="1"/>
    <x v="1"/>
    <n v="4"/>
    <s v="California"/>
    <s v="Los Angeles County"/>
    <n v="3"/>
    <x v="7"/>
    <s v="Male"/>
  </r>
  <r>
    <s v="TX501183"/>
    <s v="Shorts"/>
    <n v="2"/>
    <n v="23.2"/>
    <n v="46.4"/>
    <x v="46"/>
    <d v="2025-02-16T00:00:00"/>
    <x v="0"/>
    <x v="3"/>
    <n v="3"/>
    <s v="California"/>
    <s v="Los Angeles County"/>
    <n v="0"/>
    <x v="7"/>
    <s v="Unknown"/>
  </r>
  <r>
    <s v="TX501184"/>
    <s v="Graphic Tees"/>
    <n v="3"/>
    <n v="25.7"/>
    <n v="77.099999999999994"/>
    <x v="46"/>
    <d v="2025-02-17T00:00:00"/>
    <x v="1"/>
    <x v="4"/>
    <n v="4"/>
    <s v="California"/>
    <s v="Los Angeles County"/>
    <n v="1"/>
    <x v="7"/>
    <s v="Male"/>
  </r>
  <r>
    <s v="TX501185"/>
    <s v="Shorts"/>
    <n v="9"/>
    <n v="31.6"/>
    <n v="284.40000000000003"/>
    <x v="46"/>
    <d v="2025-02-18T00:00:00"/>
    <x v="2"/>
    <x v="0"/>
    <n v="4"/>
    <s v="California"/>
    <s v="Los Angeles County"/>
    <n v="2"/>
    <x v="7"/>
    <s v="Female"/>
  </r>
  <r>
    <s v="TX501186"/>
    <s v="Jeans"/>
    <n v="1"/>
    <n v="64.2"/>
    <n v="64.2"/>
    <x v="46"/>
    <d v="2025-02-21T00:00:00"/>
    <x v="1"/>
    <x v="0"/>
    <n v="4"/>
    <s v="California"/>
    <s v="Los Angeles County"/>
    <n v="5"/>
    <x v="7"/>
    <s v="Male"/>
  </r>
  <r>
    <s v="TX501187"/>
    <s v="T-Shirts"/>
    <n v="2"/>
    <n v="55.8"/>
    <n v="111.6"/>
    <x v="46"/>
    <d v="2025-02-18T00:00:00"/>
    <x v="0"/>
    <x v="0"/>
    <n v="4"/>
    <s v="California"/>
    <s v="Los Angeles County"/>
    <n v="2"/>
    <x v="7"/>
    <s v="Unknown"/>
  </r>
  <r>
    <s v="TX501188"/>
    <s v="T-Shirts"/>
    <n v="2"/>
    <n v="28.1"/>
    <n v="56.2"/>
    <x v="46"/>
    <d v="2025-02-17T00:00:00"/>
    <x v="2"/>
    <x v="4"/>
    <n v="3"/>
    <s v="California"/>
    <s v="Los Angeles County"/>
    <n v="1"/>
    <x v="7"/>
    <s v="Female"/>
  </r>
  <r>
    <s v="TX501189"/>
    <s v="Shorts"/>
    <n v="2"/>
    <n v="11.6"/>
    <n v="23.2"/>
    <x v="46"/>
    <d v="2025-02-18T00:00:00"/>
    <x v="2"/>
    <x v="1"/>
    <n v="4"/>
    <s v="California"/>
    <s v="Merced County"/>
    <n v="2"/>
    <x v="7"/>
    <s v="Female"/>
  </r>
  <r>
    <s v="TX501190"/>
    <s v="Sandals"/>
    <n v="3"/>
    <n v="50.4"/>
    <n v="151.19999999999999"/>
    <x v="46"/>
    <d v="2025-02-17T00:00:00"/>
    <x v="1"/>
    <x v="4"/>
    <n v="5"/>
    <s v="California"/>
    <s v="Orange County"/>
    <n v="1"/>
    <x v="7"/>
    <s v="Male"/>
  </r>
  <r>
    <s v="TX501191"/>
    <s v="Jeans"/>
    <n v="6"/>
    <n v="48.3"/>
    <n v="289.79999999999995"/>
    <x v="46"/>
    <d v="2025-02-20T00:00:00"/>
    <x v="2"/>
    <x v="0"/>
    <n v="4"/>
    <s v="California"/>
    <s v="Orange County"/>
    <n v="4"/>
    <x v="7"/>
    <s v="Female"/>
  </r>
  <r>
    <s v="TX501192"/>
    <s v="Pajama Sets"/>
    <n v="7"/>
    <n v="32.200000000000003"/>
    <n v="225.40000000000003"/>
    <x v="46"/>
    <d v="2025-02-18T00:00:00"/>
    <x v="2"/>
    <x v="2"/>
    <n v="4"/>
    <s v="California"/>
    <s v="Orange County"/>
    <n v="2"/>
    <x v="7"/>
    <s v="Female"/>
  </r>
  <r>
    <s v="TX501193"/>
    <s v="Hoodies &amp; Sweatshirts"/>
    <n v="28"/>
    <n v="48.5"/>
    <n v="1358"/>
    <x v="46"/>
    <d v="2025-02-17T00:00:00"/>
    <x v="1"/>
    <x v="0"/>
    <n v="4"/>
    <s v="California"/>
    <s v="Placer County"/>
    <n v="1"/>
    <x v="7"/>
    <s v="Male"/>
  </r>
  <r>
    <s v="TX501194"/>
    <s v="Sneakers"/>
    <n v="5"/>
    <n v="62"/>
    <n v="310"/>
    <x v="46"/>
    <d v="2025-02-19T00:00:00"/>
    <x v="2"/>
    <x v="1"/>
    <n v="4"/>
    <s v="California"/>
    <s v="Sacramento County"/>
    <n v="3"/>
    <x v="7"/>
    <s v="Female"/>
  </r>
  <r>
    <s v="TX501195"/>
    <s v="T-Shirts"/>
    <n v="3"/>
    <n v="32.1"/>
    <n v="96.300000000000011"/>
    <x v="47"/>
    <d v="2025-02-19T00:00:00"/>
    <x v="1"/>
    <x v="0"/>
    <n v="4"/>
    <s v="California"/>
    <s v="Sacramento County"/>
    <n v="2"/>
    <x v="7"/>
    <s v="Male"/>
  </r>
  <r>
    <s v="TX501196"/>
    <s v="Casual Dresses"/>
    <n v="3"/>
    <n v="106.1"/>
    <n v="318.29999999999995"/>
    <x v="47"/>
    <d v="2025-02-19T00:00:00"/>
    <x v="1"/>
    <x v="0"/>
    <n v="3"/>
    <s v="California"/>
    <s v="San Bernardino County"/>
    <n v="2"/>
    <x v="7"/>
    <s v="Male"/>
  </r>
  <r>
    <s v="TX501197"/>
    <s v="Bikinis"/>
    <n v="3"/>
    <n v="23.5"/>
    <n v="70.5"/>
    <x v="47"/>
    <d v="2025-02-20T00:00:00"/>
    <x v="1"/>
    <x v="0"/>
    <n v="2"/>
    <s v="California"/>
    <s v="San Bernardino County"/>
    <n v="3"/>
    <x v="7"/>
    <s v="Male"/>
  </r>
  <r>
    <s v="TX501198"/>
    <s v="Tank Tops"/>
    <n v="2"/>
    <n v="35.6"/>
    <n v="71.2"/>
    <x v="47"/>
    <d v="2025-02-22T00:00:00"/>
    <x v="1"/>
    <x v="4"/>
    <n v="4"/>
    <s v="California"/>
    <s v="San Diego County"/>
    <n v="5"/>
    <x v="7"/>
    <s v="Male"/>
  </r>
  <r>
    <s v="TX501199"/>
    <s v="Tank Tops"/>
    <n v="2"/>
    <n v="63.5"/>
    <n v="127"/>
    <x v="47"/>
    <d v="2025-02-17T00:00:00"/>
    <x v="2"/>
    <x v="1"/>
    <n v="5"/>
    <s v="California"/>
    <s v="San Diego County"/>
    <n v="0"/>
    <x v="7"/>
    <s v="Female"/>
  </r>
  <r>
    <s v="TX501200"/>
    <s v="Jeans"/>
    <n v="7"/>
    <n v="82.9"/>
    <n v="580.30000000000007"/>
    <x v="47"/>
    <d v="2025-02-22T00:00:00"/>
    <x v="2"/>
    <x v="4"/>
    <n v="4"/>
    <s v="California"/>
    <s v="San Mateo County"/>
    <n v="5"/>
    <x v="7"/>
    <s v="Female"/>
  </r>
  <r>
    <s v="TX501201"/>
    <s v="Jeans"/>
    <n v="2"/>
    <n v="83.6"/>
    <n v="167.2"/>
    <x v="47"/>
    <d v="2025-02-22T00:00:00"/>
    <x v="2"/>
    <x v="0"/>
    <n v="4"/>
    <s v="California"/>
    <s v="Santa Clara County"/>
    <n v="5"/>
    <x v="7"/>
    <s v="Female"/>
  </r>
  <r>
    <s v="TX501202"/>
    <s v="Graphic Tees"/>
    <n v="2"/>
    <n v="29.4"/>
    <n v="58.8"/>
    <x v="47"/>
    <d v="2025-02-17T00:00:00"/>
    <x v="2"/>
    <x v="0"/>
    <n v="3"/>
    <s v="California"/>
    <s v="Siskiyou County"/>
    <n v="0"/>
    <x v="7"/>
    <s v="Female"/>
  </r>
  <r>
    <s v="TX501203"/>
    <s v="Sneakers"/>
    <n v="3"/>
    <n v="107.1"/>
    <n v="321.29999999999995"/>
    <x v="47"/>
    <d v="2025-02-21T00:00:00"/>
    <x v="2"/>
    <x v="2"/>
    <n v="4"/>
    <s v="California"/>
    <s v="Tulare County"/>
    <n v="4"/>
    <x v="7"/>
    <s v="Female"/>
  </r>
  <r>
    <s v="TX501204"/>
    <s v="Sneakers"/>
    <n v="1"/>
    <n v="62.7"/>
    <n v="62.7"/>
    <x v="47"/>
    <d v="2025-02-21T00:00:00"/>
    <x v="1"/>
    <x v="1"/>
    <n v="4"/>
    <s v="California"/>
    <s v="Alameda County"/>
    <n v="4"/>
    <x v="7"/>
    <s v="Male"/>
  </r>
  <r>
    <s v="TX501205"/>
    <s v="Maxi Dresses"/>
    <n v="1"/>
    <n v="41.6"/>
    <n v="41.6"/>
    <x v="47"/>
    <d v="2025-02-18T00:00:00"/>
    <x v="1"/>
    <x v="0"/>
    <n v="3"/>
    <s v="California"/>
    <s v="Contra Costa County"/>
    <n v="1"/>
    <x v="7"/>
    <s v="Male"/>
  </r>
  <r>
    <s v="TX501206"/>
    <s v="Jeans"/>
    <n v="1"/>
    <n v="44.2"/>
    <n v="44.2"/>
    <x v="47"/>
    <d v="2025-02-18T00:00:00"/>
    <x v="3"/>
    <x v="0"/>
    <n v="3"/>
    <s v="California"/>
    <s v="Contra Costa County"/>
    <n v="1"/>
    <x v="7"/>
    <s v="Other"/>
  </r>
  <r>
    <s v="TX501207"/>
    <s v="Graphic Tees"/>
    <n v="6"/>
    <n v="40.4"/>
    <n v="242.39999999999998"/>
    <x v="47"/>
    <d v="2025-03-02T00:00:00"/>
    <x v="2"/>
    <x v="2"/>
    <n v="4"/>
    <s v="California"/>
    <s v="Kern County"/>
    <n v="13"/>
    <x v="7"/>
    <s v="Female"/>
  </r>
  <r>
    <s v="TX501208"/>
    <s v="Crop Tops"/>
    <n v="6"/>
    <n v="59.6"/>
    <n v="357.6"/>
    <x v="47"/>
    <d v="2025-02-18T00:00:00"/>
    <x v="2"/>
    <x v="4"/>
    <n v="4"/>
    <s v="California"/>
    <s v="Kings County"/>
    <n v="1"/>
    <x v="7"/>
    <s v="Female"/>
  </r>
  <r>
    <s v="TX501209"/>
    <s v="Pajama Sets"/>
    <n v="12"/>
    <n v="63.8"/>
    <n v="765.59999999999991"/>
    <x v="47"/>
    <d v="2025-02-18T00:00:00"/>
    <x v="1"/>
    <x v="1"/>
    <n v="4"/>
    <s v="California"/>
    <s v="Los Angeles County"/>
    <n v="1"/>
    <x v="7"/>
    <s v="Male"/>
  </r>
  <r>
    <s v="TX501210"/>
    <s v="Sundresses"/>
    <n v="6"/>
    <n v="30.8"/>
    <n v="184.8"/>
    <x v="47"/>
    <d v="2025-02-19T00:00:00"/>
    <x v="1"/>
    <x v="4"/>
    <n v="4"/>
    <s v="California"/>
    <s v="Los Angeles County"/>
    <n v="2"/>
    <x v="7"/>
    <s v="Male"/>
  </r>
  <r>
    <s v="TX501211"/>
    <s v="Tank Tops"/>
    <n v="2"/>
    <n v="41.5"/>
    <n v="83"/>
    <x v="47"/>
    <d v="2025-02-20T00:00:00"/>
    <x v="3"/>
    <x v="0"/>
    <n v="4"/>
    <s v="California"/>
    <s v="Los Angeles County"/>
    <n v="3"/>
    <x v="7"/>
    <s v="Other"/>
  </r>
  <r>
    <s v="TX501212"/>
    <s v="Bikinis"/>
    <n v="4"/>
    <n v="44.7"/>
    <n v="178.8"/>
    <x v="47"/>
    <d v="2025-02-19T00:00:00"/>
    <x v="2"/>
    <x v="2"/>
    <n v="3"/>
    <s v="California"/>
    <s v="Los Angeles County"/>
    <n v="2"/>
    <x v="7"/>
    <s v="Female"/>
  </r>
  <r>
    <s v="TX501213"/>
    <s v="Casual Dresses"/>
    <n v="2"/>
    <n v="64.099999999999994"/>
    <n v="128.19999999999999"/>
    <x v="47"/>
    <d v="2025-02-21T00:00:00"/>
    <x v="2"/>
    <x v="1"/>
    <n v="2"/>
    <s v="California"/>
    <s v="Los Angeles County"/>
    <n v="4"/>
    <x v="7"/>
    <s v="Female"/>
  </r>
  <r>
    <s v="TX501214"/>
    <s v="T-Shirts"/>
    <n v="1"/>
    <n v="15.9"/>
    <n v="15.9"/>
    <x v="47"/>
    <d v="2025-02-20T00:00:00"/>
    <x v="0"/>
    <x v="1"/>
    <n v="4"/>
    <s v="California"/>
    <s v="Los Angeles County"/>
    <n v="3"/>
    <x v="7"/>
    <s v="Unknown"/>
  </r>
  <r>
    <s v="TX501215"/>
    <s v="Jeans"/>
    <n v="2"/>
    <n v="78.7"/>
    <n v="157.4"/>
    <x v="47"/>
    <d v="2025-02-17T00:00:00"/>
    <x v="2"/>
    <x v="2"/>
    <n v="3"/>
    <s v="California"/>
    <s v="Los Angeles County"/>
    <n v="0"/>
    <x v="7"/>
    <s v="Female"/>
  </r>
  <r>
    <s v="TX501216"/>
    <s v="Sandals"/>
    <n v="12"/>
    <n v="29.6"/>
    <n v="355.20000000000005"/>
    <x v="47"/>
    <d v="2025-02-21T00:00:00"/>
    <x v="1"/>
    <x v="2"/>
    <n v="2"/>
    <s v="California"/>
    <s v="Los Angeles County"/>
    <n v="4"/>
    <x v="7"/>
    <s v="Male"/>
  </r>
  <r>
    <s v="TX501217"/>
    <s v="T-Shirts"/>
    <n v="4"/>
    <n v="21.5"/>
    <n v="86"/>
    <x v="47"/>
    <d v="2025-02-20T00:00:00"/>
    <x v="1"/>
    <x v="1"/>
    <n v="4"/>
    <s v="California"/>
    <s v="Los Angeles County"/>
    <n v="3"/>
    <x v="7"/>
    <s v="Male"/>
  </r>
  <r>
    <s v="TX501218"/>
    <s v="Sundresses"/>
    <n v="3"/>
    <n v="74.900000000000006"/>
    <n v="224.70000000000002"/>
    <x v="47"/>
    <d v="2025-02-26T00:00:00"/>
    <x v="1"/>
    <x v="3"/>
    <n v="3"/>
    <s v="California"/>
    <s v="Los Angeles County"/>
    <n v="9"/>
    <x v="7"/>
    <s v="Male"/>
  </r>
  <r>
    <s v="TX501219"/>
    <s v="Bikinis"/>
    <n v="6"/>
    <n v="45"/>
    <n v="270"/>
    <x v="47"/>
    <d v="2025-02-22T00:00:00"/>
    <x v="2"/>
    <x v="2"/>
    <n v="4"/>
    <s v="California"/>
    <s v="Los Angeles County"/>
    <n v="5"/>
    <x v="7"/>
    <s v="Female"/>
  </r>
  <r>
    <s v="TX501220"/>
    <s v="Hoodies &amp; Sweatshirts"/>
    <n v="34"/>
    <n v="37.9"/>
    <n v="1288.5999999999999"/>
    <x v="47"/>
    <d v="2025-02-18T00:00:00"/>
    <x v="1"/>
    <x v="0"/>
    <n v="4"/>
    <s v="California"/>
    <s v="Los Angeles County"/>
    <n v="1"/>
    <x v="7"/>
    <s v="Male"/>
  </r>
  <r>
    <s v="TX501221"/>
    <s v="Jeans"/>
    <n v="3"/>
    <n v="56.6"/>
    <n v="169.8"/>
    <x v="47"/>
    <d v="2025-02-18T00:00:00"/>
    <x v="1"/>
    <x v="3"/>
    <n v="4"/>
    <s v="California"/>
    <s v="Los Angeles County"/>
    <n v="1"/>
    <x v="7"/>
    <s v="Male"/>
  </r>
  <r>
    <s v="TX501222"/>
    <s v="Workout Tops"/>
    <n v="13"/>
    <n v="84.5"/>
    <n v="1098.5"/>
    <x v="47"/>
    <d v="2025-02-20T00:00:00"/>
    <x v="2"/>
    <x v="1"/>
    <n v="2"/>
    <s v="California"/>
    <s v="Los Angeles County"/>
    <n v="3"/>
    <x v="7"/>
    <s v="Female"/>
  </r>
  <r>
    <s v="TX501223"/>
    <s v="Sneakers"/>
    <n v="5"/>
    <n v="105.4"/>
    <n v="527"/>
    <x v="47"/>
    <d v="2025-02-19T00:00:00"/>
    <x v="2"/>
    <x v="1"/>
    <n v="3"/>
    <s v="California"/>
    <s v="Los Angeles County"/>
    <n v="2"/>
    <x v="7"/>
    <s v="Female"/>
  </r>
  <r>
    <s v="TX501224"/>
    <s v="Leggings"/>
    <n v="7"/>
    <n v="39.4"/>
    <n v="275.8"/>
    <x v="48"/>
    <d v="2025-02-18T00:00:00"/>
    <x v="1"/>
    <x v="1"/>
    <n v="4"/>
    <s v="California"/>
    <s v="Madera County"/>
    <n v="0"/>
    <x v="7"/>
    <s v="Male"/>
  </r>
  <r>
    <s v="TX501225"/>
    <s v="Jewelry"/>
    <n v="3"/>
    <n v="38"/>
    <n v="114"/>
    <x v="48"/>
    <d v="2025-02-21T00:00:00"/>
    <x v="1"/>
    <x v="4"/>
    <n v="3"/>
    <s v="California"/>
    <s v="Sacramento County"/>
    <n v="3"/>
    <x v="7"/>
    <s v="Male"/>
  </r>
  <r>
    <s v="TX501226"/>
    <s v="Pajama Sets"/>
    <n v="4"/>
    <n v="42.5"/>
    <n v="170"/>
    <x v="48"/>
    <d v="2025-02-20T00:00:00"/>
    <x v="0"/>
    <x v="0"/>
    <n v="4"/>
    <s v="California"/>
    <s v="Sacramento County"/>
    <n v="2"/>
    <x v="7"/>
    <s v="Unknown"/>
  </r>
  <r>
    <s v="TX501227"/>
    <s v="Crop Tops"/>
    <n v="1"/>
    <n v="62.3"/>
    <n v="62.3"/>
    <x v="48"/>
    <d v="2025-02-27T00:00:00"/>
    <x v="1"/>
    <x v="0"/>
    <n v="5"/>
    <s v="California"/>
    <s v="Sacramento County"/>
    <n v="9"/>
    <x v="7"/>
    <s v="Male"/>
  </r>
  <r>
    <s v="TX501228"/>
    <s v="Jeans"/>
    <n v="5"/>
    <n v="49.1"/>
    <n v="245.5"/>
    <x v="48"/>
    <d v="2025-02-20T00:00:00"/>
    <x v="2"/>
    <x v="1"/>
    <n v="5"/>
    <s v="California"/>
    <s v="San Bernardino County"/>
    <n v="2"/>
    <x v="7"/>
    <s v="Female"/>
  </r>
  <r>
    <s v="TX501229"/>
    <s v="Workout Tops"/>
    <n v="2"/>
    <n v="30.5"/>
    <n v="61"/>
    <x v="48"/>
    <d v="2025-02-21T00:00:00"/>
    <x v="1"/>
    <x v="0"/>
    <n v="5"/>
    <s v="California"/>
    <s v="San Diego County"/>
    <n v="3"/>
    <x v="7"/>
    <s v="Male"/>
  </r>
  <r>
    <s v="TX501230"/>
    <s v="Sneakers"/>
    <n v="2"/>
    <n v="154.80000000000001"/>
    <n v="309.60000000000002"/>
    <x v="48"/>
    <d v="2025-02-21T00:00:00"/>
    <x v="2"/>
    <x v="1"/>
    <n v="2"/>
    <s v="California"/>
    <s v="San Diego County"/>
    <n v="3"/>
    <x v="7"/>
    <s v="Female"/>
  </r>
  <r>
    <s v="TX501231"/>
    <s v="Jeans"/>
    <n v="1"/>
    <n v="45"/>
    <n v="45"/>
    <x v="48"/>
    <d v="2025-02-22T00:00:00"/>
    <x v="1"/>
    <x v="3"/>
    <n v="3"/>
    <s v="California"/>
    <s v="San Diego County"/>
    <n v="4"/>
    <x v="7"/>
    <s v="Male"/>
  </r>
  <r>
    <s v="TX501232"/>
    <s v="Shorts"/>
    <n v="7"/>
    <n v="15.3"/>
    <n v="107.10000000000001"/>
    <x v="48"/>
    <d v="2025-02-19T00:00:00"/>
    <x v="1"/>
    <x v="0"/>
    <n v="5"/>
    <s v="California"/>
    <s v="San Diego County"/>
    <n v="1"/>
    <x v="7"/>
    <s v="Male"/>
  </r>
  <r>
    <s v="TX501233"/>
    <s v="Sneakers"/>
    <n v="11"/>
    <n v="88.6"/>
    <n v="974.59999999999991"/>
    <x v="48"/>
    <d v="2025-02-21T00:00:00"/>
    <x v="2"/>
    <x v="0"/>
    <n v="2"/>
    <s v="California"/>
    <s v="San Francisco"/>
    <n v="3"/>
    <x v="7"/>
    <s v="Female"/>
  </r>
  <r>
    <s v="TX501234"/>
    <s v="Sundresses"/>
    <n v="2"/>
    <n v="49.7"/>
    <n v="99.4"/>
    <x v="48"/>
    <d v="2025-02-20T00:00:00"/>
    <x v="3"/>
    <x v="4"/>
    <n v="4"/>
    <s v="California"/>
    <s v="Santa Barbara County"/>
    <n v="2"/>
    <x v="7"/>
    <s v="Other"/>
  </r>
  <r>
    <s v="TX501235"/>
    <s v="Bikinis"/>
    <n v="1"/>
    <n v="29"/>
    <n v="29"/>
    <x v="48"/>
    <d v="2025-02-19T00:00:00"/>
    <x v="1"/>
    <x v="0"/>
    <n v="4"/>
    <s v="California"/>
    <s v="Santa Clara County"/>
    <n v="1"/>
    <x v="7"/>
    <s v="Male"/>
  </r>
  <r>
    <s v="TX501236"/>
    <s v="Tank Tops"/>
    <n v="1"/>
    <n v="60.7"/>
    <n v="60.7"/>
    <x v="48"/>
    <d v="2025-02-19T00:00:00"/>
    <x v="3"/>
    <x v="0"/>
    <n v="3"/>
    <s v="California"/>
    <s v="Santa Clara County"/>
    <n v="1"/>
    <x v="7"/>
    <s v="Other"/>
  </r>
  <r>
    <s v="TX501237"/>
    <s v="Pajama Sets"/>
    <n v="4"/>
    <n v="87.4"/>
    <n v="349.6"/>
    <x v="48"/>
    <d v="2025-02-20T00:00:00"/>
    <x v="0"/>
    <x v="0"/>
    <n v="4"/>
    <s v="California"/>
    <s v="Santa Clara County"/>
    <n v="2"/>
    <x v="7"/>
    <s v="Unknown"/>
  </r>
  <r>
    <s v="TX501238"/>
    <s v="Graphic Tees"/>
    <n v="7"/>
    <n v="44.5"/>
    <n v="311.5"/>
    <x v="48"/>
    <d v="2025-02-22T00:00:00"/>
    <x v="2"/>
    <x v="2"/>
    <n v="5"/>
    <s v="California"/>
    <s v="Stanislaus County"/>
    <n v="4"/>
    <x v="7"/>
    <s v="Female"/>
  </r>
  <r>
    <s v="TX501239"/>
    <s v="Sneakers"/>
    <n v="1"/>
    <n v="141"/>
    <n v="141"/>
    <x v="48"/>
    <d v="2025-02-19T00:00:00"/>
    <x v="1"/>
    <x v="4"/>
    <n v="5"/>
    <s v="California"/>
    <s v="Stanislaus County"/>
    <n v="1"/>
    <x v="7"/>
    <s v="Male"/>
  </r>
  <r>
    <s v="TX501240"/>
    <s v="Shorts"/>
    <n v="3"/>
    <n v="16.7"/>
    <n v="50.099999999999994"/>
    <x v="48"/>
    <d v="2025-02-26T00:00:00"/>
    <x v="2"/>
    <x v="0"/>
    <n v="4"/>
    <s v="California"/>
    <s v="Tulare County"/>
    <n v="8"/>
    <x v="7"/>
    <s v="Female"/>
  </r>
  <r>
    <s v="TX501241"/>
    <s v="Tank Tops"/>
    <n v="2"/>
    <n v="77.5"/>
    <n v="155"/>
    <x v="48"/>
    <d v="2025-02-19T00:00:00"/>
    <x v="0"/>
    <x v="2"/>
    <n v="5"/>
    <s v="California"/>
    <s v="Ventura County"/>
    <n v="1"/>
    <x v="7"/>
    <s v="Unknown"/>
  </r>
  <r>
    <s v="TX501242"/>
    <s v="Sneakers"/>
    <n v="2"/>
    <n v="163"/>
    <n v="326"/>
    <x v="48"/>
    <d v="2025-02-24T00:00:00"/>
    <x v="2"/>
    <x v="4"/>
    <n v="4"/>
    <s v="California"/>
    <s v="Alameda County"/>
    <n v="6"/>
    <x v="7"/>
    <s v="Female"/>
  </r>
  <r>
    <s v="TX501243"/>
    <s v="Graphic Tees"/>
    <n v="9"/>
    <n v="21.4"/>
    <n v="192.6"/>
    <x v="48"/>
    <d v="2025-02-21T00:00:00"/>
    <x v="2"/>
    <x v="0"/>
    <n v="4"/>
    <s v="California"/>
    <s v="Butte County"/>
    <n v="3"/>
    <x v="7"/>
    <s v="Female"/>
  </r>
  <r>
    <s v="TX501244"/>
    <s v="Bikinis"/>
    <n v="11"/>
    <n v="31"/>
    <n v="341"/>
    <x v="48"/>
    <d v="2025-02-20T00:00:00"/>
    <x v="2"/>
    <x v="3"/>
    <n v="5"/>
    <s v="California"/>
    <s v="Contra Costa County"/>
    <n v="2"/>
    <x v="7"/>
    <s v="Female"/>
  </r>
  <r>
    <s v="TX501245"/>
    <s v="Hoodies &amp; Sweatshirts"/>
    <n v="2"/>
    <n v="34.299999999999997"/>
    <n v="68.599999999999994"/>
    <x v="48"/>
    <d v="2025-02-20T00:00:00"/>
    <x v="2"/>
    <x v="0"/>
    <n v="1"/>
    <s v="California"/>
    <s v="Contra Costa County"/>
    <n v="2"/>
    <x v="7"/>
    <s v="Female"/>
  </r>
  <r>
    <s v="TX501246"/>
    <s v="Pajama Sets"/>
    <n v="5"/>
    <n v="48.2"/>
    <n v="241"/>
    <x v="48"/>
    <d v="2025-02-19T00:00:00"/>
    <x v="1"/>
    <x v="1"/>
    <n v="3"/>
    <s v="California"/>
    <s v="Fresno County"/>
    <n v="1"/>
    <x v="7"/>
    <s v="Male"/>
  </r>
  <r>
    <s v="TX501247"/>
    <s v="Bikinis"/>
    <n v="1"/>
    <n v="51.4"/>
    <n v="51.4"/>
    <x v="48"/>
    <d v="2025-02-19T00:00:00"/>
    <x v="1"/>
    <x v="0"/>
    <n v="4"/>
    <s v="California"/>
    <s v="Los Angeles County"/>
    <n v="1"/>
    <x v="7"/>
    <s v="Male"/>
  </r>
  <r>
    <s v="TX501248"/>
    <s v="Sneakers"/>
    <n v="5"/>
    <n v="117.2"/>
    <n v="586"/>
    <x v="48"/>
    <d v="2025-02-21T00:00:00"/>
    <x v="2"/>
    <x v="4"/>
    <n v="2"/>
    <s v="California"/>
    <s v="Los Angeles County"/>
    <n v="3"/>
    <x v="7"/>
    <s v="Female"/>
  </r>
  <r>
    <s v="TX501249"/>
    <s v="T-Shirts"/>
    <n v="1"/>
    <n v="38.1"/>
    <n v="38.1"/>
    <x v="48"/>
    <d v="2025-02-18T00:00:00"/>
    <x v="1"/>
    <x v="4"/>
    <n v="3"/>
    <s v="California"/>
    <s v="Los Angeles County"/>
    <n v="0"/>
    <x v="7"/>
    <s v="Male"/>
  </r>
  <r>
    <s v="TX501250"/>
    <s v="Shorts"/>
    <n v="2"/>
    <n v="44.1"/>
    <n v="88.2"/>
    <x v="48"/>
    <d v="2025-02-20T00:00:00"/>
    <x v="2"/>
    <x v="2"/>
    <n v="4"/>
    <s v="California"/>
    <s v="Los Angeles County"/>
    <n v="2"/>
    <x v="7"/>
    <s v="Female"/>
  </r>
  <r>
    <s v="TX501251"/>
    <s v="Crop Tops"/>
    <n v="4"/>
    <n v="80.5"/>
    <n v="322"/>
    <x v="48"/>
    <d v="2025-02-23T00:00:00"/>
    <x v="1"/>
    <x v="0"/>
    <n v="4"/>
    <s v="California"/>
    <s v="Los Angeles County"/>
    <n v="5"/>
    <x v="7"/>
    <s v="Male"/>
  </r>
  <r>
    <s v="TX501252"/>
    <s v="Leggings"/>
    <n v="4"/>
    <n v="33.6"/>
    <n v="134.4"/>
    <x v="48"/>
    <d v="2025-02-23T00:00:00"/>
    <x v="0"/>
    <x v="0"/>
    <n v="5"/>
    <s v="California"/>
    <s v="Los Angeles County"/>
    <n v="5"/>
    <x v="7"/>
    <s v="Unknown"/>
  </r>
  <r>
    <s v="TX501253"/>
    <s v="Sundresses"/>
    <n v="9"/>
    <n v="41.8"/>
    <n v="376.2"/>
    <x v="48"/>
    <d v="2025-02-19T00:00:00"/>
    <x v="2"/>
    <x v="0"/>
    <n v="3"/>
    <s v="California"/>
    <s v="Los Angeles County"/>
    <n v="1"/>
    <x v="7"/>
    <s v="Female"/>
  </r>
  <r>
    <s v="TX501254"/>
    <s v="Tank Tops"/>
    <n v="2"/>
    <n v="106.2"/>
    <n v="212.4"/>
    <x v="48"/>
    <d v="2025-02-18T00:00:00"/>
    <x v="2"/>
    <x v="4"/>
    <n v="5"/>
    <s v="California"/>
    <s v="Los Angeles County"/>
    <n v="0"/>
    <x v="7"/>
    <s v="Female"/>
  </r>
  <r>
    <s v="TX501255"/>
    <s v="Tank Tops"/>
    <n v="2"/>
    <n v="52.6"/>
    <n v="105.2"/>
    <x v="48"/>
    <d v="2025-02-19T00:00:00"/>
    <x v="2"/>
    <x v="0"/>
    <n v="5"/>
    <s v="California"/>
    <s v="Placer County"/>
    <n v="1"/>
    <x v="7"/>
    <s v="Female"/>
  </r>
  <r>
    <s v="TX501256"/>
    <s v="Maxi Dresses"/>
    <n v="7"/>
    <n v="68.5"/>
    <n v="479.5"/>
    <x v="48"/>
    <d v="2025-02-19T00:00:00"/>
    <x v="2"/>
    <x v="1"/>
    <n v="4"/>
    <s v="California"/>
    <s v="Placer County"/>
    <n v="1"/>
    <x v="7"/>
    <s v="Female"/>
  </r>
  <r>
    <s v="TX501257"/>
    <s v="Tank Tops"/>
    <n v="2"/>
    <n v="55.6"/>
    <n v="111.2"/>
    <x v="48"/>
    <d v="2025-02-20T00:00:00"/>
    <x v="1"/>
    <x v="1"/>
    <n v="5"/>
    <s v="California"/>
    <s v="Sacramento County"/>
    <n v="2"/>
    <x v="7"/>
    <s v="Male"/>
  </r>
  <r>
    <s v="TX501258"/>
    <s v="Sneakers"/>
    <n v="3"/>
    <n v="134.9"/>
    <n v="404.70000000000005"/>
    <x v="48"/>
    <d v="2025-02-19T00:00:00"/>
    <x v="1"/>
    <x v="1"/>
    <n v="3"/>
    <s v="California"/>
    <s v="Sacramento County"/>
    <n v="1"/>
    <x v="7"/>
    <s v="Male"/>
  </r>
  <r>
    <s v="TX501259"/>
    <s v="Bikinis"/>
    <n v="5"/>
    <n v="42.6"/>
    <n v="213"/>
    <x v="48"/>
    <d v="2025-02-19T00:00:00"/>
    <x v="1"/>
    <x v="0"/>
    <n v="4"/>
    <s v="California"/>
    <s v="Sacramento County"/>
    <n v="1"/>
    <x v="7"/>
    <s v="Male"/>
  </r>
  <r>
    <s v="TX501260"/>
    <s v="Hoodies &amp; Sweatshirts"/>
    <n v="5"/>
    <n v="60.6"/>
    <n v="303"/>
    <x v="48"/>
    <d v="2025-02-20T00:00:00"/>
    <x v="1"/>
    <x v="4"/>
    <n v="4"/>
    <s v="California"/>
    <s v="Sacramento County"/>
    <n v="2"/>
    <x v="7"/>
    <s v="Male"/>
  </r>
  <r>
    <s v="TX501261"/>
    <s v="T-Shirts"/>
    <n v="2"/>
    <n v="43.5"/>
    <n v="87"/>
    <x v="48"/>
    <d v="2025-02-19T00:00:00"/>
    <x v="1"/>
    <x v="4"/>
    <n v="4"/>
    <s v="California"/>
    <s v="San Bernardino County"/>
    <n v="1"/>
    <x v="7"/>
    <s v="Male"/>
  </r>
  <r>
    <s v="TX501262"/>
    <s v="Sneakers"/>
    <n v="2"/>
    <n v="187.1"/>
    <n v="374.2"/>
    <x v="48"/>
    <d v="2025-02-19T00:00:00"/>
    <x v="1"/>
    <x v="1"/>
    <n v="5"/>
    <s v="California"/>
    <s v="San Diego County"/>
    <n v="1"/>
    <x v="7"/>
    <s v="Male"/>
  </r>
  <r>
    <s v="TX501263"/>
    <s v="Sundresses"/>
    <n v="3"/>
    <n v="32"/>
    <n v="96"/>
    <x v="48"/>
    <d v="2025-02-20T00:00:00"/>
    <x v="1"/>
    <x v="0"/>
    <n v="4"/>
    <s v="California"/>
    <s v="San Diego County"/>
    <n v="2"/>
    <x v="7"/>
    <s v="Male"/>
  </r>
  <r>
    <s v="TX501264"/>
    <s v="Sundresses"/>
    <n v="2"/>
    <n v="110.8"/>
    <n v="221.6"/>
    <x v="48"/>
    <d v="2025-02-18T00:00:00"/>
    <x v="1"/>
    <x v="0"/>
    <n v="5"/>
    <s v="California"/>
    <s v="San Diego County"/>
    <n v="0"/>
    <x v="7"/>
    <s v="Male"/>
  </r>
  <r>
    <s v="TX501265"/>
    <s v="Bikinis"/>
    <n v="13"/>
    <n v="36.1"/>
    <n v="469.3"/>
    <x v="48"/>
    <d v="2025-02-21T00:00:00"/>
    <x v="2"/>
    <x v="0"/>
    <n v="3"/>
    <s v="California"/>
    <s v="San Diego County"/>
    <n v="3"/>
    <x v="7"/>
    <s v="Female"/>
  </r>
  <r>
    <s v="TX501266"/>
    <s v="Shorts"/>
    <n v="1"/>
    <n v="24.1"/>
    <n v="24.1"/>
    <x v="48"/>
    <d v="2025-02-20T00:00:00"/>
    <x v="2"/>
    <x v="4"/>
    <n v="5"/>
    <s v="California"/>
    <s v="San Diego County"/>
    <n v="2"/>
    <x v="7"/>
    <s v="Female"/>
  </r>
  <r>
    <s v="TX501267"/>
    <s v="Jewelry"/>
    <n v="3"/>
    <n v="30.5"/>
    <n v="91.5"/>
    <x v="48"/>
    <d v="2025-02-20T00:00:00"/>
    <x v="1"/>
    <x v="1"/>
    <n v="4"/>
    <s v="California"/>
    <s v="San Diego County"/>
    <n v="2"/>
    <x v="7"/>
    <s v="Male"/>
  </r>
  <r>
    <s v="TX501268"/>
    <s v="Leggings"/>
    <n v="6"/>
    <n v="68.3"/>
    <n v="409.79999999999995"/>
    <x v="48"/>
    <d v="2025-02-21T00:00:00"/>
    <x v="1"/>
    <x v="0"/>
    <n v="4"/>
    <s v="California"/>
    <s v="San Diego County"/>
    <n v="3"/>
    <x v="7"/>
    <s v="Male"/>
  </r>
  <r>
    <s v="TX501269"/>
    <s v="Hoodies &amp; Sweatshirts"/>
    <n v="3"/>
    <n v="43.3"/>
    <n v="129.89999999999998"/>
    <x v="48"/>
    <d v="2025-02-22T00:00:00"/>
    <x v="2"/>
    <x v="0"/>
    <n v="4"/>
    <s v="California"/>
    <s v="San Francisco"/>
    <n v="4"/>
    <x v="7"/>
    <s v="Female"/>
  </r>
  <r>
    <s v="TX501270"/>
    <s v="Workout Tops"/>
    <n v="1"/>
    <n v="101.7"/>
    <n v="101.7"/>
    <x v="48"/>
    <d v="2025-02-21T00:00:00"/>
    <x v="2"/>
    <x v="0"/>
    <n v="3"/>
    <s v="California"/>
    <s v="San Francisco"/>
    <n v="3"/>
    <x v="7"/>
    <s v="Female"/>
  </r>
  <r>
    <s v="TX501271"/>
    <s v="Maxi Dresses"/>
    <n v="2"/>
    <n v="54.2"/>
    <n v="108.4"/>
    <x v="48"/>
    <d v="2025-02-19T00:00:00"/>
    <x v="2"/>
    <x v="0"/>
    <n v="3"/>
    <s v="California"/>
    <s v="San Francisco"/>
    <n v="1"/>
    <x v="7"/>
    <s v="Female"/>
  </r>
  <r>
    <s v="TX501272"/>
    <s v="Sunglasses"/>
    <n v="2"/>
    <n v="51"/>
    <n v="102"/>
    <x v="48"/>
    <d v="2025-02-18T00:00:00"/>
    <x v="1"/>
    <x v="1"/>
    <n v="4"/>
    <s v="California"/>
    <s v="San Joaquin County"/>
    <n v="0"/>
    <x v="7"/>
    <s v="Male"/>
  </r>
  <r>
    <s v="TX501273"/>
    <s v="Graphic Tees"/>
    <n v="2"/>
    <n v="23.1"/>
    <n v="46.2"/>
    <x v="48"/>
    <d v="2025-02-21T00:00:00"/>
    <x v="1"/>
    <x v="1"/>
    <n v="4"/>
    <s v="California"/>
    <s v="Santa Barbara County"/>
    <n v="3"/>
    <x v="7"/>
    <s v="Male"/>
  </r>
  <r>
    <s v="TX501274"/>
    <s v="Casual Dresses"/>
    <n v="6"/>
    <n v="60.1"/>
    <n v="360.6"/>
    <x v="48"/>
    <d v="2025-02-18T00:00:00"/>
    <x v="2"/>
    <x v="3"/>
    <n v="4"/>
    <s v="California"/>
    <s v="Santa Clara County"/>
    <n v="0"/>
    <x v="7"/>
    <s v="Female"/>
  </r>
  <r>
    <s v="TX501275"/>
    <s v="Sneakers"/>
    <n v="7"/>
    <n v="87.5"/>
    <n v="612.5"/>
    <x v="48"/>
    <d v="2025-02-20T00:00:00"/>
    <x v="2"/>
    <x v="0"/>
    <n v="3"/>
    <s v="California"/>
    <s v="Santa Clara County"/>
    <n v="2"/>
    <x v="7"/>
    <s v="Female"/>
  </r>
  <r>
    <s v="TX501276"/>
    <s v="Tank Tops"/>
    <n v="3"/>
    <n v="51"/>
    <n v="153"/>
    <x v="48"/>
    <d v="2025-02-19T00:00:00"/>
    <x v="2"/>
    <x v="1"/>
    <n v="4"/>
    <s v="California"/>
    <s v="Santa Clara County"/>
    <n v="1"/>
    <x v="7"/>
    <s v="Female"/>
  </r>
  <r>
    <s v="TX501277"/>
    <s v="T-Shirts"/>
    <n v="4"/>
    <n v="19.2"/>
    <n v="76.8"/>
    <x v="48"/>
    <d v="2025-02-20T00:00:00"/>
    <x v="2"/>
    <x v="0"/>
    <n v="4"/>
    <s v="California"/>
    <s v="Santa Clara County"/>
    <n v="2"/>
    <x v="7"/>
    <s v="Female"/>
  </r>
  <r>
    <s v="TX501278"/>
    <s v="Sandals"/>
    <n v="8"/>
    <n v="26.5"/>
    <n v="212"/>
    <x v="48"/>
    <d v="2025-02-19T00:00:00"/>
    <x v="0"/>
    <x v="3"/>
    <n v="5"/>
    <s v="California"/>
    <s v="Santa Clara County"/>
    <n v="1"/>
    <x v="7"/>
    <s v="Unknown"/>
  </r>
  <r>
    <s v="TX501279"/>
    <s v="Sneakers"/>
    <n v="2"/>
    <n v="220.3"/>
    <n v="440.6"/>
    <x v="48"/>
    <d v="2025-02-19T00:00:00"/>
    <x v="2"/>
    <x v="1"/>
    <n v="2"/>
    <s v="California"/>
    <s v="Shasta County"/>
    <n v="1"/>
    <x v="7"/>
    <s v="Female"/>
  </r>
  <r>
    <s v="TX501280"/>
    <s v="T-Shirts"/>
    <n v="3"/>
    <n v="45.7"/>
    <n v="137.10000000000002"/>
    <x v="48"/>
    <d v="2025-02-19T00:00:00"/>
    <x v="2"/>
    <x v="4"/>
    <n v="4"/>
    <s v="California"/>
    <s v="Siskiyou County"/>
    <n v="1"/>
    <x v="7"/>
    <s v="Female"/>
  </r>
  <r>
    <s v="TX501281"/>
    <s v="Sandals"/>
    <n v="5"/>
    <n v="47.1"/>
    <n v="235.5"/>
    <x v="48"/>
    <d v="2025-02-22T00:00:00"/>
    <x v="2"/>
    <x v="3"/>
    <n v="4"/>
    <s v="California"/>
    <s v="Ventura County"/>
    <n v="4"/>
    <x v="7"/>
    <s v="Female"/>
  </r>
  <r>
    <s v="TX501282"/>
    <s v="Tank Tops"/>
    <n v="5"/>
    <n v="81.7"/>
    <n v="408.5"/>
    <x v="48"/>
    <d v="2025-02-19T00:00:00"/>
    <x v="2"/>
    <x v="0"/>
    <n v="5"/>
    <s v="California"/>
    <s v="Alameda County"/>
    <n v="1"/>
    <x v="7"/>
    <s v="Female"/>
  </r>
  <r>
    <s v="TX501283"/>
    <s v="Jeans"/>
    <n v="10"/>
    <n v="97.8"/>
    <n v="978"/>
    <x v="48"/>
    <d v="2025-02-18T00:00:00"/>
    <x v="1"/>
    <x v="1"/>
    <n v="3"/>
    <s v="California"/>
    <s v="Alameda County"/>
    <n v="0"/>
    <x v="7"/>
    <s v="Male"/>
  </r>
  <r>
    <s v="TX501284"/>
    <s v="Jeans"/>
    <n v="3"/>
    <n v="42.4"/>
    <n v="127.19999999999999"/>
    <x v="48"/>
    <d v="2025-02-19T00:00:00"/>
    <x v="2"/>
    <x v="0"/>
    <n v="5"/>
    <s v="California"/>
    <s v="Colusa County"/>
    <n v="1"/>
    <x v="7"/>
    <s v="Female"/>
  </r>
  <r>
    <s v="TX501285"/>
    <s v="Sneakers"/>
    <n v="10"/>
    <n v="74.5"/>
    <n v="745"/>
    <x v="48"/>
    <d v="2025-02-19T00:00:00"/>
    <x v="1"/>
    <x v="2"/>
    <n v="3"/>
    <s v="California"/>
    <s v="Contra Costa County"/>
    <n v="1"/>
    <x v="7"/>
    <s v="Male"/>
  </r>
  <r>
    <s v="TX501286"/>
    <s v="Pajama Sets"/>
    <n v="6"/>
    <n v="47.4"/>
    <n v="284.39999999999998"/>
    <x v="48"/>
    <d v="2025-02-19T00:00:00"/>
    <x v="1"/>
    <x v="1"/>
    <n v="4"/>
    <s v="California"/>
    <s v="Contra Costa County"/>
    <n v="1"/>
    <x v="7"/>
    <s v="Male"/>
  </r>
  <r>
    <s v="TX501287"/>
    <s v="Baseball Caps"/>
    <n v="3"/>
    <n v="17.3"/>
    <n v="51.900000000000006"/>
    <x v="49"/>
    <d v="2025-02-22T00:00:00"/>
    <x v="1"/>
    <x v="2"/>
    <n v="5"/>
    <s v="California"/>
    <s v="Contra Costa County"/>
    <n v="3"/>
    <x v="7"/>
    <s v="Male"/>
  </r>
  <r>
    <s v="TX501288"/>
    <s v="Casual Dresses"/>
    <n v="4"/>
    <n v="77.900000000000006"/>
    <n v="311.60000000000002"/>
    <x v="49"/>
    <d v="2025-02-20T00:00:00"/>
    <x v="1"/>
    <x v="1"/>
    <n v="4"/>
    <s v="California"/>
    <s v="Fresno County"/>
    <n v="1"/>
    <x v="7"/>
    <s v="Male"/>
  </r>
  <r>
    <s v="TX501289"/>
    <s v="T-Shirts"/>
    <n v="1"/>
    <n v="29.1"/>
    <n v="29.1"/>
    <x v="49"/>
    <d v="2025-02-22T00:00:00"/>
    <x v="1"/>
    <x v="0"/>
    <n v="5"/>
    <s v="California"/>
    <s v="Lake County"/>
    <n v="3"/>
    <x v="7"/>
    <s v="Male"/>
  </r>
  <r>
    <s v="TX501290"/>
    <s v="T-Shirts"/>
    <n v="1"/>
    <n v="49"/>
    <n v="49"/>
    <x v="49"/>
    <d v="2025-02-20T00:00:00"/>
    <x v="1"/>
    <x v="1"/>
    <n v="4"/>
    <s v="California"/>
    <s v="Los Angeles County"/>
    <n v="1"/>
    <x v="7"/>
    <s v="Male"/>
  </r>
  <r>
    <s v="TX501291"/>
    <s v="T-Shirts"/>
    <n v="6"/>
    <n v="21.1"/>
    <n v="126.60000000000001"/>
    <x v="49"/>
    <d v="2025-02-26T00:00:00"/>
    <x v="1"/>
    <x v="0"/>
    <n v="5"/>
    <s v="California"/>
    <s v="Los Angeles County"/>
    <n v="7"/>
    <x v="7"/>
    <s v="Male"/>
  </r>
  <r>
    <s v="TX501292"/>
    <s v="Graphic Tees"/>
    <n v="19"/>
    <n v="36.9"/>
    <n v="701.1"/>
    <x v="49"/>
    <d v="2025-02-19T00:00:00"/>
    <x v="2"/>
    <x v="0"/>
    <n v="4"/>
    <s v="California"/>
    <s v="Los Angeles County"/>
    <n v="0"/>
    <x v="7"/>
    <s v="Female"/>
  </r>
  <r>
    <s v="TX501293"/>
    <s v="Tank Tops"/>
    <n v="10"/>
    <n v="92.6"/>
    <n v="926"/>
    <x v="49"/>
    <d v="2025-02-24T00:00:00"/>
    <x v="1"/>
    <x v="4"/>
    <n v="5"/>
    <s v="California"/>
    <s v="Los Angeles County"/>
    <n v="5"/>
    <x v="7"/>
    <s v="Male"/>
  </r>
  <r>
    <s v="TX501294"/>
    <s v="Bikinis"/>
    <n v="2"/>
    <n v="38"/>
    <n v="76"/>
    <x v="49"/>
    <d v="2025-02-20T00:00:00"/>
    <x v="1"/>
    <x v="1"/>
    <n v="3"/>
    <s v="California"/>
    <s v="Los Angeles County"/>
    <n v="1"/>
    <x v="7"/>
    <s v="Male"/>
  </r>
  <r>
    <s v="TX501295"/>
    <s v="Sandals"/>
    <n v="3"/>
    <n v="54.8"/>
    <n v="164.39999999999998"/>
    <x v="49"/>
    <d v="2025-02-23T00:00:00"/>
    <x v="0"/>
    <x v="0"/>
    <n v="3"/>
    <s v="California"/>
    <s v="Los Angeles County"/>
    <n v="4"/>
    <x v="7"/>
    <s v="Unknown"/>
  </r>
  <r>
    <s v="TX501296"/>
    <s v="Bikinis"/>
    <n v="12"/>
    <n v="56.8"/>
    <n v="681.59999999999991"/>
    <x v="49"/>
    <d v="2025-02-21T00:00:00"/>
    <x v="1"/>
    <x v="1"/>
    <n v="4"/>
    <s v="California"/>
    <s v="Los Angeles County"/>
    <n v="2"/>
    <x v="7"/>
    <s v="Male"/>
  </r>
  <r>
    <s v="TX501297"/>
    <s v="Maxi Dresses"/>
    <n v="33"/>
    <n v="47.2"/>
    <n v="1557.6000000000001"/>
    <x v="49"/>
    <d v="2025-02-22T00:00:00"/>
    <x v="2"/>
    <x v="1"/>
    <n v="4"/>
    <s v="California"/>
    <s v="Los Angeles County"/>
    <n v="3"/>
    <x v="7"/>
    <s v="Female"/>
  </r>
  <r>
    <s v="TX501298"/>
    <s v="Hoodies &amp; Sweatshirts"/>
    <n v="6"/>
    <n v="45.1"/>
    <n v="270.60000000000002"/>
    <x v="49"/>
    <d v="2025-02-20T00:00:00"/>
    <x v="2"/>
    <x v="2"/>
    <n v="4"/>
    <s v="California"/>
    <s v="Marin County"/>
    <n v="1"/>
    <x v="7"/>
    <s v="Female"/>
  </r>
  <r>
    <s v="TX501299"/>
    <s v="Graphic Tees"/>
    <n v="12"/>
    <n v="25.2"/>
    <n v="302.39999999999998"/>
    <x v="49"/>
    <d v="2025-02-24T00:00:00"/>
    <x v="2"/>
    <x v="2"/>
    <n v="4"/>
    <s v="California"/>
    <s v="Napa County"/>
    <n v="5"/>
    <x v="7"/>
    <s v="Female"/>
  </r>
  <r>
    <s v="TX501300"/>
    <s v="T-Shirts"/>
    <n v="1"/>
    <n v="22"/>
    <n v="22"/>
    <x v="49"/>
    <d v="2025-02-20T00:00:00"/>
    <x v="2"/>
    <x v="0"/>
    <n v="4"/>
    <s v="California"/>
    <s v="Placer County"/>
    <n v="1"/>
    <x v="7"/>
    <s v="Female"/>
  </r>
  <r>
    <s v="TX501301"/>
    <s v="Jeans"/>
    <n v="2"/>
    <n v="42.2"/>
    <n v="84.4"/>
    <x v="49"/>
    <d v="2025-02-20T00:00:00"/>
    <x v="2"/>
    <x v="1"/>
    <n v="3"/>
    <s v="California"/>
    <s v="Riverside County"/>
    <n v="1"/>
    <x v="7"/>
    <s v="Female"/>
  </r>
  <r>
    <s v="TX501302"/>
    <s v="Tote Bags"/>
    <n v="3"/>
    <n v="20.5"/>
    <n v="61.5"/>
    <x v="49"/>
    <d v="2025-02-20T00:00:00"/>
    <x v="1"/>
    <x v="0"/>
    <n v="3"/>
    <s v="California"/>
    <s v="Sacramento County"/>
    <n v="1"/>
    <x v="7"/>
    <s v="Male"/>
  </r>
  <r>
    <s v="TX501303"/>
    <s v="Sneakers"/>
    <n v="1"/>
    <n v="190.4"/>
    <n v="190.4"/>
    <x v="49"/>
    <d v="2025-02-24T00:00:00"/>
    <x v="1"/>
    <x v="1"/>
    <n v="2"/>
    <s v="California"/>
    <s v="Sacramento County"/>
    <n v="5"/>
    <x v="7"/>
    <s v="Male"/>
  </r>
  <r>
    <s v="TX501304"/>
    <s v="Sneakers"/>
    <n v="1"/>
    <n v="121.9"/>
    <n v="121.9"/>
    <x v="49"/>
    <d v="2025-02-21T00:00:00"/>
    <x v="2"/>
    <x v="1"/>
    <n v="5"/>
    <s v="California"/>
    <s v="Sacramento County"/>
    <n v="2"/>
    <x v="7"/>
    <s v="Female"/>
  </r>
  <r>
    <s v="TX501305"/>
    <s v="Sneakers"/>
    <n v="6"/>
    <n v="149.19999999999999"/>
    <n v="895.19999999999993"/>
    <x v="49"/>
    <d v="2025-02-20T00:00:00"/>
    <x v="2"/>
    <x v="2"/>
    <n v="5"/>
    <s v="California"/>
    <s v="San Bernardino County"/>
    <n v="1"/>
    <x v="7"/>
    <s v="Female"/>
  </r>
  <r>
    <s v="TX501306"/>
    <s v="Sneakers"/>
    <n v="1"/>
    <n v="54.1"/>
    <n v="54.1"/>
    <x v="49"/>
    <d v="2025-02-28T00:00:00"/>
    <x v="2"/>
    <x v="2"/>
    <n v="5"/>
    <s v="California"/>
    <s v="San Bernardino County"/>
    <n v="9"/>
    <x v="7"/>
    <s v="Female"/>
  </r>
  <r>
    <s v="TX501307"/>
    <s v="Sandals"/>
    <n v="2"/>
    <n v="27.4"/>
    <n v="54.8"/>
    <x v="49"/>
    <d v="2025-02-21T00:00:00"/>
    <x v="1"/>
    <x v="1"/>
    <n v="4"/>
    <s v="California"/>
    <s v="San Diego County"/>
    <n v="2"/>
    <x v="7"/>
    <s v="Male"/>
  </r>
  <r>
    <s v="TX501308"/>
    <s v="Shorts"/>
    <n v="13"/>
    <n v="30.4"/>
    <n v="395.2"/>
    <x v="49"/>
    <d v="2025-02-20T00:00:00"/>
    <x v="2"/>
    <x v="0"/>
    <n v="5"/>
    <s v="California"/>
    <s v="San Diego County"/>
    <n v="1"/>
    <x v="7"/>
    <s v="Female"/>
  </r>
  <r>
    <s v="TX501309"/>
    <s v="Casual Dresses"/>
    <n v="3"/>
    <n v="46.2"/>
    <n v="138.60000000000002"/>
    <x v="49"/>
    <d v="2025-02-21T00:00:00"/>
    <x v="1"/>
    <x v="2"/>
    <n v="3"/>
    <s v="California"/>
    <s v="San Francisco"/>
    <n v="2"/>
    <x v="7"/>
    <s v="Male"/>
  </r>
  <r>
    <s v="TX501310"/>
    <s v="Hoodies &amp; Sweatshirts"/>
    <n v="8"/>
    <n v="78.599999999999994"/>
    <n v="628.79999999999995"/>
    <x v="49"/>
    <d v="2025-02-23T00:00:00"/>
    <x v="1"/>
    <x v="3"/>
    <n v="4"/>
    <s v="California"/>
    <s v="San Francisco"/>
    <n v="4"/>
    <x v="7"/>
    <s v="Male"/>
  </r>
  <r>
    <s v="TX501311"/>
    <s v="Pajama Sets"/>
    <n v="10"/>
    <n v="25.9"/>
    <n v="259"/>
    <x v="49"/>
    <d v="2025-02-25T00:00:00"/>
    <x v="1"/>
    <x v="4"/>
    <n v="4"/>
    <s v="California"/>
    <s v="San Mateo County"/>
    <n v="6"/>
    <x v="7"/>
    <s v="Male"/>
  </r>
  <r>
    <s v="TX501312"/>
    <s v="Jeans"/>
    <n v="1"/>
    <n v="134.80000000000001"/>
    <n v="134.80000000000001"/>
    <x v="49"/>
    <d v="2025-02-21T00:00:00"/>
    <x v="1"/>
    <x v="2"/>
    <n v="5"/>
    <s v="California"/>
    <s v="San Mateo County"/>
    <n v="2"/>
    <x v="7"/>
    <s v="Male"/>
  </r>
  <r>
    <s v="TX501313"/>
    <s v="Crop Tops"/>
    <n v="5"/>
    <n v="43.1"/>
    <n v="215.5"/>
    <x v="49"/>
    <d v="2025-02-21T00:00:00"/>
    <x v="2"/>
    <x v="0"/>
    <n v="4"/>
    <s v="California"/>
    <s v="Santa Clara County"/>
    <n v="2"/>
    <x v="7"/>
    <s v="Female"/>
  </r>
  <r>
    <s v="TX501314"/>
    <s v="Sneakers"/>
    <n v="2"/>
    <n v="215.6"/>
    <n v="431.2"/>
    <x v="49"/>
    <d v="2025-02-20T00:00:00"/>
    <x v="2"/>
    <x v="2"/>
    <n v="4"/>
    <s v="California"/>
    <s v="Sonoma County"/>
    <n v="1"/>
    <x v="7"/>
    <s v="Female"/>
  </r>
  <r>
    <s v="TX501315"/>
    <s v="Jeans"/>
    <n v="2"/>
    <n v="80.7"/>
    <n v="161.4"/>
    <x v="49"/>
    <d v="2025-02-22T00:00:00"/>
    <x v="2"/>
    <x v="3"/>
    <n v="4"/>
    <s v="California"/>
    <s v="Sonoma County"/>
    <n v="3"/>
    <x v="7"/>
    <s v="Female"/>
  </r>
  <r>
    <s v="TX501316"/>
    <s v="Bikinis"/>
    <n v="7"/>
    <n v="20.6"/>
    <n v="144.20000000000002"/>
    <x v="49"/>
    <d v="2025-02-24T00:00:00"/>
    <x v="0"/>
    <x v="2"/>
    <n v="3"/>
    <s v="California"/>
    <s v="Stanislaus County"/>
    <n v="5"/>
    <x v="7"/>
    <s v="Unknown"/>
  </r>
  <r>
    <s v="TX501317"/>
    <s v="Casual Dresses"/>
    <n v="3"/>
    <n v="37.1"/>
    <n v="111.30000000000001"/>
    <x v="49"/>
    <d v="2025-02-20T00:00:00"/>
    <x v="2"/>
    <x v="0"/>
    <n v="4"/>
    <s v="California"/>
    <s v="Tuolumne County"/>
    <n v="1"/>
    <x v="7"/>
    <s v="Female"/>
  </r>
  <r>
    <s v="TX501318"/>
    <s v="Casual Dresses"/>
    <n v="1"/>
    <n v="104.8"/>
    <n v="104.8"/>
    <x v="50"/>
    <d v="2025-02-22T00:00:00"/>
    <x v="2"/>
    <x v="0"/>
    <n v="4"/>
    <s v="California"/>
    <s v="Ventura County"/>
    <n v="2"/>
    <x v="7"/>
    <s v="Female"/>
  </r>
  <r>
    <s v="TX501319"/>
    <s v="T-Shirts"/>
    <n v="2"/>
    <n v="59"/>
    <n v="118"/>
    <x v="50"/>
    <d v="2025-02-21T00:00:00"/>
    <x v="1"/>
    <x v="1"/>
    <n v="4"/>
    <s v="California"/>
    <s v="Alameda County"/>
    <n v="1"/>
    <x v="7"/>
    <s v="Male"/>
  </r>
  <r>
    <s v="TX501320"/>
    <s v="T-Shirts"/>
    <n v="2"/>
    <n v="32.299999999999997"/>
    <n v="64.599999999999994"/>
    <x v="50"/>
    <d v="2025-02-21T00:00:00"/>
    <x v="1"/>
    <x v="0"/>
    <n v="5"/>
    <s v="California"/>
    <s v="Alameda County"/>
    <n v="1"/>
    <x v="7"/>
    <s v="Male"/>
  </r>
  <r>
    <s v="TX501321"/>
    <s v="T-Shirts"/>
    <n v="4"/>
    <n v="28.9"/>
    <n v="115.6"/>
    <x v="50"/>
    <d v="2025-02-27T00:00:00"/>
    <x v="1"/>
    <x v="0"/>
    <n v="4"/>
    <s v="California"/>
    <s v="Contra Costa County"/>
    <n v="7"/>
    <x v="7"/>
    <s v="Male"/>
  </r>
  <r>
    <s v="TX501322"/>
    <s v="Shorts"/>
    <n v="2"/>
    <n v="29.6"/>
    <n v="59.2"/>
    <x v="50"/>
    <d v="2025-02-22T00:00:00"/>
    <x v="1"/>
    <x v="0"/>
    <n v="4"/>
    <s v="California"/>
    <s v="Contra Costa County"/>
    <n v="2"/>
    <x v="7"/>
    <s v="Male"/>
  </r>
  <r>
    <s v="TX501323"/>
    <s v="Shorts"/>
    <n v="5"/>
    <n v="29.4"/>
    <n v="147"/>
    <x v="50"/>
    <d v="2025-02-23T00:00:00"/>
    <x v="2"/>
    <x v="0"/>
    <n v="4"/>
    <s v="California"/>
    <s v="Contra Costa County"/>
    <n v="3"/>
    <x v="7"/>
    <s v="Female"/>
  </r>
  <r>
    <s v="TX501324"/>
    <s v="Tank Tops"/>
    <n v="2"/>
    <n v="40.6"/>
    <n v="81.2"/>
    <x v="50"/>
    <d v="2025-02-21T00:00:00"/>
    <x v="1"/>
    <x v="0"/>
    <n v="2"/>
    <s v="California"/>
    <s v="Fresno County"/>
    <n v="1"/>
    <x v="7"/>
    <s v="Male"/>
  </r>
  <r>
    <s v="TX501325"/>
    <s v="Shorts"/>
    <n v="3"/>
    <n v="32.5"/>
    <n v="97.5"/>
    <x v="50"/>
    <d v="2025-02-21T00:00:00"/>
    <x v="1"/>
    <x v="3"/>
    <n v="5"/>
    <s v="California"/>
    <s v="Kern County"/>
    <n v="1"/>
    <x v="7"/>
    <s v="Male"/>
  </r>
  <r>
    <s v="TX501326"/>
    <s v="Crop Tops"/>
    <n v="1"/>
    <n v="26.2"/>
    <n v="26.2"/>
    <x v="50"/>
    <d v="2025-02-22T00:00:00"/>
    <x v="1"/>
    <x v="2"/>
    <n v="4"/>
    <s v="California"/>
    <s v="Lassen County"/>
    <n v="2"/>
    <x v="7"/>
    <s v="Male"/>
  </r>
  <r>
    <s v="TX501327"/>
    <s v="Bikinis"/>
    <n v="30"/>
    <n v="44"/>
    <n v="1320"/>
    <x v="50"/>
    <d v="2025-02-26T00:00:00"/>
    <x v="1"/>
    <x v="4"/>
    <n v="4"/>
    <s v="California"/>
    <s v="Los Angeles County"/>
    <n v="6"/>
    <x v="7"/>
    <s v="Male"/>
  </r>
  <r>
    <s v="TX501328"/>
    <s v="Hoodies &amp; Sweatshirts"/>
    <n v="4"/>
    <n v="65.599999999999994"/>
    <n v="262.39999999999998"/>
    <x v="50"/>
    <d v="2025-02-21T00:00:00"/>
    <x v="2"/>
    <x v="1"/>
    <n v="3"/>
    <s v="California"/>
    <s v="Los Angeles County"/>
    <n v="1"/>
    <x v="7"/>
    <s v="Female"/>
  </r>
  <r>
    <s v="TX501329"/>
    <s v="Sandals"/>
    <n v="12"/>
    <n v="32.6"/>
    <n v="391.20000000000005"/>
    <x v="50"/>
    <d v="2025-02-21T00:00:00"/>
    <x v="1"/>
    <x v="4"/>
    <n v="4"/>
    <s v="California"/>
    <s v="Los Angeles County"/>
    <n v="1"/>
    <x v="7"/>
    <s v="Male"/>
  </r>
  <r>
    <s v="TX501330"/>
    <s v="Sunglasses"/>
    <n v="2"/>
    <n v="88.7"/>
    <n v="177.4"/>
    <x v="50"/>
    <d v="2025-02-21T00:00:00"/>
    <x v="0"/>
    <x v="3"/>
    <n v="5"/>
    <s v="California"/>
    <s v="Los Angeles County"/>
    <n v="1"/>
    <x v="7"/>
    <s v="Unknown"/>
  </r>
  <r>
    <s v="TX501331"/>
    <s v="Graphic Tees"/>
    <n v="2"/>
    <n v="21.3"/>
    <n v="42.6"/>
    <x v="50"/>
    <d v="2025-02-21T00:00:00"/>
    <x v="1"/>
    <x v="0"/>
    <n v="4"/>
    <s v="California"/>
    <s v="Los Angeles County"/>
    <n v="1"/>
    <x v="7"/>
    <s v="Male"/>
  </r>
  <r>
    <s v="TX501332"/>
    <s v="Graphic Tees"/>
    <n v="6"/>
    <n v="50.6"/>
    <n v="303.60000000000002"/>
    <x v="50"/>
    <d v="2025-02-24T00:00:00"/>
    <x v="2"/>
    <x v="2"/>
    <n v="4"/>
    <s v="California"/>
    <s v="Los Angeles County"/>
    <n v="4"/>
    <x v="7"/>
    <s v="Female"/>
  </r>
  <r>
    <s v="TX501333"/>
    <s v="Sundresses"/>
    <n v="21"/>
    <n v="86.9"/>
    <n v="1824.9"/>
    <x v="50"/>
    <d v="2025-02-23T00:00:00"/>
    <x v="2"/>
    <x v="0"/>
    <n v="3"/>
    <s v="California"/>
    <s v="Los Angeles County"/>
    <n v="3"/>
    <x v="7"/>
    <s v="Female"/>
  </r>
  <r>
    <s v="TX501334"/>
    <s v="Maxi Dresses"/>
    <n v="3"/>
    <n v="31.8"/>
    <n v="95.4"/>
    <x v="50"/>
    <d v="2025-02-22T00:00:00"/>
    <x v="1"/>
    <x v="0"/>
    <n v="5"/>
    <s v="California"/>
    <s v="Los Angeles County"/>
    <n v="2"/>
    <x v="7"/>
    <s v="Male"/>
  </r>
  <r>
    <s v="TX501335"/>
    <s v="T-Shirts"/>
    <n v="1"/>
    <n v="19"/>
    <n v="19"/>
    <x v="50"/>
    <d v="2025-02-21T00:00:00"/>
    <x v="2"/>
    <x v="0"/>
    <n v="5"/>
    <s v="California"/>
    <s v="Los Angeles County"/>
    <n v="1"/>
    <x v="7"/>
    <s v="Female"/>
  </r>
  <r>
    <s v="TX501336"/>
    <s v="Sandals"/>
    <n v="1"/>
    <n v="54.5"/>
    <n v="54.5"/>
    <x v="50"/>
    <d v="2025-02-22T00:00:00"/>
    <x v="1"/>
    <x v="0"/>
    <n v="4"/>
    <s v="California"/>
    <s v="Los Angeles County"/>
    <n v="2"/>
    <x v="7"/>
    <s v="Male"/>
  </r>
  <r>
    <s v="TX501337"/>
    <s v="Sundresses"/>
    <n v="5"/>
    <n v="68.900000000000006"/>
    <n v="344.5"/>
    <x v="50"/>
    <d v="2025-02-22T00:00:00"/>
    <x v="1"/>
    <x v="4"/>
    <n v="3"/>
    <s v="California"/>
    <s v="Los Angeles County"/>
    <n v="2"/>
    <x v="7"/>
    <s v="Male"/>
  </r>
  <r>
    <s v="TX501338"/>
    <s v="Jeans"/>
    <n v="3"/>
    <n v="84"/>
    <n v="252"/>
    <x v="50"/>
    <d v="2025-02-21T00:00:00"/>
    <x v="1"/>
    <x v="1"/>
    <n v="2"/>
    <s v="California"/>
    <s v="Napa County"/>
    <n v="1"/>
    <x v="7"/>
    <s v="Male"/>
  </r>
  <r>
    <s v="TX501339"/>
    <s v="Crop Tops"/>
    <n v="8"/>
    <n v="23.1"/>
    <n v="184.8"/>
    <x v="50"/>
    <d v="2025-02-25T00:00:00"/>
    <x v="1"/>
    <x v="0"/>
    <n v="5"/>
    <s v="California"/>
    <s v="Riverside County"/>
    <n v="5"/>
    <x v="7"/>
    <s v="Male"/>
  </r>
  <r>
    <s v="TX501340"/>
    <s v="Hoodies &amp; Sweatshirts"/>
    <n v="2"/>
    <n v="62.4"/>
    <n v="124.8"/>
    <x v="50"/>
    <d v="2025-02-21T00:00:00"/>
    <x v="2"/>
    <x v="0"/>
    <n v="3"/>
    <s v="California"/>
    <s v="Sacramento County"/>
    <n v="1"/>
    <x v="7"/>
    <s v="Female"/>
  </r>
  <r>
    <s v="TX501341"/>
    <s v="Jeans"/>
    <n v="12"/>
    <n v="40.700000000000003"/>
    <n v="488.40000000000003"/>
    <x v="50"/>
    <d v="2025-02-22T00:00:00"/>
    <x v="1"/>
    <x v="1"/>
    <n v="5"/>
    <s v="California"/>
    <s v="Sacramento County"/>
    <n v="2"/>
    <x v="7"/>
    <s v="Male"/>
  </r>
  <r>
    <s v="TX501342"/>
    <s v="Jeans"/>
    <n v="1"/>
    <n v="49.6"/>
    <n v="49.6"/>
    <x v="50"/>
    <d v="2025-02-23T00:00:00"/>
    <x v="1"/>
    <x v="2"/>
    <n v="4"/>
    <s v="California"/>
    <s v="San Bernardino County"/>
    <n v="3"/>
    <x v="7"/>
    <s v="Male"/>
  </r>
  <r>
    <s v="TX501343"/>
    <s v="Hoodies &amp; Sweatshirts"/>
    <n v="45"/>
    <n v="66.599999999999994"/>
    <n v="2996.9999999999995"/>
    <x v="50"/>
    <d v="2025-02-23T00:00:00"/>
    <x v="1"/>
    <x v="2"/>
    <n v="4"/>
    <s v="California"/>
    <s v="San Diego County"/>
    <n v="3"/>
    <x v="7"/>
    <s v="Male"/>
  </r>
  <r>
    <s v="TX501344"/>
    <s v="T-Shirts"/>
    <n v="3"/>
    <n v="26.4"/>
    <n v="79.199999999999989"/>
    <x v="50"/>
    <d v="2025-02-21T00:00:00"/>
    <x v="2"/>
    <x v="1"/>
    <n v="3"/>
    <s v="California"/>
    <s v="San Diego County"/>
    <n v="1"/>
    <x v="7"/>
    <s v="Female"/>
  </r>
  <r>
    <s v="TX501345"/>
    <s v="Shorts"/>
    <n v="2"/>
    <n v="17.2"/>
    <n v="34.4"/>
    <x v="50"/>
    <d v="2025-02-23T00:00:00"/>
    <x v="1"/>
    <x v="2"/>
    <n v="3"/>
    <s v="California"/>
    <s v="San Diego County"/>
    <n v="3"/>
    <x v="7"/>
    <s v="Male"/>
  </r>
  <r>
    <s v="TX501346"/>
    <s v="Sandals"/>
    <n v="8"/>
    <n v="58.1"/>
    <n v="464.8"/>
    <x v="50"/>
    <d v="2025-02-23T00:00:00"/>
    <x v="2"/>
    <x v="4"/>
    <n v="4"/>
    <s v="California"/>
    <s v="San Diego County"/>
    <n v="3"/>
    <x v="7"/>
    <s v="Female"/>
  </r>
  <r>
    <s v="TX501347"/>
    <s v="Crop Tops"/>
    <n v="4"/>
    <n v="31.5"/>
    <n v="126"/>
    <x v="50"/>
    <d v="2025-02-23T00:00:00"/>
    <x v="2"/>
    <x v="4"/>
    <n v="2"/>
    <s v="California"/>
    <s v="San Diego County"/>
    <n v="3"/>
    <x v="7"/>
    <s v="Female"/>
  </r>
  <r>
    <s v="TX501348"/>
    <s v="Shorts"/>
    <n v="1"/>
    <n v="27.1"/>
    <n v="27.1"/>
    <x v="50"/>
    <d v="2025-02-22T00:00:00"/>
    <x v="2"/>
    <x v="0"/>
    <n v="3"/>
    <s v="California"/>
    <s v="San Francisco"/>
    <n v="2"/>
    <x v="7"/>
    <s v="Female"/>
  </r>
  <r>
    <s v="TX501349"/>
    <s v="Leggings"/>
    <n v="4"/>
    <n v="28.5"/>
    <n v="114"/>
    <x v="50"/>
    <d v="2025-02-22T00:00:00"/>
    <x v="1"/>
    <x v="1"/>
    <n v="5"/>
    <s v="California"/>
    <s v="San Mateo County"/>
    <n v="2"/>
    <x v="7"/>
    <s v="Male"/>
  </r>
  <r>
    <s v="TX501350"/>
    <s v="Bikinis"/>
    <n v="1"/>
    <n v="40.5"/>
    <n v="40.5"/>
    <x v="51"/>
    <d v="2025-02-23T00:00:00"/>
    <x v="3"/>
    <x v="2"/>
    <n v="4"/>
    <s v="California"/>
    <s v="San Mateo County"/>
    <n v="2"/>
    <x v="7"/>
    <s v="Other"/>
  </r>
  <r>
    <s v="TX501351"/>
    <s v="Sneakers"/>
    <n v="3"/>
    <n v="77.900000000000006"/>
    <n v="233.70000000000002"/>
    <x v="51"/>
    <d v="2025-02-25T00:00:00"/>
    <x v="2"/>
    <x v="1"/>
    <n v="5"/>
    <s v="California"/>
    <s v="Stanislaus County"/>
    <n v="4"/>
    <x v="7"/>
    <s v="Female"/>
  </r>
  <r>
    <s v="TX501352"/>
    <s v="Leggings"/>
    <n v="4"/>
    <n v="37.1"/>
    <n v="148.4"/>
    <x v="51"/>
    <d v="2025-02-23T00:00:00"/>
    <x v="1"/>
    <x v="4"/>
    <n v="5"/>
    <s v="California"/>
    <s v="Stanislaus County"/>
    <n v="2"/>
    <x v="7"/>
    <s v="Male"/>
  </r>
  <r>
    <s v="TX501353"/>
    <s v="Sunglasses"/>
    <n v="3"/>
    <n v="51.6"/>
    <n v="154.80000000000001"/>
    <x v="51"/>
    <d v="2025-03-01T00:00:00"/>
    <x v="2"/>
    <x v="0"/>
    <n v="2"/>
    <s v="California"/>
    <s v="Stanislaus County"/>
    <n v="8"/>
    <x v="7"/>
    <s v="Female"/>
  </r>
  <r>
    <s v="TX501354"/>
    <s v="Hoodies &amp; Sweatshirts"/>
    <n v="3"/>
    <n v="98"/>
    <n v="294"/>
    <x v="51"/>
    <d v="2025-02-22T00:00:00"/>
    <x v="1"/>
    <x v="1"/>
    <n v="3"/>
    <s v="California"/>
    <s v="Stanislaus County"/>
    <n v="1"/>
    <x v="7"/>
    <s v="Male"/>
  </r>
  <r>
    <s v="TX501355"/>
    <s v="Jeans"/>
    <n v="7"/>
    <n v="41.4"/>
    <n v="289.8"/>
    <x v="51"/>
    <d v="2025-02-22T00:00:00"/>
    <x v="1"/>
    <x v="1"/>
    <n v="4"/>
    <s v="California"/>
    <s v="Tulare County"/>
    <n v="1"/>
    <x v="7"/>
    <s v="Male"/>
  </r>
  <r>
    <s v="TX501356"/>
    <s v="Maxi Dresses"/>
    <n v="8"/>
    <n v="34"/>
    <n v="272"/>
    <x v="51"/>
    <d v="2025-02-26T00:00:00"/>
    <x v="2"/>
    <x v="0"/>
    <n v="5"/>
    <s v="California"/>
    <s v="Tuolumne County"/>
    <n v="5"/>
    <x v="7"/>
    <s v="Female"/>
  </r>
  <r>
    <s v="TX501357"/>
    <s v="Jeans"/>
    <n v="1"/>
    <n v="66.3"/>
    <n v="66.3"/>
    <x v="51"/>
    <d v="2025-02-22T00:00:00"/>
    <x v="2"/>
    <x v="1"/>
    <n v="4"/>
    <s v="California"/>
    <s v="Ventura County"/>
    <n v="1"/>
    <x v="7"/>
    <s v="Female"/>
  </r>
  <r>
    <s v="TX501358"/>
    <s v="Hoodies &amp; Sweatshirts"/>
    <n v="1"/>
    <n v="33.5"/>
    <n v="33.5"/>
    <x v="51"/>
    <d v="2025-02-25T00:00:00"/>
    <x v="1"/>
    <x v="2"/>
    <n v="4"/>
    <s v="California"/>
    <s v="Ventura County"/>
    <n v="4"/>
    <x v="7"/>
    <s v="Male"/>
  </r>
  <r>
    <s v="TX501359"/>
    <s v="Casual Dresses"/>
    <n v="2"/>
    <n v="70.8"/>
    <n v="141.6"/>
    <x v="51"/>
    <d v="2025-02-22T00:00:00"/>
    <x v="0"/>
    <x v="0"/>
    <n v="4"/>
    <s v="California"/>
    <s v="Yolo County"/>
    <n v="1"/>
    <x v="7"/>
    <s v="Unknown"/>
  </r>
  <r>
    <s v="TX501360"/>
    <s v="Jeans"/>
    <n v="2"/>
    <n v="127.6"/>
    <n v="255.2"/>
    <x v="51"/>
    <d v="2025-02-22T00:00:00"/>
    <x v="1"/>
    <x v="0"/>
    <n v="4"/>
    <s v="California"/>
    <s v="Alameda County"/>
    <n v="1"/>
    <x v="7"/>
    <s v="Male"/>
  </r>
  <r>
    <s v="TX501361"/>
    <s v="Jeans"/>
    <n v="3"/>
    <n v="95.9"/>
    <n v="287.70000000000005"/>
    <x v="51"/>
    <d v="2025-02-22T00:00:00"/>
    <x v="2"/>
    <x v="1"/>
    <n v="3"/>
    <s v="California"/>
    <s v="Alameda County"/>
    <n v="1"/>
    <x v="7"/>
    <s v="Female"/>
  </r>
  <r>
    <s v="TX501362"/>
    <s v="Sneakers"/>
    <n v="2"/>
    <n v="78.099999999999994"/>
    <n v="156.19999999999999"/>
    <x v="51"/>
    <d v="2025-02-22T00:00:00"/>
    <x v="1"/>
    <x v="0"/>
    <n v="4"/>
    <s v="California"/>
    <s v="Contra Costa County"/>
    <n v="1"/>
    <x v="7"/>
    <s v="Male"/>
  </r>
  <r>
    <s v="TX501363"/>
    <s v="Tote Bags"/>
    <n v="2"/>
    <n v="43.2"/>
    <n v="86.4"/>
    <x v="51"/>
    <d v="2025-02-22T00:00:00"/>
    <x v="0"/>
    <x v="1"/>
    <n v="3"/>
    <s v="California"/>
    <s v="Contra Costa County"/>
    <n v="1"/>
    <x v="7"/>
    <s v="Unknown"/>
  </r>
  <r>
    <s v="TX501364"/>
    <s v="T-Shirts"/>
    <n v="4"/>
    <n v="28.4"/>
    <n v="113.6"/>
    <x v="51"/>
    <d v="2025-02-27T00:00:00"/>
    <x v="1"/>
    <x v="2"/>
    <n v="4"/>
    <s v="California"/>
    <s v="Los Angeles County"/>
    <n v="6"/>
    <x v="7"/>
    <s v="Male"/>
  </r>
  <r>
    <s v="TX501365"/>
    <s v="Sneakers"/>
    <n v="2"/>
    <n v="81.7"/>
    <n v="163.4"/>
    <x v="51"/>
    <d v="2025-02-21T00:00:00"/>
    <x v="1"/>
    <x v="0"/>
    <n v="4"/>
    <s v="California"/>
    <s v="Los Angeles County"/>
    <n v="0"/>
    <x v="7"/>
    <s v="Male"/>
  </r>
  <r>
    <s v="TX501366"/>
    <s v="Leggings"/>
    <n v="2"/>
    <n v="56.7"/>
    <n v="113.4"/>
    <x v="51"/>
    <d v="2025-02-23T00:00:00"/>
    <x v="0"/>
    <x v="0"/>
    <n v="5"/>
    <s v="California"/>
    <s v="Los Angeles County"/>
    <n v="2"/>
    <x v="7"/>
    <s v="Unknown"/>
  </r>
  <r>
    <s v="TX501367"/>
    <s v="Workout Tops"/>
    <n v="4"/>
    <n v="66.5"/>
    <n v="266"/>
    <x v="51"/>
    <d v="2025-02-21T00:00:00"/>
    <x v="2"/>
    <x v="0"/>
    <n v="5"/>
    <s v="California"/>
    <s v="Los Angeles County"/>
    <n v="0"/>
    <x v="7"/>
    <s v="Female"/>
  </r>
  <r>
    <s v="TX501368"/>
    <s v="Tank Tops"/>
    <n v="2"/>
    <n v="105.3"/>
    <n v="210.6"/>
    <x v="51"/>
    <d v="2025-02-25T00:00:00"/>
    <x v="1"/>
    <x v="0"/>
    <n v="3"/>
    <s v="California"/>
    <s v="Los Angeles County"/>
    <n v="4"/>
    <x v="7"/>
    <s v="Male"/>
  </r>
  <r>
    <s v="TX501369"/>
    <s v="Bikinis"/>
    <n v="5"/>
    <n v="33.799999999999997"/>
    <n v="169"/>
    <x v="51"/>
    <d v="2025-02-26T00:00:00"/>
    <x v="1"/>
    <x v="0"/>
    <n v="4"/>
    <s v="California"/>
    <s v="Los Angeles County"/>
    <n v="5"/>
    <x v="7"/>
    <s v="Male"/>
  </r>
  <r>
    <s v="TX501370"/>
    <s v="Jeans"/>
    <n v="3"/>
    <n v="63.4"/>
    <n v="190.2"/>
    <x v="51"/>
    <d v="2025-02-26T00:00:00"/>
    <x v="1"/>
    <x v="3"/>
    <n v="3"/>
    <s v="California"/>
    <s v="Merced County"/>
    <n v="5"/>
    <x v="7"/>
    <s v="Male"/>
  </r>
  <r>
    <s v="TX501371"/>
    <s v="Jeans"/>
    <n v="3"/>
    <n v="49"/>
    <n v="147"/>
    <x v="51"/>
    <d v="2025-02-25T00:00:00"/>
    <x v="1"/>
    <x v="3"/>
    <n v="4"/>
    <s v="California"/>
    <s v="Monterey County"/>
    <n v="4"/>
    <x v="7"/>
    <s v="Male"/>
  </r>
  <r>
    <s v="TX501372"/>
    <s v="Tank Tops"/>
    <n v="2"/>
    <n v="40"/>
    <n v="80"/>
    <x v="51"/>
    <d v="2025-02-22T00:00:00"/>
    <x v="2"/>
    <x v="4"/>
    <n v="3"/>
    <s v="California"/>
    <s v="Riverside County"/>
    <n v="1"/>
    <x v="7"/>
    <s v="Female"/>
  </r>
  <r>
    <s v="TX501373"/>
    <s v="Jeans"/>
    <n v="4"/>
    <n v="86.3"/>
    <n v="345.2"/>
    <x v="51"/>
    <d v="2025-02-22T00:00:00"/>
    <x v="3"/>
    <x v="0"/>
    <n v="4"/>
    <s v="California"/>
    <s v="Sacramento County"/>
    <n v="1"/>
    <x v="7"/>
    <s v="Other"/>
  </r>
  <r>
    <s v="TX501374"/>
    <s v="Jeans"/>
    <n v="1"/>
    <n v="51.6"/>
    <n v="51.6"/>
    <x v="51"/>
    <d v="2025-02-23T00:00:00"/>
    <x v="2"/>
    <x v="2"/>
    <n v="5"/>
    <s v="California"/>
    <s v="Sacramento County"/>
    <n v="2"/>
    <x v="7"/>
    <s v="Female"/>
  </r>
  <r>
    <s v="TX501375"/>
    <s v="Bikinis"/>
    <n v="3"/>
    <n v="26.7"/>
    <n v="80.099999999999994"/>
    <x v="51"/>
    <d v="2025-02-26T00:00:00"/>
    <x v="2"/>
    <x v="2"/>
    <n v="3"/>
    <s v="California"/>
    <s v="Sacramento County"/>
    <n v="5"/>
    <x v="7"/>
    <s v="Female"/>
  </r>
  <r>
    <s v="TX501376"/>
    <s v="Leggings"/>
    <n v="2"/>
    <n v="68.099999999999994"/>
    <n v="136.19999999999999"/>
    <x v="51"/>
    <d v="2025-02-22T00:00:00"/>
    <x v="1"/>
    <x v="0"/>
    <n v="3"/>
    <s v="California"/>
    <s v="Sacramento County"/>
    <n v="1"/>
    <x v="7"/>
    <s v="Male"/>
  </r>
  <r>
    <s v="TX501377"/>
    <s v="Tank Tops"/>
    <n v="1"/>
    <n v="81.7"/>
    <n v="81.7"/>
    <x v="51"/>
    <d v="2025-02-22T00:00:00"/>
    <x v="1"/>
    <x v="0"/>
    <n v="4"/>
    <s v="California"/>
    <s v="San Bernardino County"/>
    <n v="1"/>
    <x v="7"/>
    <s v="Male"/>
  </r>
  <r>
    <s v="TX501378"/>
    <s v="Leggings"/>
    <n v="10"/>
    <n v="25.1"/>
    <n v="251"/>
    <x v="51"/>
    <d v="2025-02-24T00:00:00"/>
    <x v="1"/>
    <x v="3"/>
    <n v="3"/>
    <s v="California"/>
    <s v="San Diego County"/>
    <n v="3"/>
    <x v="7"/>
    <s v="Male"/>
  </r>
  <r>
    <s v="TX501379"/>
    <s v="T-Shirts"/>
    <n v="1"/>
    <n v="20.2"/>
    <n v="20.2"/>
    <x v="51"/>
    <d v="2025-02-25T00:00:00"/>
    <x v="2"/>
    <x v="0"/>
    <n v="4"/>
    <s v="California"/>
    <s v="San Diego County"/>
    <n v="4"/>
    <x v="7"/>
    <s v="Female"/>
  </r>
  <r>
    <s v="TX501380"/>
    <s v="T-Shirts"/>
    <n v="3"/>
    <n v="15.4"/>
    <n v="46.2"/>
    <x v="51"/>
    <d v="2025-02-22T00:00:00"/>
    <x v="1"/>
    <x v="1"/>
    <n v="5"/>
    <s v="California"/>
    <s v="San Diego County"/>
    <n v="1"/>
    <x v="7"/>
    <s v="Male"/>
  </r>
  <r>
    <s v="TX501381"/>
    <s v="Bikinis"/>
    <n v="1"/>
    <n v="59.2"/>
    <n v="59.2"/>
    <x v="51"/>
    <d v="2025-02-22T00:00:00"/>
    <x v="1"/>
    <x v="2"/>
    <n v="5"/>
    <s v="California"/>
    <s v="San Francisco"/>
    <n v="1"/>
    <x v="7"/>
    <s v="Male"/>
  </r>
  <r>
    <s v="TX501382"/>
    <s v="Shorts"/>
    <n v="1"/>
    <n v="46.7"/>
    <n v="46.7"/>
    <x v="51"/>
    <d v="2025-02-26T00:00:00"/>
    <x v="1"/>
    <x v="0"/>
    <n v="4"/>
    <s v="California"/>
    <s v="San Francisco"/>
    <n v="5"/>
    <x v="7"/>
    <s v="Male"/>
  </r>
  <r>
    <s v="TX501383"/>
    <s v="Jeans"/>
    <n v="15"/>
    <n v="41.6"/>
    <n v="624"/>
    <x v="51"/>
    <d v="2025-02-23T00:00:00"/>
    <x v="1"/>
    <x v="1"/>
    <n v="4"/>
    <s v="California"/>
    <s v="San Joaquin County"/>
    <n v="2"/>
    <x v="7"/>
    <s v="Male"/>
  </r>
  <r>
    <s v="TX501384"/>
    <s v="T-Shirts"/>
    <n v="2"/>
    <n v="19.2"/>
    <n v="38.4"/>
    <x v="51"/>
    <d v="2025-02-24T00:00:00"/>
    <x v="1"/>
    <x v="4"/>
    <n v="5"/>
    <s v="California"/>
    <s v="San Mateo County"/>
    <n v="3"/>
    <x v="7"/>
    <s v="Male"/>
  </r>
  <r>
    <s v="TX501385"/>
    <s v="Pajama Sets"/>
    <n v="7"/>
    <n v="41.8"/>
    <n v="292.59999999999997"/>
    <x v="51"/>
    <d v="2025-02-23T00:00:00"/>
    <x v="2"/>
    <x v="2"/>
    <n v="4"/>
    <s v="California"/>
    <s v="Santa Clara County"/>
    <n v="2"/>
    <x v="7"/>
    <s v="Female"/>
  </r>
  <r>
    <s v="TX501386"/>
    <s v="T-Shirts"/>
    <n v="6"/>
    <n v="37.4"/>
    <n v="224.39999999999998"/>
    <x v="51"/>
    <d v="2025-02-23T00:00:00"/>
    <x v="1"/>
    <x v="0"/>
    <n v="5"/>
    <s v="California"/>
    <s v="Santa Clara County"/>
    <n v="2"/>
    <x v="7"/>
    <s v="Male"/>
  </r>
  <r>
    <s v="TX501387"/>
    <s v="Bikinis"/>
    <n v="3"/>
    <n v="60.2"/>
    <n v="180.60000000000002"/>
    <x v="51"/>
    <d v="2025-02-24T00:00:00"/>
    <x v="1"/>
    <x v="4"/>
    <n v="3"/>
    <s v="California"/>
    <s v="Solano County"/>
    <n v="3"/>
    <x v="7"/>
    <s v="Male"/>
  </r>
  <r>
    <s v="TX501388"/>
    <s v="Sundresses"/>
    <n v="2"/>
    <n v="91.5"/>
    <n v="183"/>
    <x v="52"/>
    <d v="2025-02-23T00:00:00"/>
    <x v="1"/>
    <x v="0"/>
    <n v="4"/>
    <s v="California"/>
    <s v="Ventura County"/>
    <n v="1"/>
    <x v="7"/>
    <s v="Male"/>
  </r>
  <r>
    <s v="TX501389"/>
    <s v="Workout Tops"/>
    <n v="5"/>
    <n v="55.7"/>
    <n v="278.5"/>
    <x v="52"/>
    <d v="2025-02-24T00:00:00"/>
    <x v="0"/>
    <x v="1"/>
    <n v="5"/>
    <s v="California"/>
    <s v="Alameda County"/>
    <n v="2"/>
    <x v="7"/>
    <s v="Unknown"/>
  </r>
  <r>
    <s v="TX501390"/>
    <s v="Hoodies &amp; Sweatshirts"/>
    <n v="2"/>
    <n v="76.7"/>
    <n v="153.4"/>
    <x v="52"/>
    <d v="2025-02-24T00:00:00"/>
    <x v="1"/>
    <x v="0"/>
    <n v="3"/>
    <s v="California"/>
    <s v="Alameda County"/>
    <n v="2"/>
    <x v="7"/>
    <s v="Male"/>
  </r>
  <r>
    <s v="TX501391"/>
    <s v="T-Shirts"/>
    <n v="21"/>
    <n v="28.2"/>
    <n v="592.19999999999993"/>
    <x v="52"/>
    <d v="2025-02-27T00:00:00"/>
    <x v="1"/>
    <x v="2"/>
    <n v="4"/>
    <s v="California"/>
    <s v="Contra Costa County"/>
    <n v="5"/>
    <x v="7"/>
    <s v="Male"/>
  </r>
  <r>
    <s v="TX501392"/>
    <s v="Hoodies &amp; Sweatshirts"/>
    <n v="5"/>
    <n v="93.2"/>
    <n v="466"/>
    <x v="52"/>
    <d v="2025-02-24T00:00:00"/>
    <x v="2"/>
    <x v="4"/>
    <n v="5"/>
    <s v="California"/>
    <s v="Contra Costa County"/>
    <n v="2"/>
    <x v="7"/>
    <s v="Female"/>
  </r>
  <r>
    <s v="TX501393"/>
    <s v="Pajama Sets"/>
    <n v="1"/>
    <n v="33.299999999999997"/>
    <n v="33.299999999999997"/>
    <x v="52"/>
    <d v="2025-02-23T00:00:00"/>
    <x v="1"/>
    <x v="4"/>
    <n v="4"/>
    <s v="California"/>
    <s v="Fresno County"/>
    <n v="1"/>
    <x v="7"/>
    <s v="Male"/>
  </r>
  <r>
    <s v="TX501394"/>
    <s v="Bikinis"/>
    <n v="2"/>
    <n v="39.1"/>
    <n v="78.2"/>
    <x v="52"/>
    <d v="2025-02-25T00:00:00"/>
    <x v="1"/>
    <x v="0"/>
    <n v="4"/>
    <s v="California"/>
    <s v="Humboldt County"/>
    <n v="3"/>
    <x v="7"/>
    <s v="Male"/>
  </r>
  <r>
    <s v="TX501395"/>
    <s v="Hoodies &amp; Sweatshirts"/>
    <n v="12"/>
    <n v="45.3"/>
    <n v="543.59999999999991"/>
    <x v="52"/>
    <d v="2025-02-23T00:00:00"/>
    <x v="1"/>
    <x v="2"/>
    <n v="4"/>
    <s v="California"/>
    <s v="Imperial County"/>
    <n v="1"/>
    <x v="7"/>
    <s v="Male"/>
  </r>
  <r>
    <s v="TX501396"/>
    <s v="Sundresses"/>
    <n v="7"/>
    <n v="33.9"/>
    <n v="237.29999999999998"/>
    <x v="52"/>
    <d v="2025-02-23T00:00:00"/>
    <x v="1"/>
    <x v="4"/>
    <n v="4"/>
    <s v="California"/>
    <s v="Imperial County"/>
    <n v="1"/>
    <x v="7"/>
    <s v="Male"/>
  </r>
  <r>
    <s v="TX501397"/>
    <s v="T-Shirts"/>
    <n v="3"/>
    <n v="19"/>
    <n v="57"/>
    <x v="52"/>
    <d v="2025-02-23T00:00:00"/>
    <x v="1"/>
    <x v="0"/>
    <n v="5"/>
    <s v="California"/>
    <s v="Inyo County"/>
    <n v="1"/>
    <x v="7"/>
    <s v="Male"/>
  </r>
  <r>
    <s v="TX501398"/>
    <s v="Graphic Tees"/>
    <n v="1"/>
    <n v="41.9"/>
    <n v="41.9"/>
    <x v="52"/>
    <d v="2025-02-25T00:00:00"/>
    <x v="2"/>
    <x v="2"/>
    <n v="4"/>
    <s v="California"/>
    <s v="Kern County"/>
    <n v="3"/>
    <x v="7"/>
    <s v="Female"/>
  </r>
  <r>
    <s v="TX501399"/>
    <s v="Tank Tops"/>
    <n v="4"/>
    <n v="37.5"/>
    <n v="150"/>
    <x v="52"/>
    <d v="2025-02-22T00:00:00"/>
    <x v="2"/>
    <x v="0"/>
    <n v="4"/>
    <s v="California"/>
    <s v="Los Angeles County"/>
    <n v="0"/>
    <x v="7"/>
    <s v="Female"/>
  </r>
  <r>
    <s v="TX501400"/>
    <s v="Shorts"/>
    <n v="2"/>
    <n v="40.799999999999997"/>
    <n v="81.599999999999994"/>
    <x v="52"/>
    <d v="2025-02-25T00:00:00"/>
    <x v="1"/>
    <x v="0"/>
    <n v="4"/>
    <s v="California"/>
    <s v="Los Angeles County"/>
    <n v="3"/>
    <x v="7"/>
    <s v="Male"/>
  </r>
  <r>
    <s v="TX501401"/>
    <s v="Shorts"/>
    <n v="4"/>
    <n v="23.1"/>
    <n v="92.4"/>
    <x v="52"/>
    <d v="2025-02-23T00:00:00"/>
    <x v="2"/>
    <x v="4"/>
    <n v="4"/>
    <s v="California"/>
    <s v="Los Angeles County"/>
    <n v="1"/>
    <x v="7"/>
    <s v="Female"/>
  </r>
  <r>
    <s v="TX501402"/>
    <s v="T-Shirts"/>
    <n v="5"/>
    <n v="39.299999999999997"/>
    <n v="196.5"/>
    <x v="52"/>
    <d v="2025-02-23T00:00:00"/>
    <x v="2"/>
    <x v="0"/>
    <n v="4"/>
    <s v="California"/>
    <s v="Los Angeles County"/>
    <n v="1"/>
    <x v="7"/>
    <s v="Female"/>
  </r>
  <r>
    <s v="TX501403"/>
    <s v="Sneakers"/>
    <n v="4"/>
    <n v="85.2"/>
    <n v="340.8"/>
    <x v="52"/>
    <d v="2025-02-27T00:00:00"/>
    <x v="1"/>
    <x v="2"/>
    <n v="4"/>
    <s v="California"/>
    <s v="Los Angeles County"/>
    <n v="5"/>
    <x v="7"/>
    <s v="Male"/>
  </r>
  <r>
    <s v="TX501404"/>
    <s v="T-Shirts"/>
    <n v="6"/>
    <n v="16"/>
    <n v="96"/>
    <x v="52"/>
    <d v="2025-02-25T00:00:00"/>
    <x v="1"/>
    <x v="1"/>
    <n v="4"/>
    <s v="California"/>
    <s v="Los Angeles County"/>
    <n v="3"/>
    <x v="7"/>
    <s v="Male"/>
  </r>
  <r>
    <s v="TX501405"/>
    <s v="Tank Tops"/>
    <n v="2"/>
    <n v="33.799999999999997"/>
    <n v="67.599999999999994"/>
    <x v="52"/>
    <d v="2025-02-26T00:00:00"/>
    <x v="2"/>
    <x v="1"/>
    <n v="4"/>
    <s v="California"/>
    <s v="Los Angeles County"/>
    <n v="4"/>
    <x v="7"/>
    <s v="Female"/>
  </r>
  <r>
    <s v="TX501406"/>
    <s v="Workout Tops"/>
    <n v="1"/>
    <n v="70"/>
    <n v="70"/>
    <x v="52"/>
    <d v="2025-02-23T00:00:00"/>
    <x v="2"/>
    <x v="0"/>
    <n v="4"/>
    <s v="California"/>
    <s v="Los Angeles County"/>
    <n v="1"/>
    <x v="7"/>
    <s v="Female"/>
  </r>
  <r>
    <s v="TX501407"/>
    <s v="Sundresses"/>
    <n v="1"/>
    <n v="88"/>
    <n v="88"/>
    <x v="52"/>
    <d v="2025-02-27T00:00:00"/>
    <x v="2"/>
    <x v="3"/>
    <n v="4"/>
    <s v="California"/>
    <s v="Los Angeles County"/>
    <n v="5"/>
    <x v="7"/>
    <s v="Female"/>
  </r>
  <r>
    <s v="TX501408"/>
    <s v="Sneakers"/>
    <n v="3"/>
    <n v="74.099999999999994"/>
    <n v="222.29999999999998"/>
    <x v="52"/>
    <d v="2025-02-22T00:00:00"/>
    <x v="1"/>
    <x v="4"/>
    <n v="3"/>
    <s v="California"/>
    <s v="Los Angeles County"/>
    <n v="0"/>
    <x v="7"/>
    <s v="Male"/>
  </r>
  <r>
    <s v="TX501409"/>
    <s v="Sneakers"/>
    <n v="1"/>
    <n v="161.9"/>
    <n v="161.9"/>
    <x v="52"/>
    <d v="2025-02-24T00:00:00"/>
    <x v="1"/>
    <x v="2"/>
    <n v="4"/>
    <s v="California"/>
    <s v="Los Angeles County"/>
    <n v="2"/>
    <x v="7"/>
    <s v="Male"/>
  </r>
  <r>
    <s v="TX501410"/>
    <s v="Graphic Tees"/>
    <n v="2"/>
    <n v="44"/>
    <n v="88"/>
    <x v="52"/>
    <d v="2025-02-23T00:00:00"/>
    <x v="3"/>
    <x v="4"/>
    <n v="3"/>
    <s v="California"/>
    <s v="Los Angeles County"/>
    <n v="1"/>
    <x v="7"/>
    <s v="Other"/>
  </r>
  <r>
    <s v="TX501411"/>
    <s v="Maxi Dresses"/>
    <n v="1"/>
    <n v="32.1"/>
    <n v="32.1"/>
    <x v="52"/>
    <d v="2025-02-22T00:00:00"/>
    <x v="2"/>
    <x v="3"/>
    <n v="1"/>
    <s v="California"/>
    <s v="Los Angeles County"/>
    <n v="0"/>
    <x v="7"/>
    <s v="Female"/>
  </r>
  <r>
    <s v="TX501412"/>
    <s v="Sneakers"/>
    <n v="4"/>
    <n v="104.8"/>
    <n v="419.2"/>
    <x v="53"/>
    <d v="2025-02-25T00:00:00"/>
    <x v="3"/>
    <x v="0"/>
    <n v="4"/>
    <s v="California"/>
    <s v="Los Angeles County"/>
    <n v="2"/>
    <x v="8"/>
    <s v="Other"/>
  </r>
  <r>
    <s v="TX501413"/>
    <s v="Sundresses"/>
    <n v="6"/>
    <n v="67.400000000000006"/>
    <n v="404.40000000000003"/>
    <x v="53"/>
    <d v="2025-02-24T00:00:00"/>
    <x v="2"/>
    <x v="3"/>
    <n v="4"/>
    <s v="California"/>
    <s v="Los Angeles County"/>
    <n v="1"/>
    <x v="8"/>
    <s v="Female"/>
  </r>
  <r>
    <s v="TX501414"/>
    <s v="Jeans"/>
    <n v="2"/>
    <n v="115.2"/>
    <n v="230.4"/>
    <x v="53"/>
    <d v="2025-02-24T00:00:00"/>
    <x v="2"/>
    <x v="1"/>
    <n v="4"/>
    <s v="California"/>
    <s v="Nevada County"/>
    <n v="1"/>
    <x v="8"/>
    <s v="Female"/>
  </r>
  <r>
    <s v="TX501415"/>
    <s v="T-Shirts"/>
    <n v="29"/>
    <n v="15.5"/>
    <n v="449.5"/>
    <x v="53"/>
    <d v="2025-02-25T00:00:00"/>
    <x v="2"/>
    <x v="0"/>
    <n v="3"/>
    <s v="California"/>
    <s v="Riverside County"/>
    <n v="2"/>
    <x v="8"/>
    <s v="Female"/>
  </r>
  <r>
    <s v="TX501416"/>
    <s v="Jeans"/>
    <n v="11"/>
    <n v="66.400000000000006"/>
    <n v="730.40000000000009"/>
    <x v="53"/>
    <d v="2025-02-25T00:00:00"/>
    <x v="2"/>
    <x v="0"/>
    <n v="4"/>
    <s v="California"/>
    <s v="Sacramento County"/>
    <n v="2"/>
    <x v="8"/>
    <s v="Female"/>
  </r>
  <r>
    <s v="TX501417"/>
    <s v="Sundresses"/>
    <n v="12"/>
    <n v="68.099999999999994"/>
    <n v="817.19999999999993"/>
    <x v="53"/>
    <d v="2025-02-24T00:00:00"/>
    <x v="2"/>
    <x v="2"/>
    <n v="4"/>
    <s v="California"/>
    <s v="San Diego County"/>
    <n v="1"/>
    <x v="8"/>
    <s v="Female"/>
  </r>
  <r>
    <s v="TX501418"/>
    <s v="T-Shirts"/>
    <n v="5"/>
    <n v="32.5"/>
    <n v="162.5"/>
    <x v="53"/>
    <d v="2025-02-27T00:00:00"/>
    <x v="1"/>
    <x v="2"/>
    <n v="3"/>
    <s v="California"/>
    <s v="San Diego County"/>
    <n v="4"/>
    <x v="8"/>
    <s v="Male"/>
  </r>
  <r>
    <s v="TX501419"/>
    <s v="Crop Tops"/>
    <n v="3"/>
    <n v="61.2"/>
    <n v="183.60000000000002"/>
    <x v="53"/>
    <d v="2025-02-25T00:00:00"/>
    <x v="2"/>
    <x v="1"/>
    <n v="3"/>
    <s v="California"/>
    <s v="San Diego County"/>
    <n v="2"/>
    <x v="8"/>
    <s v="Female"/>
  </r>
  <r>
    <s v="TX501420"/>
    <s v="Sundresses"/>
    <n v="2"/>
    <n v="54.2"/>
    <n v="108.4"/>
    <x v="53"/>
    <d v="2025-02-24T00:00:00"/>
    <x v="2"/>
    <x v="1"/>
    <n v="4"/>
    <s v="California"/>
    <s v="San Diego County"/>
    <n v="1"/>
    <x v="8"/>
    <s v="Female"/>
  </r>
  <r>
    <s v="TX501421"/>
    <s v="Maxi Dresses"/>
    <n v="8"/>
    <n v="28.7"/>
    <n v="229.6"/>
    <x v="53"/>
    <d v="2025-02-25T00:00:00"/>
    <x v="1"/>
    <x v="1"/>
    <n v="4"/>
    <s v="California"/>
    <s v="San Mateo County"/>
    <n v="2"/>
    <x v="8"/>
    <s v="Male"/>
  </r>
  <r>
    <s v="TX501422"/>
    <s v="Casual Dresses"/>
    <n v="6"/>
    <n v="38.200000000000003"/>
    <n v="229.20000000000002"/>
    <x v="53"/>
    <d v="2025-02-27T00:00:00"/>
    <x v="2"/>
    <x v="0"/>
    <n v="3"/>
    <s v="California"/>
    <s v="San Mateo County"/>
    <n v="4"/>
    <x v="8"/>
    <s v="Female"/>
  </r>
  <r>
    <s v="TX501423"/>
    <s v="T-Shirts"/>
    <n v="12"/>
    <n v="17.600000000000001"/>
    <n v="211.20000000000002"/>
    <x v="53"/>
    <d v="2025-02-24T00:00:00"/>
    <x v="2"/>
    <x v="2"/>
    <n v="3"/>
    <s v="California"/>
    <s v="San Mateo County"/>
    <n v="1"/>
    <x v="8"/>
    <s v="Female"/>
  </r>
  <r>
    <s v="TX501424"/>
    <s v="Bikinis"/>
    <n v="3"/>
    <n v="74.599999999999994"/>
    <n v="223.79999999999998"/>
    <x v="53"/>
    <d v="2025-02-23T00:00:00"/>
    <x v="2"/>
    <x v="2"/>
    <n v="4"/>
    <s v="California"/>
    <s v="Santa Clara County"/>
    <n v="0"/>
    <x v="8"/>
    <s v="Female"/>
  </r>
  <r>
    <s v="TX501425"/>
    <s v="Sunglasses"/>
    <n v="15"/>
    <n v="72.599999999999994"/>
    <n v="1089"/>
    <x v="53"/>
    <d v="2025-02-23T00:00:00"/>
    <x v="0"/>
    <x v="1"/>
    <n v="3"/>
    <s v="California"/>
    <s v="Santa Clara County"/>
    <n v="0"/>
    <x v="8"/>
    <s v="Unknown"/>
  </r>
  <r>
    <s v="TX501426"/>
    <s v="Hoodies &amp; Sweatshirts"/>
    <n v="1"/>
    <n v="62.3"/>
    <n v="62.3"/>
    <x v="53"/>
    <d v="2025-02-24T00:00:00"/>
    <x v="2"/>
    <x v="1"/>
    <n v="4"/>
    <s v="California"/>
    <s v="Santa Clara County"/>
    <n v="1"/>
    <x v="8"/>
    <s v="Female"/>
  </r>
  <r>
    <s v="TX501427"/>
    <s v="Workout Tops"/>
    <n v="3"/>
    <n v="33.799999999999997"/>
    <n v="101.39999999999999"/>
    <x v="53"/>
    <d v="2025-02-25T00:00:00"/>
    <x v="1"/>
    <x v="0"/>
    <n v="5"/>
    <s v="California"/>
    <s v="Tulare County"/>
    <n v="2"/>
    <x v="8"/>
    <s v="Male"/>
  </r>
  <r>
    <s v="TX501428"/>
    <s v="Sundresses"/>
    <n v="1"/>
    <n v="85.7"/>
    <n v="85.7"/>
    <x v="53"/>
    <d v="2025-02-26T00:00:00"/>
    <x v="1"/>
    <x v="3"/>
    <n v="3"/>
    <s v="California"/>
    <s v="Alameda County"/>
    <n v="3"/>
    <x v="8"/>
    <s v="Male"/>
  </r>
  <r>
    <s v="TX501429"/>
    <s v="Jeans"/>
    <n v="2"/>
    <n v="92.1"/>
    <n v="184.2"/>
    <x v="53"/>
    <d v="2025-02-25T00:00:00"/>
    <x v="1"/>
    <x v="1"/>
    <n v="4"/>
    <s v="California"/>
    <s v="Alameda County"/>
    <n v="2"/>
    <x v="8"/>
    <s v="Male"/>
  </r>
  <r>
    <s v="TX501430"/>
    <s v="Sunglasses"/>
    <n v="3"/>
    <n v="65.099999999999994"/>
    <n v="195.29999999999998"/>
    <x v="53"/>
    <d v="2025-02-26T00:00:00"/>
    <x v="1"/>
    <x v="0"/>
    <n v="4"/>
    <s v="California"/>
    <s v="Contra Costa County"/>
    <n v="3"/>
    <x v="8"/>
    <s v="Male"/>
  </r>
  <r>
    <s v="TX501431"/>
    <s v="Sundresses"/>
    <n v="7"/>
    <n v="20.3"/>
    <n v="142.1"/>
    <x v="53"/>
    <d v="2025-02-24T00:00:00"/>
    <x v="2"/>
    <x v="2"/>
    <n v="5"/>
    <s v="California"/>
    <s v="Fresno County"/>
    <n v="1"/>
    <x v="8"/>
    <s v="Female"/>
  </r>
  <r>
    <s v="TX501432"/>
    <s v="Jewelry"/>
    <n v="2"/>
    <n v="29.8"/>
    <n v="59.6"/>
    <x v="53"/>
    <d v="2025-02-25T00:00:00"/>
    <x v="2"/>
    <x v="1"/>
    <n v="5"/>
    <s v="California"/>
    <s v="Kings County"/>
    <n v="2"/>
    <x v="8"/>
    <s v="Female"/>
  </r>
  <r>
    <s v="TX501433"/>
    <s v="Shorts"/>
    <n v="2"/>
    <n v="24.2"/>
    <n v="48.4"/>
    <x v="53"/>
    <d v="2025-02-25T00:00:00"/>
    <x v="2"/>
    <x v="3"/>
    <n v="5"/>
    <s v="California"/>
    <s v="Los Angeles County"/>
    <n v="2"/>
    <x v="8"/>
    <s v="Female"/>
  </r>
  <r>
    <s v="TX501434"/>
    <s v="Workout Tops"/>
    <n v="1"/>
    <n v="57.3"/>
    <n v="57.3"/>
    <x v="53"/>
    <d v="2025-02-25T00:00:00"/>
    <x v="1"/>
    <x v="0"/>
    <n v="4"/>
    <s v="California"/>
    <s v="Los Angeles County"/>
    <n v="2"/>
    <x v="8"/>
    <s v="Male"/>
  </r>
  <r>
    <s v="TX501435"/>
    <s v="Sneakers"/>
    <n v="1"/>
    <n v="108.9"/>
    <n v="108.9"/>
    <x v="53"/>
    <d v="2025-02-25T00:00:00"/>
    <x v="2"/>
    <x v="1"/>
    <n v="4"/>
    <s v="California"/>
    <s v="Los Angeles County"/>
    <n v="2"/>
    <x v="8"/>
    <s v="Female"/>
  </r>
  <r>
    <s v="TX501436"/>
    <s v="Hoodies &amp; Sweatshirts"/>
    <n v="5"/>
    <n v="50.7"/>
    <n v="253.5"/>
    <x v="53"/>
    <d v="2025-02-24T00:00:00"/>
    <x v="2"/>
    <x v="0"/>
    <n v="4"/>
    <s v="California"/>
    <s v="Los Angeles County"/>
    <n v="1"/>
    <x v="8"/>
    <s v="Female"/>
  </r>
  <r>
    <s v="TX501437"/>
    <s v="Hoodies &amp; Sweatshirts"/>
    <n v="9"/>
    <n v="66.099999999999994"/>
    <n v="594.9"/>
    <x v="53"/>
    <d v="2025-03-09T00:00:00"/>
    <x v="2"/>
    <x v="1"/>
    <n v="4"/>
    <s v="California"/>
    <s v="Los Angeles County"/>
    <n v="14"/>
    <x v="8"/>
    <s v="Female"/>
  </r>
  <r>
    <s v="TX501438"/>
    <s v="Casual Dresses"/>
    <n v="5"/>
    <n v="36.700000000000003"/>
    <n v="183.5"/>
    <x v="53"/>
    <d v="2025-02-27T00:00:00"/>
    <x v="2"/>
    <x v="4"/>
    <n v="4"/>
    <s v="California"/>
    <s v="Los Angeles County"/>
    <n v="4"/>
    <x v="8"/>
    <s v="Female"/>
  </r>
  <r>
    <s v="TX501439"/>
    <s v="T-Shirts"/>
    <n v="17"/>
    <n v="19.3"/>
    <n v="328.1"/>
    <x v="53"/>
    <d v="2025-02-25T00:00:00"/>
    <x v="1"/>
    <x v="0"/>
    <n v="4"/>
    <s v="California"/>
    <s v="Marin County"/>
    <n v="2"/>
    <x v="8"/>
    <s v="Male"/>
  </r>
  <r>
    <s v="TX501440"/>
    <s v="T-Shirts"/>
    <n v="4"/>
    <n v="20.7"/>
    <n v="82.8"/>
    <x v="53"/>
    <d v="2025-02-24T00:00:00"/>
    <x v="1"/>
    <x v="1"/>
    <n v="5"/>
    <s v="California"/>
    <s v="Sacramento County"/>
    <n v="1"/>
    <x v="8"/>
    <s v="Male"/>
  </r>
  <r>
    <s v="TX501441"/>
    <s v="Sandals"/>
    <n v="3"/>
    <n v="54.7"/>
    <n v="164.10000000000002"/>
    <x v="53"/>
    <d v="2025-02-23T00:00:00"/>
    <x v="3"/>
    <x v="1"/>
    <n v="2"/>
    <s v="California"/>
    <s v="Sacramento County"/>
    <n v="0"/>
    <x v="8"/>
    <s v="Other"/>
  </r>
  <r>
    <s v="TX501442"/>
    <s v="Graphic Tees"/>
    <n v="2"/>
    <n v="19.8"/>
    <n v="39.6"/>
    <x v="53"/>
    <d v="2025-02-27T00:00:00"/>
    <x v="2"/>
    <x v="4"/>
    <n v="3"/>
    <s v="California"/>
    <s v="San Diego County"/>
    <n v="4"/>
    <x v="8"/>
    <s v="Female"/>
  </r>
  <r>
    <s v="TX501443"/>
    <s v="Hoodies &amp; Sweatshirts"/>
    <n v="1"/>
    <n v="41.1"/>
    <n v="41.1"/>
    <x v="53"/>
    <d v="2025-02-25T00:00:00"/>
    <x v="2"/>
    <x v="0"/>
    <n v="5"/>
    <s v="California"/>
    <s v="San Diego County"/>
    <n v="2"/>
    <x v="8"/>
    <s v="Female"/>
  </r>
  <r>
    <s v="TX501444"/>
    <s v="Maxi Dresses"/>
    <n v="8"/>
    <n v="43.5"/>
    <n v="348"/>
    <x v="53"/>
    <d v="2025-02-27T00:00:00"/>
    <x v="2"/>
    <x v="3"/>
    <n v="4"/>
    <s v="California"/>
    <s v="San Diego County"/>
    <n v="4"/>
    <x v="8"/>
    <s v="Female"/>
  </r>
  <r>
    <s v="TX501445"/>
    <s v="T-Shirts"/>
    <n v="14"/>
    <n v="19"/>
    <n v="266"/>
    <x v="53"/>
    <d v="2025-02-24T00:00:00"/>
    <x v="1"/>
    <x v="0"/>
    <n v="4"/>
    <s v="California"/>
    <s v="San Joaquin County"/>
    <n v="1"/>
    <x v="8"/>
    <s v="Male"/>
  </r>
  <r>
    <s v="TX501446"/>
    <s v="Sneakers"/>
    <n v="4"/>
    <n v="51.4"/>
    <n v="205.6"/>
    <x v="53"/>
    <d v="2025-02-23T00:00:00"/>
    <x v="2"/>
    <x v="0"/>
    <n v="4"/>
    <s v="California"/>
    <s v="San Joaquin County"/>
    <n v="0"/>
    <x v="8"/>
    <s v="Female"/>
  </r>
  <r>
    <s v="TX501447"/>
    <s v="Bikinis"/>
    <n v="2"/>
    <n v="39.799999999999997"/>
    <n v="79.599999999999994"/>
    <x v="53"/>
    <d v="2025-02-26T00:00:00"/>
    <x v="1"/>
    <x v="3"/>
    <n v="3"/>
    <s v="California"/>
    <s v="Ventura County"/>
    <n v="3"/>
    <x v="8"/>
    <s v="Male"/>
  </r>
  <r>
    <s v="TX501448"/>
    <s v="Jeans"/>
    <n v="5"/>
    <n v="61"/>
    <n v="305"/>
    <x v="53"/>
    <d v="2025-02-24T00:00:00"/>
    <x v="0"/>
    <x v="0"/>
    <n v="5"/>
    <s v="California"/>
    <s v="Alameda County"/>
    <n v="1"/>
    <x v="8"/>
    <s v="Unknown"/>
  </r>
  <r>
    <s v="TX501449"/>
    <s v="T-Shirts"/>
    <n v="11"/>
    <n v="15.1"/>
    <n v="166.1"/>
    <x v="54"/>
    <d v="2025-03-01T00:00:00"/>
    <x v="1"/>
    <x v="3"/>
    <n v="5"/>
    <s v="California"/>
    <s v="Fresno County"/>
    <n v="5"/>
    <x v="8"/>
    <s v="Male"/>
  </r>
  <r>
    <s v="TX501450"/>
    <s v="Tank Tops"/>
    <n v="7"/>
    <n v="71.3"/>
    <n v="499.09999999999997"/>
    <x v="54"/>
    <d v="2025-02-25T00:00:00"/>
    <x v="1"/>
    <x v="4"/>
    <n v="4"/>
    <s v="California"/>
    <s v="Los Angeles County"/>
    <n v="1"/>
    <x v="8"/>
    <s v="Male"/>
  </r>
  <r>
    <s v="TX501451"/>
    <s v="Bikinis"/>
    <n v="1"/>
    <n v="25.8"/>
    <n v="25.8"/>
    <x v="54"/>
    <d v="2025-02-26T00:00:00"/>
    <x v="2"/>
    <x v="0"/>
    <n v="5"/>
    <s v="California"/>
    <s v="Los Angeles County"/>
    <n v="2"/>
    <x v="8"/>
    <s v="Female"/>
  </r>
  <r>
    <s v="TX501452"/>
    <s v="T-Shirts"/>
    <n v="5"/>
    <n v="39.6"/>
    <n v="198"/>
    <x v="54"/>
    <d v="2025-02-26T00:00:00"/>
    <x v="1"/>
    <x v="1"/>
    <n v="5"/>
    <s v="California"/>
    <s v="Los Angeles County"/>
    <n v="2"/>
    <x v="8"/>
    <s v="Male"/>
  </r>
  <r>
    <s v="TX501453"/>
    <s v="Sandals"/>
    <n v="2"/>
    <n v="64"/>
    <n v="128"/>
    <x v="54"/>
    <d v="2025-02-24T00:00:00"/>
    <x v="1"/>
    <x v="1"/>
    <n v="3"/>
    <s v="California"/>
    <s v="Los Angeles County"/>
    <n v="0"/>
    <x v="8"/>
    <s v="Male"/>
  </r>
  <r>
    <s v="TX501454"/>
    <s v="T-Shirts"/>
    <n v="2"/>
    <n v="30.6"/>
    <n v="61.2"/>
    <x v="54"/>
    <d v="2025-02-27T00:00:00"/>
    <x v="1"/>
    <x v="0"/>
    <n v="5"/>
    <s v="California"/>
    <s v="Los Angeles County"/>
    <n v="3"/>
    <x v="8"/>
    <s v="Male"/>
  </r>
  <r>
    <s v="TX501455"/>
    <s v="T-Shirts"/>
    <n v="2"/>
    <n v="21.3"/>
    <n v="42.6"/>
    <x v="54"/>
    <d v="2025-02-25T00:00:00"/>
    <x v="1"/>
    <x v="0"/>
    <n v="3"/>
    <s v="California"/>
    <s v="Los Angeles County"/>
    <n v="1"/>
    <x v="8"/>
    <s v="Male"/>
  </r>
  <r>
    <s v="TX501456"/>
    <s v="Hoodies &amp; Sweatshirts"/>
    <n v="1"/>
    <n v="40.799999999999997"/>
    <n v="40.799999999999997"/>
    <x v="54"/>
    <d v="2025-02-26T00:00:00"/>
    <x v="2"/>
    <x v="4"/>
    <n v="4"/>
    <s v="California"/>
    <s v="Los Angeles County"/>
    <n v="2"/>
    <x v="8"/>
    <s v="Female"/>
  </r>
  <r>
    <s v="TX501457"/>
    <s v="Sundresses"/>
    <n v="4"/>
    <n v="27.7"/>
    <n v="110.8"/>
    <x v="54"/>
    <d v="2025-02-25T00:00:00"/>
    <x v="2"/>
    <x v="0"/>
    <n v="3"/>
    <s v="California"/>
    <s v="Los Angeles County"/>
    <n v="1"/>
    <x v="8"/>
    <s v="Female"/>
  </r>
  <r>
    <s v="TX501458"/>
    <s v="Jeans"/>
    <n v="2"/>
    <n v="64.599999999999994"/>
    <n v="129.19999999999999"/>
    <x v="54"/>
    <d v="2025-02-25T00:00:00"/>
    <x v="1"/>
    <x v="0"/>
    <n v="3"/>
    <s v="California"/>
    <s v="Los Angeles County"/>
    <n v="1"/>
    <x v="8"/>
    <s v="Male"/>
  </r>
  <r>
    <s v="TX501459"/>
    <s v="Jeans"/>
    <n v="16"/>
    <n v="91.1"/>
    <n v="1457.6"/>
    <x v="54"/>
    <d v="2025-02-25T00:00:00"/>
    <x v="2"/>
    <x v="1"/>
    <n v="5"/>
    <s v="California"/>
    <s v="Los Angeles County"/>
    <n v="1"/>
    <x v="8"/>
    <s v="Female"/>
  </r>
  <r>
    <s v="TX501460"/>
    <s v="Tank Tops"/>
    <n v="1"/>
    <n v="39.5"/>
    <n v="39.5"/>
    <x v="54"/>
    <d v="2025-03-04T00:00:00"/>
    <x v="2"/>
    <x v="0"/>
    <n v="4"/>
    <s v="California"/>
    <s v="Los Angeles County"/>
    <n v="8"/>
    <x v="8"/>
    <s v="Female"/>
  </r>
  <r>
    <s v="TX501461"/>
    <s v="Sundresses"/>
    <n v="2"/>
    <n v="21.8"/>
    <n v="43.6"/>
    <x v="54"/>
    <d v="2025-02-28T00:00:00"/>
    <x v="1"/>
    <x v="4"/>
    <n v="5"/>
    <s v="California"/>
    <s v="Los Angeles County"/>
    <n v="4"/>
    <x v="8"/>
    <s v="Male"/>
  </r>
  <r>
    <s v="TX501462"/>
    <s v="T-Shirts"/>
    <n v="2"/>
    <n v="51"/>
    <n v="102"/>
    <x v="54"/>
    <d v="2025-02-27T00:00:00"/>
    <x v="1"/>
    <x v="3"/>
    <n v="5"/>
    <s v="California"/>
    <s v="Los Angeles County"/>
    <n v="3"/>
    <x v="8"/>
    <s v="Male"/>
  </r>
  <r>
    <s v="TX501463"/>
    <s v="Sneakers"/>
    <n v="1"/>
    <n v="92.6"/>
    <n v="92.6"/>
    <x v="54"/>
    <d v="2025-02-27T00:00:00"/>
    <x v="2"/>
    <x v="0"/>
    <n v="5"/>
    <s v="California"/>
    <s v="Plumas County"/>
    <n v="3"/>
    <x v="8"/>
    <s v="Female"/>
  </r>
  <r>
    <s v="TX501464"/>
    <s v="Sundresses"/>
    <n v="2"/>
    <n v="31.1"/>
    <n v="62.2"/>
    <x v="54"/>
    <d v="2025-03-01T00:00:00"/>
    <x v="0"/>
    <x v="1"/>
    <n v="1"/>
    <s v="California"/>
    <s v="Riverside County"/>
    <n v="5"/>
    <x v="8"/>
    <s v="Unknown"/>
  </r>
  <r>
    <s v="TX501465"/>
    <s v="Sandals"/>
    <n v="3"/>
    <n v="56.4"/>
    <n v="169.2"/>
    <x v="54"/>
    <d v="2025-02-25T00:00:00"/>
    <x v="0"/>
    <x v="1"/>
    <n v="4"/>
    <s v="California"/>
    <s v="Sacramento County"/>
    <n v="1"/>
    <x v="8"/>
    <s v="Unknown"/>
  </r>
  <r>
    <s v="TX501466"/>
    <s v="Sundresses"/>
    <n v="1"/>
    <n v="41.9"/>
    <n v="41.9"/>
    <x v="54"/>
    <d v="2025-02-24T00:00:00"/>
    <x v="1"/>
    <x v="1"/>
    <n v="4"/>
    <s v="California"/>
    <s v="Sacramento County"/>
    <n v="0"/>
    <x v="8"/>
    <s v="Male"/>
  </r>
  <r>
    <s v="TX501467"/>
    <s v="Bikinis"/>
    <n v="7"/>
    <n v="45.9"/>
    <n v="321.3"/>
    <x v="54"/>
    <d v="2025-02-25T00:00:00"/>
    <x v="1"/>
    <x v="3"/>
    <n v="5"/>
    <s v="California"/>
    <s v="San Diego County"/>
    <n v="1"/>
    <x v="8"/>
    <s v="Male"/>
  </r>
  <r>
    <s v="TX501468"/>
    <s v="Baseball Caps"/>
    <n v="9"/>
    <n v="24.4"/>
    <n v="219.6"/>
    <x v="54"/>
    <d v="2025-02-28T00:00:00"/>
    <x v="1"/>
    <x v="3"/>
    <n v="5"/>
    <s v="California"/>
    <s v="San Diego County"/>
    <n v="4"/>
    <x v="8"/>
    <s v="Male"/>
  </r>
  <r>
    <s v="TX501469"/>
    <s v="T-Shirts"/>
    <n v="1"/>
    <n v="18.2"/>
    <n v="18.2"/>
    <x v="54"/>
    <d v="2025-02-25T00:00:00"/>
    <x v="2"/>
    <x v="2"/>
    <n v="5"/>
    <s v="California"/>
    <s v="San Diego County"/>
    <n v="1"/>
    <x v="8"/>
    <s v="Female"/>
  </r>
  <r>
    <s v="TX501470"/>
    <s v="T-Shirts"/>
    <n v="4"/>
    <n v="51.2"/>
    <n v="204.8"/>
    <x v="54"/>
    <d v="2025-02-25T00:00:00"/>
    <x v="2"/>
    <x v="0"/>
    <n v="4"/>
    <s v="California"/>
    <s v="San Diego County"/>
    <n v="1"/>
    <x v="8"/>
    <s v="Female"/>
  </r>
  <r>
    <s v="TX501471"/>
    <s v="Jeans"/>
    <n v="1"/>
    <n v="59.7"/>
    <n v="59.7"/>
    <x v="54"/>
    <d v="2025-02-27T00:00:00"/>
    <x v="1"/>
    <x v="0"/>
    <n v="5"/>
    <s v="California"/>
    <s v="San Diego County"/>
    <n v="3"/>
    <x v="8"/>
    <s v="Male"/>
  </r>
  <r>
    <s v="TX501472"/>
    <s v="Graphic Tees"/>
    <n v="2"/>
    <n v="33.6"/>
    <n v="67.2"/>
    <x v="54"/>
    <d v="2025-02-26T00:00:00"/>
    <x v="2"/>
    <x v="0"/>
    <n v="4"/>
    <s v="California"/>
    <s v="San Francisco"/>
    <n v="2"/>
    <x v="8"/>
    <s v="Female"/>
  </r>
  <r>
    <s v="TX501473"/>
    <s v="Casual Dresses"/>
    <n v="1"/>
    <n v="90.4"/>
    <n v="90.4"/>
    <x v="54"/>
    <d v="2025-02-28T00:00:00"/>
    <x v="1"/>
    <x v="1"/>
    <n v="5"/>
    <s v="California"/>
    <s v="Santa Barbara County"/>
    <n v="4"/>
    <x v="8"/>
    <s v="Male"/>
  </r>
  <r>
    <s v="TX501474"/>
    <s v="Maxi Dresses"/>
    <n v="3"/>
    <n v="70.3"/>
    <n v="210.89999999999998"/>
    <x v="54"/>
    <d v="2025-02-24T00:00:00"/>
    <x v="1"/>
    <x v="1"/>
    <n v="5"/>
    <s v="California"/>
    <s v="Santa Clara County"/>
    <n v="0"/>
    <x v="8"/>
    <s v="Male"/>
  </r>
  <r>
    <s v="TX501475"/>
    <s v="Graphic Tees"/>
    <n v="2"/>
    <n v="20.5"/>
    <n v="41"/>
    <x v="54"/>
    <d v="2025-02-27T00:00:00"/>
    <x v="2"/>
    <x v="0"/>
    <n v="3"/>
    <s v="California"/>
    <s v="Santa Clara County"/>
    <n v="3"/>
    <x v="8"/>
    <s v="Female"/>
  </r>
  <r>
    <s v="TX501476"/>
    <s v="Sandals"/>
    <n v="11"/>
    <n v="37.6"/>
    <n v="413.6"/>
    <x v="54"/>
    <d v="2025-02-25T00:00:00"/>
    <x v="1"/>
    <x v="0"/>
    <n v="4"/>
    <s v="California"/>
    <s v="Solano County"/>
    <n v="1"/>
    <x v="8"/>
    <s v="Male"/>
  </r>
  <r>
    <s v="TX501477"/>
    <s v="Sandals"/>
    <n v="4"/>
    <n v="61.5"/>
    <n v="246"/>
    <x v="54"/>
    <d v="2025-03-03T00:00:00"/>
    <x v="2"/>
    <x v="1"/>
    <n v="2"/>
    <s v="California"/>
    <s v="Ventura County"/>
    <n v="7"/>
    <x v="8"/>
    <s v="Female"/>
  </r>
  <r>
    <s v="TX501478"/>
    <s v="Sundresses"/>
    <n v="1"/>
    <n v="33.5"/>
    <n v="33.5"/>
    <x v="55"/>
    <d v="2025-03-01T00:00:00"/>
    <x v="1"/>
    <x v="4"/>
    <n v="3"/>
    <s v="California"/>
    <s v="Alameda County"/>
    <n v="4"/>
    <x v="8"/>
    <s v="Male"/>
  </r>
  <r>
    <s v="TX501479"/>
    <s v="Graphic Tees"/>
    <n v="3"/>
    <n v="29.3"/>
    <n v="87.9"/>
    <x v="55"/>
    <d v="2025-02-27T00:00:00"/>
    <x v="2"/>
    <x v="1"/>
    <n v="5"/>
    <s v="California"/>
    <s v="Contra Costa County"/>
    <n v="2"/>
    <x v="8"/>
    <s v="Female"/>
  </r>
  <r>
    <s v="TX501480"/>
    <s v="Sneakers"/>
    <n v="2"/>
    <n v="125.9"/>
    <n v="251.8"/>
    <x v="55"/>
    <d v="2025-03-02T00:00:00"/>
    <x v="2"/>
    <x v="4"/>
    <n v="3"/>
    <s v="California"/>
    <s v="Contra Costa County"/>
    <n v="5"/>
    <x v="8"/>
    <s v="Female"/>
  </r>
  <r>
    <s v="TX501481"/>
    <s v="Sandals"/>
    <n v="5"/>
    <n v="29.3"/>
    <n v="146.5"/>
    <x v="55"/>
    <d v="2025-02-25T00:00:00"/>
    <x v="1"/>
    <x v="2"/>
    <n v="4"/>
    <s v="California"/>
    <s v="Humboldt County"/>
    <n v="0"/>
    <x v="8"/>
    <s v="Male"/>
  </r>
  <r>
    <s v="TX501482"/>
    <s v="Sundresses"/>
    <n v="1"/>
    <n v="37.799999999999997"/>
    <n v="37.799999999999997"/>
    <x v="55"/>
    <d v="2025-02-28T00:00:00"/>
    <x v="2"/>
    <x v="0"/>
    <n v="5"/>
    <s v="California"/>
    <s v="Los Angeles County"/>
    <n v="3"/>
    <x v="8"/>
    <s v="Female"/>
  </r>
  <r>
    <s v="TX501483"/>
    <s v="Shorts"/>
    <n v="4"/>
    <n v="31.7"/>
    <n v="126.8"/>
    <x v="55"/>
    <d v="2025-02-26T00:00:00"/>
    <x v="1"/>
    <x v="2"/>
    <n v="5"/>
    <s v="California"/>
    <s v="Los Angeles County"/>
    <n v="1"/>
    <x v="8"/>
    <s v="Male"/>
  </r>
  <r>
    <s v="TX501484"/>
    <s v="T-Shirts"/>
    <n v="5"/>
    <n v="26.3"/>
    <n v="131.5"/>
    <x v="55"/>
    <d v="2025-02-26T00:00:00"/>
    <x v="2"/>
    <x v="3"/>
    <n v="5"/>
    <s v="California"/>
    <s v="Los Angeles County"/>
    <n v="1"/>
    <x v="8"/>
    <s v="Female"/>
  </r>
  <r>
    <s v="TX501485"/>
    <s v="T-Shirts"/>
    <n v="3"/>
    <n v="23.1"/>
    <n v="69.300000000000011"/>
    <x v="55"/>
    <d v="2025-02-26T00:00:00"/>
    <x v="3"/>
    <x v="2"/>
    <n v="3"/>
    <s v="California"/>
    <s v="Los Angeles County"/>
    <n v="1"/>
    <x v="8"/>
    <s v="Other"/>
  </r>
  <r>
    <s v="TX501486"/>
    <s v="Graphic Tees"/>
    <n v="1"/>
    <n v="22.3"/>
    <n v="22.3"/>
    <x v="55"/>
    <d v="2025-02-27T00:00:00"/>
    <x v="2"/>
    <x v="2"/>
    <n v="4"/>
    <s v="California"/>
    <s v="Los Angeles County"/>
    <n v="2"/>
    <x v="8"/>
    <s v="Female"/>
  </r>
  <r>
    <s v="TX501487"/>
    <s v="Casual Dresses"/>
    <n v="2"/>
    <n v="99.5"/>
    <n v="199"/>
    <x v="55"/>
    <d v="2025-02-27T00:00:00"/>
    <x v="2"/>
    <x v="2"/>
    <n v="4"/>
    <s v="California"/>
    <s v="Los Angeles County"/>
    <n v="2"/>
    <x v="8"/>
    <s v="Female"/>
  </r>
  <r>
    <s v="TX501488"/>
    <s v="Casual Dresses"/>
    <n v="4"/>
    <n v="47.4"/>
    <n v="189.6"/>
    <x v="55"/>
    <d v="2025-02-28T00:00:00"/>
    <x v="2"/>
    <x v="1"/>
    <n v="4"/>
    <s v="California"/>
    <s v="Los Angeles County"/>
    <n v="3"/>
    <x v="8"/>
    <s v="Female"/>
  </r>
  <r>
    <s v="TX501489"/>
    <s v="Shorts"/>
    <n v="11"/>
    <n v="37.5"/>
    <n v="412.5"/>
    <x v="55"/>
    <d v="2025-02-27T00:00:00"/>
    <x v="2"/>
    <x v="0"/>
    <n v="1"/>
    <s v="California"/>
    <s v="Los Angeles County"/>
    <n v="2"/>
    <x v="8"/>
    <s v="Female"/>
  </r>
  <r>
    <s v="TX501490"/>
    <s v="Bikinis"/>
    <n v="1"/>
    <n v="45.1"/>
    <n v="45.1"/>
    <x v="55"/>
    <d v="2025-03-02T00:00:00"/>
    <x v="1"/>
    <x v="3"/>
    <n v="5"/>
    <s v="California"/>
    <s v="Merced County"/>
    <n v="5"/>
    <x v="8"/>
    <s v="Male"/>
  </r>
  <r>
    <s v="TX501491"/>
    <s v="Sandals"/>
    <n v="10"/>
    <n v="34.4"/>
    <n v="344"/>
    <x v="55"/>
    <d v="2025-02-28T00:00:00"/>
    <x v="1"/>
    <x v="2"/>
    <n v="4"/>
    <s v="California"/>
    <s v="Napa County"/>
    <n v="3"/>
    <x v="8"/>
    <s v="Male"/>
  </r>
  <r>
    <s v="TX501492"/>
    <s v="Graphic Tees"/>
    <n v="2"/>
    <n v="38"/>
    <n v="76"/>
    <x v="55"/>
    <d v="2025-02-27T00:00:00"/>
    <x v="2"/>
    <x v="1"/>
    <n v="4"/>
    <s v="California"/>
    <s v="Placer County"/>
    <n v="2"/>
    <x v="8"/>
    <s v="Female"/>
  </r>
  <r>
    <s v="TX501493"/>
    <s v="Workout Tops"/>
    <n v="14"/>
    <n v="32.4"/>
    <n v="453.59999999999997"/>
    <x v="55"/>
    <d v="2025-02-28T00:00:00"/>
    <x v="1"/>
    <x v="4"/>
    <n v="4"/>
    <s v="California"/>
    <s v="Sacramento County"/>
    <n v="3"/>
    <x v="8"/>
    <s v="Male"/>
  </r>
  <r>
    <s v="TX501494"/>
    <s v="Jeans"/>
    <n v="3"/>
    <n v="40.9"/>
    <n v="122.69999999999999"/>
    <x v="55"/>
    <d v="2025-02-25T00:00:00"/>
    <x v="0"/>
    <x v="1"/>
    <n v="4"/>
    <s v="California"/>
    <s v="San Diego County"/>
    <n v="0"/>
    <x v="8"/>
    <s v="Unknown"/>
  </r>
  <r>
    <s v="TX501495"/>
    <s v="Hoodies &amp; Sweatshirts"/>
    <n v="7"/>
    <n v="76.2"/>
    <n v="533.4"/>
    <x v="55"/>
    <d v="2025-02-27T00:00:00"/>
    <x v="2"/>
    <x v="2"/>
    <n v="3"/>
    <s v="California"/>
    <s v="San Diego County"/>
    <n v="2"/>
    <x v="8"/>
    <s v="Female"/>
  </r>
  <r>
    <s v="TX501496"/>
    <s v="Sneakers"/>
    <n v="1"/>
    <n v="85.6"/>
    <n v="85.6"/>
    <x v="55"/>
    <d v="2025-02-27T00:00:00"/>
    <x v="1"/>
    <x v="2"/>
    <n v="4"/>
    <s v="California"/>
    <s v="San Diego County"/>
    <n v="2"/>
    <x v="8"/>
    <s v="Male"/>
  </r>
  <r>
    <s v="TX501497"/>
    <s v="Graphic Tees"/>
    <n v="4"/>
    <n v="25"/>
    <n v="100"/>
    <x v="55"/>
    <d v="2025-02-27T00:00:00"/>
    <x v="2"/>
    <x v="2"/>
    <n v="5"/>
    <s v="California"/>
    <s v="San Diego County"/>
    <n v="2"/>
    <x v="8"/>
    <s v="Female"/>
  </r>
  <r>
    <s v="TX501498"/>
    <s v="Sneakers"/>
    <n v="5"/>
    <n v="150.69999999999999"/>
    <n v="753.5"/>
    <x v="55"/>
    <d v="2025-02-26T00:00:00"/>
    <x v="0"/>
    <x v="0"/>
    <n v="5"/>
    <s v="California"/>
    <s v="San Diego County"/>
    <n v="1"/>
    <x v="8"/>
    <s v="Unknown"/>
  </r>
  <r>
    <s v="TX501499"/>
    <s v="T-Shirts"/>
    <n v="1"/>
    <n v="19.600000000000001"/>
    <n v="19.600000000000001"/>
    <x v="55"/>
    <d v="2025-02-26T00:00:00"/>
    <x v="1"/>
    <x v="1"/>
    <n v="2"/>
    <s v="California"/>
    <s v="San Diego County"/>
    <n v="1"/>
    <x v="8"/>
    <s v="Male"/>
  </r>
  <r>
    <s v="TX501500"/>
    <s v="Tote Bags"/>
    <n v="2"/>
    <n v="37.5"/>
    <n v="75"/>
    <x v="55"/>
    <d v="2025-02-28T00:00:00"/>
    <x v="2"/>
    <x v="1"/>
    <n v="5"/>
    <s v="California"/>
    <s v="San Francisco"/>
    <n v="3"/>
    <x v="8"/>
    <s v="Female"/>
  </r>
  <r>
    <s v="TX501501"/>
    <s v="Sundresses"/>
    <n v="3"/>
    <n v="51.9"/>
    <n v="155.69999999999999"/>
    <x v="55"/>
    <d v="2025-03-03T00:00:00"/>
    <x v="2"/>
    <x v="0"/>
    <n v="2"/>
    <s v="California"/>
    <s v="Santa Clara County"/>
    <n v="6"/>
    <x v="8"/>
    <s v="Female"/>
  </r>
  <r>
    <s v="TX501502"/>
    <s v="Tank Tops"/>
    <n v="2"/>
    <n v="30.9"/>
    <n v="61.8"/>
    <x v="55"/>
    <d v="2025-02-27T00:00:00"/>
    <x v="2"/>
    <x v="1"/>
    <n v="4"/>
    <s v="California"/>
    <s v="Sonoma County"/>
    <n v="2"/>
    <x v="8"/>
    <s v="Female"/>
  </r>
  <r>
    <s v="TX501503"/>
    <s v="Graphic Tees"/>
    <n v="3"/>
    <n v="21.2"/>
    <n v="63.599999999999994"/>
    <x v="55"/>
    <d v="2025-02-28T00:00:00"/>
    <x v="2"/>
    <x v="1"/>
    <n v="4"/>
    <s v="California"/>
    <s v="Stanislaus County"/>
    <n v="3"/>
    <x v="8"/>
    <s v="Female"/>
  </r>
  <r>
    <s v="TX501504"/>
    <s v="Tote Bags"/>
    <n v="17"/>
    <n v="17.5"/>
    <n v="297.5"/>
    <x v="55"/>
    <d v="2025-02-26T00:00:00"/>
    <x v="1"/>
    <x v="1"/>
    <n v="3"/>
    <s v="California"/>
    <s v="Ventura County"/>
    <n v="1"/>
    <x v="8"/>
    <s v="Male"/>
  </r>
  <r>
    <s v="TX501505"/>
    <s v="Casual Dresses"/>
    <n v="2"/>
    <n v="53.8"/>
    <n v="107.6"/>
    <x v="55"/>
    <d v="2025-03-02T00:00:00"/>
    <x v="2"/>
    <x v="0"/>
    <n v="5"/>
    <s v="California"/>
    <s v="Alameda County"/>
    <n v="5"/>
    <x v="8"/>
    <s v="Female"/>
  </r>
  <r>
    <s v="TX501506"/>
    <s v="Jewelry"/>
    <n v="2"/>
    <n v="17"/>
    <n v="34"/>
    <x v="55"/>
    <d v="2025-02-26T00:00:00"/>
    <x v="1"/>
    <x v="3"/>
    <n v="4"/>
    <s v="California"/>
    <s v="Alameda County"/>
    <n v="1"/>
    <x v="8"/>
    <s v="Male"/>
  </r>
  <r>
    <s v="TX501507"/>
    <s v="Jeans"/>
    <n v="1"/>
    <n v="103.2"/>
    <n v="103.2"/>
    <x v="55"/>
    <d v="2025-03-05T00:00:00"/>
    <x v="1"/>
    <x v="2"/>
    <n v="3"/>
    <s v="California"/>
    <s v="Contra Costa County"/>
    <n v="8"/>
    <x v="8"/>
    <s v="Male"/>
  </r>
  <r>
    <s v="TX501508"/>
    <s v="Jeans"/>
    <n v="4"/>
    <n v="70.3"/>
    <n v="281.2"/>
    <x v="55"/>
    <d v="2025-02-26T00:00:00"/>
    <x v="1"/>
    <x v="0"/>
    <n v="4"/>
    <s v="California"/>
    <s v="Los Angeles County"/>
    <n v="1"/>
    <x v="8"/>
    <s v="Male"/>
  </r>
  <r>
    <s v="TX501509"/>
    <s v="Sneakers"/>
    <n v="2"/>
    <n v="73.8"/>
    <n v="147.6"/>
    <x v="55"/>
    <d v="2025-02-25T00:00:00"/>
    <x v="1"/>
    <x v="3"/>
    <n v="5"/>
    <s v="California"/>
    <s v="Los Angeles County"/>
    <n v="0"/>
    <x v="8"/>
    <s v="Male"/>
  </r>
  <r>
    <s v="TX501510"/>
    <s v="Tank Tops"/>
    <n v="12"/>
    <n v="67.7"/>
    <n v="812.40000000000009"/>
    <x v="55"/>
    <d v="2025-03-01T00:00:00"/>
    <x v="1"/>
    <x v="1"/>
    <n v="3"/>
    <s v="California"/>
    <s v="Los Angeles County"/>
    <n v="4"/>
    <x v="8"/>
    <s v="Male"/>
  </r>
  <r>
    <s v="TX501511"/>
    <s v="Tote Bags"/>
    <n v="7"/>
    <n v="43.8"/>
    <n v="306.59999999999997"/>
    <x v="55"/>
    <d v="2025-02-27T00:00:00"/>
    <x v="1"/>
    <x v="1"/>
    <n v="4"/>
    <s v="California"/>
    <s v="Los Angeles County"/>
    <n v="2"/>
    <x v="8"/>
    <s v="Male"/>
  </r>
  <r>
    <s v="TX501512"/>
    <s v="Pajama Sets"/>
    <n v="6"/>
    <n v="71.900000000000006"/>
    <n v="431.40000000000003"/>
    <x v="55"/>
    <d v="2025-02-26T00:00:00"/>
    <x v="2"/>
    <x v="2"/>
    <n v="4"/>
    <s v="California"/>
    <s v="Los Angeles County"/>
    <n v="1"/>
    <x v="8"/>
    <s v="Female"/>
  </r>
  <r>
    <s v="TX501513"/>
    <s v="T-Shirts"/>
    <n v="2"/>
    <n v="26.3"/>
    <n v="52.6"/>
    <x v="56"/>
    <d v="2025-02-28T00:00:00"/>
    <x v="2"/>
    <x v="0"/>
    <n v="3"/>
    <s v="California"/>
    <s v="Los Angeles County"/>
    <n v="2"/>
    <x v="8"/>
    <s v="Female"/>
  </r>
  <r>
    <s v="TX501514"/>
    <s v="Jeans"/>
    <n v="4"/>
    <n v="52.6"/>
    <n v="210.4"/>
    <x v="56"/>
    <d v="2025-02-28T00:00:00"/>
    <x v="2"/>
    <x v="2"/>
    <n v="3"/>
    <s v="California"/>
    <s v="Los Angeles County"/>
    <n v="2"/>
    <x v="8"/>
    <s v="Female"/>
  </r>
  <r>
    <s v="TX501515"/>
    <s v="Bikinis"/>
    <n v="1"/>
    <n v="32.700000000000003"/>
    <n v="32.700000000000003"/>
    <x v="56"/>
    <d v="2025-03-05T00:00:00"/>
    <x v="2"/>
    <x v="0"/>
    <n v="5"/>
    <s v="California"/>
    <s v="Los Angeles County"/>
    <n v="7"/>
    <x v="8"/>
    <s v="Female"/>
  </r>
  <r>
    <s v="TX501516"/>
    <s v="Sandals"/>
    <n v="4"/>
    <n v="38.9"/>
    <n v="155.6"/>
    <x v="56"/>
    <d v="2025-02-27T00:00:00"/>
    <x v="2"/>
    <x v="0"/>
    <n v="4"/>
    <s v="California"/>
    <s v="Los Angeles County"/>
    <n v="1"/>
    <x v="8"/>
    <s v="Female"/>
  </r>
  <r>
    <s v="TX501517"/>
    <s v="Sundresses"/>
    <n v="5"/>
    <n v="35"/>
    <n v="175"/>
    <x v="56"/>
    <d v="2025-02-28T00:00:00"/>
    <x v="1"/>
    <x v="0"/>
    <n v="4"/>
    <s v="California"/>
    <s v="Los Angeles County"/>
    <n v="2"/>
    <x v="8"/>
    <s v="Male"/>
  </r>
  <r>
    <s v="TX501518"/>
    <s v="Sneakers"/>
    <n v="2"/>
    <n v="121"/>
    <n v="242"/>
    <x v="56"/>
    <d v="2025-02-27T00:00:00"/>
    <x v="2"/>
    <x v="1"/>
    <n v="3"/>
    <s v="California"/>
    <s v="Los Angeles County"/>
    <n v="1"/>
    <x v="8"/>
    <s v="Female"/>
  </r>
  <r>
    <s v="TX501519"/>
    <s v="Jeans"/>
    <n v="3"/>
    <n v="65.099999999999994"/>
    <n v="195.29999999999998"/>
    <x v="56"/>
    <d v="2025-03-02T00:00:00"/>
    <x v="1"/>
    <x v="2"/>
    <n v="4"/>
    <s v="California"/>
    <s v="San Benito County"/>
    <n v="4"/>
    <x v="8"/>
    <s v="Male"/>
  </r>
  <r>
    <s v="TX501520"/>
    <s v="Tank Tops"/>
    <n v="21"/>
    <n v="63.8"/>
    <n v="1339.8"/>
    <x v="56"/>
    <d v="2025-02-28T00:00:00"/>
    <x v="2"/>
    <x v="0"/>
    <n v="4"/>
    <s v="California"/>
    <s v="San Diego County"/>
    <n v="2"/>
    <x v="8"/>
    <s v="Female"/>
  </r>
  <r>
    <s v="TX501521"/>
    <s v="Hoodies &amp; Sweatshirts"/>
    <n v="1"/>
    <n v="77.7"/>
    <n v="77.7"/>
    <x v="56"/>
    <d v="2025-02-28T00:00:00"/>
    <x v="1"/>
    <x v="0"/>
    <n v="4"/>
    <s v="California"/>
    <s v="San Diego County"/>
    <n v="2"/>
    <x v="8"/>
    <s v="Male"/>
  </r>
  <r>
    <s v="TX501522"/>
    <s v="Sandals"/>
    <n v="4"/>
    <n v="60.3"/>
    <n v="241.2"/>
    <x v="56"/>
    <d v="2025-02-26T00:00:00"/>
    <x v="1"/>
    <x v="0"/>
    <n v="5"/>
    <s v="California"/>
    <s v="San Diego County"/>
    <n v="0"/>
    <x v="8"/>
    <s v="Male"/>
  </r>
  <r>
    <s v="TX501523"/>
    <s v="Sandals"/>
    <n v="2"/>
    <n v="124.1"/>
    <n v="248.2"/>
    <x v="56"/>
    <d v="2025-03-01T00:00:00"/>
    <x v="2"/>
    <x v="0"/>
    <n v="5"/>
    <s v="California"/>
    <s v="San Diego County"/>
    <n v="3"/>
    <x v="8"/>
    <s v="Female"/>
  </r>
  <r>
    <s v="TX501524"/>
    <s v="Sunglasses"/>
    <n v="7"/>
    <n v="66"/>
    <n v="462"/>
    <x v="56"/>
    <d v="2025-02-26T00:00:00"/>
    <x v="0"/>
    <x v="3"/>
    <n v="4"/>
    <s v="California"/>
    <s v="San Francisco"/>
    <n v="0"/>
    <x v="8"/>
    <s v="Unknown"/>
  </r>
  <r>
    <s v="TX501525"/>
    <s v="Sneakers"/>
    <n v="63"/>
    <n v="118.2"/>
    <n v="7446.6"/>
    <x v="56"/>
    <d v="2025-03-03T00:00:00"/>
    <x v="0"/>
    <x v="0"/>
    <n v="4"/>
    <s v="California"/>
    <s v="San Francisco"/>
    <n v="5"/>
    <x v="8"/>
    <s v="Unknown"/>
  </r>
  <r>
    <s v="TX501526"/>
    <s v="Sandals"/>
    <n v="5"/>
    <n v="64.3"/>
    <n v="321.5"/>
    <x v="56"/>
    <d v="2025-02-27T00:00:00"/>
    <x v="1"/>
    <x v="4"/>
    <n v="2"/>
    <s v="California"/>
    <s v="San Joaquin County"/>
    <n v="1"/>
    <x v="8"/>
    <s v="Male"/>
  </r>
  <r>
    <s v="TX501527"/>
    <s v="Tank Tops"/>
    <n v="2"/>
    <n v="54.8"/>
    <n v="109.6"/>
    <x v="56"/>
    <d v="2025-02-26T00:00:00"/>
    <x v="1"/>
    <x v="0"/>
    <n v="3"/>
    <s v="California"/>
    <s v="San Joaquin County"/>
    <n v="0"/>
    <x v="8"/>
    <s v="Male"/>
  </r>
  <r>
    <s v="TX501528"/>
    <s v="Hoodies &amp; Sweatshirts"/>
    <n v="2"/>
    <n v="78.599999999999994"/>
    <n v="157.19999999999999"/>
    <x v="56"/>
    <d v="2025-02-27T00:00:00"/>
    <x v="1"/>
    <x v="0"/>
    <n v="5"/>
    <s v="California"/>
    <s v="San Mateo County"/>
    <n v="1"/>
    <x v="8"/>
    <s v="Male"/>
  </r>
  <r>
    <s v="TX501529"/>
    <s v="Sneakers"/>
    <n v="5"/>
    <n v="158.5"/>
    <n v="792.5"/>
    <x v="56"/>
    <d v="2025-02-28T00:00:00"/>
    <x v="0"/>
    <x v="2"/>
    <n v="5"/>
    <s v="California"/>
    <s v="San Mateo County"/>
    <n v="2"/>
    <x v="8"/>
    <s v="Unknown"/>
  </r>
  <r>
    <s v="TX501530"/>
    <s v="Graphic Tees"/>
    <n v="10"/>
    <n v="23.5"/>
    <n v="235"/>
    <x v="56"/>
    <d v="2025-03-01T00:00:00"/>
    <x v="1"/>
    <x v="0"/>
    <n v="2"/>
    <s v="California"/>
    <s v="Santa Barbara County"/>
    <n v="3"/>
    <x v="8"/>
    <s v="Male"/>
  </r>
  <r>
    <s v="TX501531"/>
    <s v="Sandals"/>
    <n v="2"/>
    <n v="32.1"/>
    <n v="64.2"/>
    <x v="56"/>
    <d v="2025-02-28T00:00:00"/>
    <x v="0"/>
    <x v="3"/>
    <n v="4"/>
    <s v="California"/>
    <s v="Santa Barbara County"/>
    <n v="2"/>
    <x v="8"/>
    <s v="Unknown"/>
  </r>
  <r>
    <s v="TX501532"/>
    <s v="Pajama Sets"/>
    <n v="4"/>
    <n v="71.900000000000006"/>
    <n v="287.60000000000002"/>
    <x v="56"/>
    <d v="2025-02-26T00:00:00"/>
    <x v="1"/>
    <x v="2"/>
    <n v="4"/>
    <s v="California"/>
    <s v="Stanislaus County"/>
    <n v="0"/>
    <x v="8"/>
    <s v="Male"/>
  </r>
  <r>
    <s v="TX501533"/>
    <s v="Graphic Tees"/>
    <n v="6"/>
    <n v="22.3"/>
    <n v="133.80000000000001"/>
    <x v="56"/>
    <d v="2025-02-27T00:00:00"/>
    <x v="0"/>
    <x v="3"/>
    <n v="5"/>
    <s v="California"/>
    <s v="Ventura County"/>
    <n v="1"/>
    <x v="8"/>
    <s v="Unknown"/>
  </r>
  <r>
    <s v="TX501534"/>
    <s v="Maxi Dresses"/>
    <n v="2"/>
    <n v="29.5"/>
    <n v="59"/>
    <x v="56"/>
    <d v="2025-02-27T00:00:00"/>
    <x v="2"/>
    <x v="0"/>
    <n v="5"/>
    <s v="California"/>
    <s v="Ventura County"/>
    <n v="1"/>
    <x v="8"/>
    <s v="Female"/>
  </r>
  <r>
    <s v="TX501535"/>
    <s v="Jeans"/>
    <n v="4"/>
    <n v="41.9"/>
    <n v="167.6"/>
    <x v="56"/>
    <d v="2025-03-02T00:00:00"/>
    <x v="2"/>
    <x v="0"/>
    <n v="3"/>
    <s v="California"/>
    <s v="Alameda County"/>
    <n v="4"/>
    <x v="8"/>
    <s v="Female"/>
  </r>
  <r>
    <s v="TX501536"/>
    <s v="Jeans"/>
    <n v="3"/>
    <n v="107.8"/>
    <n v="323.39999999999998"/>
    <x v="56"/>
    <d v="2025-02-27T00:00:00"/>
    <x v="1"/>
    <x v="1"/>
    <n v="5"/>
    <s v="California"/>
    <s v="Amador County"/>
    <n v="1"/>
    <x v="8"/>
    <s v="Male"/>
  </r>
  <r>
    <s v="TX501537"/>
    <s v="Graphic Tees"/>
    <n v="5"/>
    <n v="18.100000000000001"/>
    <n v="90.5"/>
    <x v="56"/>
    <d v="2025-03-01T00:00:00"/>
    <x v="1"/>
    <x v="0"/>
    <n v="5"/>
    <s v="California"/>
    <s v="Fresno County"/>
    <n v="3"/>
    <x v="8"/>
    <s v="Male"/>
  </r>
  <r>
    <s v="TX501538"/>
    <s v="Casual Dresses"/>
    <n v="9"/>
    <n v="79.8"/>
    <n v="718.19999999999993"/>
    <x v="56"/>
    <d v="2025-02-27T00:00:00"/>
    <x v="2"/>
    <x v="1"/>
    <n v="3"/>
    <s v="California"/>
    <s v="Kern County"/>
    <n v="1"/>
    <x v="8"/>
    <s v="Female"/>
  </r>
  <r>
    <s v="TX501539"/>
    <s v="Shorts"/>
    <n v="3"/>
    <n v="22.3"/>
    <n v="66.900000000000006"/>
    <x v="56"/>
    <d v="2025-03-01T00:00:00"/>
    <x v="2"/>
    <x v="0"/>
    <n v="5"/>
    <s v="California"/>
    <s v="Kern County"/>
    <n v="3"/>
    <x v="8"/>
    <s v="Female"/>
  </r>
  <r>
    <s v="TX501540"/>
    <s v="T-Shirts"/>
    <n v="1"/>
    <n v="22.9"/>
    <n v="22.9"/>
    <x v="56"/>
    <d v="2025-02-26T00:00:00"/>
    <x v="2"/>
    <x v="1"/>
    <n v="4"/>
    <s v="California"/>
    <s v="Kern County"/>
    <n v="0"/>
    <x v="8"/>
    <s v="Female"/>
  </r>
  <r>
    <s v="TX501541"/>
    <s v="Shorts"/>
    <n v="3"/>
    <n v="16.2"/>
    <n v="48.599999999999994"/>
    <x v="57"/>
    <d v="2025-02-27T00:00:00"/>
    <x v="1"/>
    <x v="4"/>
    <n v="5"/>
    <s v="California"/>
    <s v="Los Angeles County"/>
    <n v="0"/>
    <x v="8"/>
    <s v="Male"/>
  </r>
  <r>
    <s v="TX501542"/>
    <s v="Bikinis"/>
    <n v="4"/>
    <n v="59.5"/>
    <n v="238"/>
    <x v="57"/>
    <d v="2025-02-28T00:00:00"/>
    <x v="1"/>
    <x v="1"/>
    <n v="5"/>
    <s v="California"/>
    <s v="Los Angeles County"/>
    <n v="1"/>
    <x v="8"/>
    <s v="Male"/>
  </r>
  <r>
    <s v="TX501543"/>
    <s v="Leggings"/>
    <n v="5"/>
    <n v="26.2"/>
    <n v="131"/>
    <x v="57"/>
    <d v="2025-03-02T00:00:00"/>
    <x v="1"/>
    <x v="3"/>
    <n v="2"/>
    <s v="California"/>
    <s v="Los Angeles County"/>
    <n v="3"/>
    <x v="8"/>
    <s v="Male"/>
  </r>
  <r>
    <s v="TX501544"/>
    <s v="Workout Tops"/>
    <n v="1"/>
    <n v="44.2"/>
    <n v="44.2"/>
    <x v="57"/>
    <d v="2025-03-02T00:00:00"/>
    <x v="2"/>
    <x v="1"/>
    <n v="4"/>
    <s v="California"/>
    <s v="Los Angeles County"/>
    <n v="3"/>
    <x v="8"/>
    <s v="Female"/>
  </r>
  <r>
    <s v="TX501545"/>
    <s v="Sundresses"/>
    <n v="2"/>
    <n v="59.2"/>
    <n v="118.4"/>
    <x v="57"/>
    <d v="2025-02-27T00:00:00"/>
    <x v="2"/>
    <x v="1"/>
    <n v="2"/>
    <s v="California"/>
    <s v="Los Angeles County"/>
    <n v="0"/>
    <x v="8"/>
    <s v="Female"/>
  </r>
  <r>
    <s v="TX501546"/>
    <s v="Crop Tops"/>
    <n v="4"/>
    <n v="41.5"/>
    <n v="166"/>
    <x v="57"/>
    <d v="2025-03-01T00:00:00"/>
    <x v="2"/>
    <x v="0"/>
    <n v="4"/>
    <s v="California"/>
    <s v="Napa County"/>
    <n v="2"/>
    <x v="8"/>
    <s v="Female"/>
  </r>
  <r>
    <s v="TX501547"/>
    <s v="Jeans"/>
    <n v="12"/>
    <n v="67.099999999999994"/>
    <n v="805.19999999999993"/>
    <x v="57"/>
    <d v="2025-03-13T00:00:00"/>
    <x v="2"/>
    <x v="0"/>
    <n v="5"/>
    <s v="California"/>
    <s v="Riverside County"/>
    <n v="14"/>
    <x v="8"/>
    <s v="Female"/>
  </r>
  <r>
    <s v="TX501548"/>
    <s v="T-Shirts"/>
    <n v="2"/>
    <n v="28.7"/>
    <n v="57.4"/>
    <x v="57"/>
    <d v="2025-03-03T00:00:00"/>
    <x v="2"/>
    <x v="1"/>
    <n v="4"/>
    <s v="California"/>
    <s v="Sacramento County"/>
    <n v="4"/>
    <x v="8"/>
    <s v="Female"/>
  </r>
  <r>
    <s v="TX501549"/>
    <s v="Sneakers"/>
    <n v="4"/>
    <n v="132.1"/>
    <n v="528.4"/>
    <x v="57"/>
    <d v="2025-02-28T00:00:00"/>
    <x v="2"/>
    <x v="0"/>
    <n v="3"/>
    <s v="California"/>
    <s v="Sacramento County"/>
    <n v="1"/>
    <x v="8"/>
    <s v="Female"/>
  </r>
  <r>
    <s v="TX501550"/>
    <s v="Leggings"/>
    <n v="2"/>
    <n v="47"/>
    <n v="94"/>
    <x v="57"/>
    <d v="2025-03-01T00:00:00"/>
    <x v="1"/>
    <x v="4"/>
    <n v="4"/>
    <s v="California"/>
    <s v="San Diego County"/>
    <n v="2"/>
    <x v="8"/>
    <s v="Male"/>
  </r>
  <r>
    <s v="TX501551"/>
    <s v="T-Shirts"/>
    <n v="2"/>
    <n v="41.6"/>
    <n v="83.2"/>
    <x v="57"/>
    <d v="2025-03-03T00:00:00"/>
    <x v="1"/>
    <x v="1"/>
    <n v="5"/>
    <s v="California"/>
    <s v="San Diego County"/>
    <n v="4"/>
    <x v="8"/>
    <s v="Male"/>
  </r>
  <r>
    <s v="TX501552"/>
    <s v="T-Shirts"/>
    <n v="38"/>
    <n v="17.3"/>
    <n v="657.4"/>
    <x v="57"/>
    <d v="2025-03-01T00:00:00"/>
    <x v="1"/>
    <x v="2"/>
    <n v="5"/>
    <s v="California"/>
    <s v="San Diego County"/>
    <n v="2"/>
    <x v="8"/>
    <s v="Male"/>
  </r>
  <r>
    <s v="TX501553"/>
    <s v="Tote Bags"/>
    <n v="3"/>
    <n v="41.8"/>
    <n v="125.39999999999999"/>
    <x v="57"/>
    <d v="2025-03-02T00:00:00"/>
    <x v="1"/>
    <x v="0"/>
    <n v="5"/>
    <s v="California"/>
    <s v="San Diego County"/>
    <n v="3"/>
    <x v="8"/>
    <s v="Male"/>
  </r>
  <r>
    <s v="TX501554"/>
    <s v="Bikinis"/>
    <n v="1"/>
    <n v="24"/>
    <n v="24"/>
    <x v="57"/>
    <d v="2025-02-28T00:00:00"/>
    <x v="2"/>
    <x v="0"/>
    <n v="4"/>
    <s v="California"/>
    <s v="San Francisco"/>
    <n v="1"/>
    <x v="8"/>
    <s v="Female"/>
  </r>
  <r>
    <s v="TX501555"/>
    <s v="Baseball Caps"/>
    <n v="9"/>
    <n v="18.5"/>
    <n v="166.5"/>
    <x v="57"/>
    <d v="2025-03-01T00:00:00"/>
    <x v="2"/>
    <x v="0"/>
    <n v="4"/>
    <s v="California"/>
    <s v="San Mateo County"/>
    <n v="2"/>
    <x v="8"/>
    <s v="Female"/>
  </r>
  <r>
    <s v="TX501556"/>
    <s v="Workout Tops"/>
    <n v="12"/>
    <n v="66.7"/>
    <n v="800.40000000000009"/>
    <x v="57"/>
    <d v="2025-03-02T00:00:00"/>
    <x v="0"/>
    <x v="0"/>
    <n v="5"/>
    <s v="California"/>
    <s v="Santa Clara County"/>
    <n v="3"/>
    <x v="8"/>
    <s v="Unknown"/>
  </r>
  <r>
    <s v="TX501557"/>
    <s v="Tank Tops"/>
    <n v="4"/>
    <n v="33.1"/>
    <n v="132.4"/>
    <x v="57"/>
    <d v="2025-03-04T00:00:00"/>
    <x v="1"/>
    <x v="3"/>
    <n v="4"/>
    <s v="California"/>
    <s v="Santa Clara County"/>
    <n v="5"/>
    <x v="8"/>
    <s v="Male"/>
  </r>
  <r>
    <s v="TX501558"/>
    <s v="Jewelry"/>
    <n v="9"/>
    <n v="42.1"/>
    <n v="378.90000000000003"/>
    <x v="57"/>
    <d v="2025-03-10T00:00:00"/>
    <x v="1"/>
    <x v="1"/>
    <n v="4"/>
    <s v="California"/>
    <s v="Sonoma County"/>
    <n v="11"/>
    <x v="8"/>
    <s v="Male"/>
  </r>
  <r>
    <s v="TX501559"/>
    <s v="Leggings"/>
    <n v="7"/>
    <n v="58.7"/>
    <n v="410.90000000000003"/>
    <x v="57"/>
    <d v="2025-02-27T00:00:00"/>
    <x v="3"/>
    <x v="3"/>
    <n v="4"/>
    <s v="California"/>
    <s v="Sutter County"/>
    <n v="0"/>
    <x v="8"/>
    <s v="Other"/>
  </r>
  <r>
    <s v="TX501560"/>
    <s v="Jeans"/>
    <n v="4"/>
    <n v="54"/>
    <n v="216"/>
    <x v="57"/>
    <d v="2025-03-01T00:00:00"/>
    <x v="2"/>
    <x v="1"/>
    <n v="4"/>
    <s v="California"/>
    <s v="Contra Costa County"/>
    <n v="2"/>
    <x v="8"/>
    <s v="Female"/>
  </r>
  <r>
    <s v="TX501561"/>
    <s v="T-Shirts"/>
    <n v="1"/>
    <n v="52.1"/>
    <n v="52.1"/>
    <x v="57"/>
    <d v="2025-02-28T00:00:00"/>
    <x v="2"/>
    <x v="2"/>
    <n v="5"/>
    <s v="California"/>
    <s v="Fresno County"/>
    <n v="1"/>
    <x v="8"/>
    <s v="Female"/>
  </r>
  <r>
    <s v="TX501562"/>
    <s v="Jewelry"/>
    <n v="2"/>
    <n v="27"/>
    <n v="54"/>
    <x v="57"/>
    <d v="2025-03-02T00:00:00"/>
    <x v="3"/>
    <x v="2"/>
    <n v="4"/>
    <s v="California"/>
    <s v="Kern County"/>
    <n v="3"/>
    <x v="8"/>
    <s v="Other"/>
  </r>
  <r>
    <s v="TX501563"/>
    <s v="Casual Dresses"/>
    <n v="10"/>
    <n v="31"/>
    <n v="310"/>
    <x v="58"/>
    <d v="2025-03-01T00:00:00"/>
    <x v="2"/>
    <x v="3"/>
    <n v="5"/>
    <s v="California"/>
    <s v="Kern County"/>
    <n v="1"/>
    <x v="8"/>
    <s v="Female"/>
  </r>
  <r>
    <s v="TX501564"/>
    <s v="Bikinis"/>
    <n v="2"/>
    <n v="46.7"/>
    <n v="93.4"/>
    <x v="58"/>
    <d v="2025-02-28T00:00:00"/>
    <x v="2"/>
    <x v="0"/>
    <n v="4"/>
    <s v="California"/>
    <s v="Kings County"/>
    <n v="0"/>
    <x v="8"/>
    <s v="Female"/>
  </r>
  <r>
    <s v="TX501565"/>
    <s v="Jeans"/>
    <n v="1"/>
    <n v="144.69999999999999"/>
    <n v="144.69999999999999"/>
    <x v="58"/>
    <d v="2025-03-03T00:00:00"/>
    <x v="1"/>
    <x v="0"/>
    <n v="5"/>
    <s v="California"/>
    <s v="Los Angeles County"/>
    <n v="3"/>
    <x v="8"/>
    <s v="Male"/>
  </r>
  <r>
    <s v="TX501566"/>
    <s v="Sneakers"/>
    <n v="9"/>
    <n v="90.9"/>
    <n v="818.1"/>
    <x v="58"/>
    <d v="2025-03-01T00:00:00"/>
    <x v="1"/>
    <x v="0"/>
    <n v="5"/>
    <s v="California"/>
    <s v="Los Angeles County"/>
    <n v="1"/>
    <x v="8"/>
    <s v="Male"/>
  </r>
  <r>
    <s v="TX501567"/>
    <s v="Tank Tops"/>
    <n v="2"/>
    <n v="75.8"/>
    <n v="151.6"/>
    <x v="58"/>
    <d v="2025-03-01T00:00:00"/>
    <x v="2"/>
    <x v="2"/>
    <n v="3"/>
    <s v="California"/>
    <s v="Los Angeles County"/>
    <n v="1"/>
    <x v="8"/>
    <s v="Female"/>
  </r>
  <r>
    <s v="TX501568"/>
    <s v="Hoodies &amp; Sweatshirts"/>
    <n v="5"/>
    <n v="57.9"/>
    <n v="289.5"/>
    <x v="58"/>
    <d v="2025-03-02T00:00:00"/>
    <x v="1"/>
    <x v="2"/>
    <n v="5"/>
    <s v="California"/>
    <s v="Los Angeles County"/>
    <n v="2"/>
    <x v="8"/>
    <s v="Male"/>
  </r>
  <r>
    <s v="TX501569"/>
    <s v="T-Shirts"/>
    <n v="5"/>
    <n v="44.8"/>
    <n v="224"/>
    <x v="58"/>
    <d v="2025-03-01T00:00:00"/>
    <x v="2"/>
    <x v="3"/>
    <n v="5"/>
    <s v="California"/>
    <s v="Los Angeles County"/>
    <n v="1"/>
    <x v="8"/>
    <s v="Female"/>
  </r>
  <r>
    <s v="TX501570"/>
    <s v="Sundresses"/>
    <n v="3"/>
    <n v="44.2"/>
    <n v="132.60000000000002"/>
    <x v="58"/>
    <d v="2025-03-04T00:00:00"/>
    <x v="1"/>
    <x v="2"/>
    <n v="5"/>
    <s v="California"/>
    <s v="Los Angeles County"/>
    <n v="4"/>
    <x v="8"/>
    <s v="Male"/>
  </r>
  <r>
    <s v="TX501571"/>
    <s v="Sandals"/>
    <n v="5"/>
    <n v="53.5"/>
    <n v="267.5"/>
    <x v="58"/>
    <d v="2025-03-02T00:00:00"/>
    <x v="1"/>
    <x v="0"/>
    <n v="4"/>
    <s v="California"/>
    <s v="Madera County"/>
    <n v="2"/>
    <x v="8"/>
    <s v="Male"/>
  </r>
  <r>
    <s v="TX501572"/>
    <s v="Jeans"/>
    <n v="2"/>
    <n v="72.2"/>
    <n v="144.4"/>
    <x v="58"/>
    <d v="2025-03-01T00:00:00"/>
    <x v="1"/>
    <x v="0"/>
    <n v="5"/>
    <s v="California"/>
    <s v="Orange County"/>
    <n v="1"/>
    <x v="8"/>
    <s v="Male"/>
  </r>
  <r>
    <s v="TX501573"/>
    <s v="Jeans"/>
    <n v="4"/>
    <n v="62.4"/>
    <n v="249.6"/>
    <x v="58"/>
    <d v="2025-03-03T00:00:00"/>
    <x v="2"/>
    <x v="0"/>
    <n v="3"/>
    <s v="California"/>
    <s v="Riverside County"/>
    <n v="3"/>
    <x v="8"/>
    <s v="Female"/>
  </r>
  <r>
    <s v="TX501574"/>
    <s v="Bikinis"/>
    <n v="5"/>
    <n v="24.7"/>
    <n v="123.5"/>
    <x v="58"/>
    <d v="2025-03-01T00:00:00"/>
    <x v="2"/>
    <x v="0"/>
    <n v="4"/>
    <s v="California"/>
    <s v="Sacramento County"/>
    <n v="1"/>
    <x v="8"/>
    <s v="Female"/>
  </r>
  <r>
    <s v="TX501575"/>
    <s v="Tank Tops"/>
    <n v="5"/>
    <n v="61.7"/>
    <n v="308.5"/>
    <x v="58"/>
    <d v="2025-03-02T00:00:00"/>
    <x v="2"/>
    <x v="2"/>
    <n v="4"/>
    <s v="California"/>
    <s v="San Diego County"/>
    <n v="2"/>
    <x v="8"/>
    <s v="Female"/>
  </r>
  <r>
    <s v="TX501576"/>
    <s v="T-Shirts"/>
    <n v="5"/>
    <n v="18.2"/>
    <n v="91"/>
    <x v="58"/>
    <d v="2025-03-02T00:00:00"/>
    <x v="2"/>
    <x v="3"/>
    <n v="4"/>
    <s v="California"/>
    <s v="San Diego County"/>
    <n v="2"/>
    <x v="8"/>
    <s v="Female"/>
  </r>
  <r>
    <s v="TX501577"/>
    <s v="Bikinis"/>
    <n v="4"/>
    <n v="37.200000000000003"/>
    <n v="148.80000000000001"/>
    <x v="58"/>
    <d v="2025-03-06T00:00:00"/>
    <x v="2"/>
    <x v="0"/>
    <n v="4"/>
    <s v="California"/>
    <s v="San Diego County"/>
    <n v="6"/>
    <x v="8"/>
    <s v="Female"/>
  </r>
  <r>
    <s v="TX501578"/>
    <s v="Sundresses"/>
    <n v="3"/>
    <n v="53.5"/>
    <n v="160.5"/>
    <x v="58"/>
    <d v="2025-03-02T00:00:00"/>
    <x v="2"/>
    <x v="1"/>
    <n v="5"/>
    <s v="California"/>
    <s v="San Mateo County"/>
    <n v="2"/>
    <x v="8"/>
    <s v="Female"/>
  </r>
  <r>
    <s v="TX501579"/>
    <s v="T-Shirts"/>
    <n v="3"/>
    <n v="43.6"/>
    <n v="130.80000000000001"/>
    <x v="58"/>
    <d v="2025-02-28T00:00:00"/>
    <x v="2"/>
    <x v="0"/>
    <n v="4"/>
    <s v="California"/>
    <s v="San Mateo County"/>
    <n v="0"/>
    <x v="8"/>
    <s v="Female"/>
  </r>
  <r>
    <s v="TX501580"/>
    <s v="Tank Tops"/>
    <n v="10"/>
    <n v="135"/>
    <n v="1350"/>
    <x v="58"/>
    <d v="2025-03-02T00:00:00"/>
    <x v="2"/>
    <x v="0"/>
    <n v="5"/>
    <s v="California"/>
    <s v="San Mateo County"/>
    <n v="2"/>
    <x v="8"/>
    <s v="Female"/>
  </r>
  <r>
    <s v="TX501581"/>
    <s v="T-Shirts"/>
    <n v="5"/>
    <n v="38.5"/>
    <n v="192.5"/>
    <x v="58"/>
    <d v="2025-02-28T00:00:00"/>
    <x v="1"/>
    <x v="4"/>
    <n v="5"/>
    <s v="California"/>
    <s v="Santa Barbara County"/>
    <n v="0"/>
    <x v="8"/>
    <s v="Male"/>
  </r>
  <r>
    <s v="TX501582"/>
    <s v="Sundresses"/>
    <n v="2"/>
    <n v="24"/>
    <n v="48"/>
    <x v="58"/>
    <d v="2025-03-05T00:00:00"/>
    <x v="2"/>
    <x v="0"/>
    <n v="4"/>
    <s v="California"/>
    <s v="Santa Clara County"/>
    <n v="5"/>
    <x v="8"/>
    <s v="Female"/>
  </r>
  <r>
    <s v="TX501583"/>
    <s v="Graphic Tees"/>
    <n v="3"/>
    <n v="28.2"/>
    <n v="84.6"/>
    <x v="58"/>
    <d v="2025-03-02T00:00:00"/>
    <x v="1"/>
    <x v="0"/>
    <n v="1"/>
    <s v="California"/>
    <s v="Sonoma County"/>
    <n v="2"/>
    <x v="8"/>
    <s v="Male"/>
  </r>
  <r>
    <s v="TX501584"/>
    <s v="Hoodies &amp; Sweatshirts"/>
    <n v="3"/>
    <n v="37.4"/>
    <n v="112.19999999999999"/>
    <x v="58"/>
    <d v="2025-03-01T00:00:00"/>
    <x v="2"/>
    <x v="3"/>
    <n v="4"/>
    <s v="California"/>
    <s v="Contra Costa County"/>
    <n v="1"/>
    <x v="8"/>
    <s v="Female"/>
  </r>
  <r>
    <s v="TX501585"/>
    <s v="Jeans"/>
    <n v="3"/>
    <n v="53.5"/>
    <n v="160.5"/>
    <x v="58"/>
    <d v="2025-03-03T00:00:00"/>
    <x v="0"/>
    <x v="4"/>
    <n v="2"/>
    <s v="California"/>
    <s v="Contra Costa County"/>
    <n v="3"/>
    <x v="8"/>
    <s v="Unknown"/>
  </r>
  <r>
    <s v="TX501586"/>
    <s v="Maxi Dresses"/>
    <n v="5"/>
    <n v="36.200000000000003"/>
    <n v="181"/>
    <x v="58"/>
    <d v="2025-03-01T00:00:00"/>
    <x v="1"/>
    <x v="1"/>
    <n v="5"/>
    <s v="California"/>
    <s v="Imperial County"/>
    <n v="1"/>
    <x v="8"/>
    <s v="Male"/>
  </r>
  <r>
    <s v="TX501587"/>
    <s v="Shorts"/>
    <n v="8"/>
    <n v="31.9"/>
    <n v="255.2"/>
    <x v="58"/>
    <d v="2025-03-01T00:00:00"/>
    <x v="2"/>
    <x v="4"/>
    <n v="4"/>
    <s v="California"/>
    <s v="Los Angeles County"/>
    <n v="1"/>
    <x v="8"/>
    <s v="Female"/>
  </r>
  <r>
    <s v="TX501588"/>
    <s v="T-Shirts"/>
    <n v="3"/>
    <n v="21.3"/>
    <n v="63.900000000000006"/>
    <x v="58"/>
    <d v="2025-03-01T00:00:00"/>
    <x v="1"/>
    <x v="0"/>
    <n v="5"/>
    <s v="California"/>
    <s v="Los Angeles County"/>
    <n v="1"/>
    <x v="8"/>
    <s v="Male"/>
  </r>
  <r>
    <s v="TX501589"/>
    <s v="T-Shirts"/>
    <n v="1"/>
    <n v="36.299999999999997"/>
    <n v="36.299999999999997"/>
    <x v="58"/>
    <d v="2025-03-02T00:00:00"/>
    <x v="3"/>
    <x v="4"/>
    <n v="4"/>
    <s v="California"/>
    <s v="Los Angeles County"/>
    <n v="2"/>
    <x v="8"/>
    <s v="Other"/>
  </r>
  <r>
    <s v="TX501590"/>
    <s v="Jeans"/>
    <n v="3"/>
    <n v="110.5"/>
    <n v="331.5"/>
    <x v="58"/>
    <d v="2025-03-01T00:00:00"/>
    <x v="2"/>
    <x v="0"/>
    <n v="1"/>
    <s v="California"/>
    <s v="Los Angeles County"/>
    <n v="1"/>
    <x v="8"/>
    <s v="Female"/>
  </r>
  <r>
    <s v="TX501591"/>
    <s v="Bikinis"/>
    <n v="7"/>
    <n v="32.6"/>
    <n v="228.20000000000002"/>
    <x v="58"/>
    <d v="2025-03-02T00:00:00"/>
    <x v="2"/>
    <x v="0"/>
    <n v="3"/>
    <s v="California"/>
    <s v="Los Angeles County"/>
    <n v="2"/>
    <x v="8"/>
    <s v="Female"/>
  </r>
  <r>
    <s v="TX501592"/>
    <s v="Sandals"/>
    <n v="3"/>
    <n v="55.6"/>
    <n v="166.8"/>
    <x v="59"/>
    <d v="2025-03-14T00:00:00"/>
    <x v="2"/>
    <x v="0"/>
    <n v="4"/>
    <s v="California"/>
    <s v="Los Angeles County"/>
    <n v="13"/>
    <x v="8"/>
    <s v="Female"/>
  </r>
  <r>
    <s v="TX501593"/>
    <s v="Tank Tops"/>
    <n v="4"/>
    <n v="38"/>
    <n v="152"/>
    <x v="59"/>
    <d v="2025-03-02T00:00:00"/>
    <x v="2"/>
    <x v="3"/>
    <n v="5"/>
    <s v="California"/>
    <s v="Placer County"/>
    <n v="1"/>
    <x v="8"/>
    <s v="Female"/>
  </r>
  <r>
    <s v="TX501594"/>
    <s v="Bikinis"/>
    <n v="2"/>
    <n v="51.8"/>
    <n v="103.6"/>
    <x v="59"/>
    <d v="2025-03-07T00:00:00"/>
    <x v="1"/>
    <x v="1"/>
    <n v="2"/>
    <s v="California"/>
    <s v="Sacramento County"/>
    <n v="6"/>
    <x v="8"/>
    <s v="Male"/>
  </r>
  <r>
    <s v="TX501595"/>
    <s v="Maxi Dresses"/>
    <n v="8"/>
    <n v="28.7"/>
    <n v="229.6"/>
    <x v="59"/>
    <d v="2025-03-06T00:00:00"/>
    <x v="2"/>
    <x v="0"/>
    <n v="4"/>
    <s v="California"/>
    <s v="Sacramento County"/>
    <n v="5"/>
    <x v="8"/>
    <s v="Female"/>
  </r>
  <r>
    <s v="TX501596"/>
    <s v="Jeans"/>
    <n v="12"/>
    <n v="52.2"/>
    <n v="626.40000000000009"/>
    <x v="59"/>
    <d v="2025-03-01T00:00:00"/>
    <x v="1"/>
    <x v="0"/>
    <n v="3"/>
    <s v="California"/>
    <s v="Sacramento County"/>
    <n v="0"/>
    <x v="8"/>
    <s v="Male"/>
  </r>
  <r>
    <s v="TX501597"/>
    <s v="Tank Tops"/>
    <n v="2"/>
    <n v="68.2"/>
    <n v="136.4"/>
    <x v="59"/>
    <d v="2025-03-02T00:00:00"/>
    <x v="0"/>
    <x v="2"/>
    <n v="4"/>
    <s v="California"/>
    <s v="San Bernardino County"/>
    <n v="1"/>
    <x v="8"/>
    <s v="Unknown"/>
  </r>
  <r>
    <s v="TX501598"/>
    <s v="Shorts"/>
    <n v="3"/>
    <n v="34"/>
    <n v="102"/>
    <x v="59"/>
    <d v="2025-03-05T00:00:00"/>
    <x v="2"/>
    <x v="0"/>
    <n v="4"/>
    <s v="California"/>
    <s v="San Diego County"/>
    <n v="4"/>
    <x v="8"/>
    <s v="Female"/>
  </r>
  <r>
    <s v="TX501599"/>
    <s v="T-Shirts"/>
    <n v="3"/>
    <n v="19.100000000000001"/>
    <n v="57.300000000000004"/>
    <x v="59"/>
    <d v="2025-03-02T00:00:00"/>
    <x v="2"/>
    <x v="4"/>
    <n v="4"/>
    <s v="California"/>
    <s v="San Diego County"/>
    <n v="1"/>
    <x v="8"/>
    <s v="Female"/>
  </r>
  <r>
    <s v="TX501600"/>
    <s v="Sandals"/>
    <n v="8"/>
    <n v="34"/>
    <n v="272"/>
    <x v="59"/>
    <d v="2025-03-09T00:00:00"/>
    <x v="2"/>
    <x v="4"/>
    <n v="4"/>
    <s v="California"/>
    <s v="San Diego County"/>
    <n v="8"/>
    <x v="8"/>
    <s v="Female"/>
  </r>
  <r>
    <s v="TX501601"/>
    <s v="Casual Dresses"/>
    <n v="2"/>
    <n v="109.1"/>
    <n v="218.2"/>
    <x v="59"/>
    <d v="2025-03-03T00:00:00"/>
    <x v="1"/>
    <x v="0"/>
    <n v="5"/>
    <s v="California"/>
    <s v="San Diego County"/>
    <n v="2"/>
    <x v="8"/>
    <s v="Male"/>
  </r>
  <r>
    <s v="TX501602"/>
    <s v="Leggings"/>
    <n v="2"/>
    <n v="64.8"/>
    <n v="129.6"/>
    <x v="59"/>
    <d v="2025-03-03T00:00:00"/>
    <x v="1"/>
    <x v="0"/>
    <n v="5"/>
    <s v="California"/>
    <s v="San Diego County"/>
    <n v="2"/>
    <x v="8"/>
    <s v="Male"/>
  </r>
  <r>
    <s v="TX501603"/>
    <s v="Bikinis"/>
    <n v="2"/>
    <n v="21.1"/>
    <n v="42.2"/>
    <x v="59"/>
    <d v="2025-03-01T00:00:00"/>
    <x v="2"/>
    <x v="1"/>
    <n v="4"/>
    <s v="California"/>
    <s v="Santa Clara County"/>
    <n v="0"/>
    <x v="8"/>
    <s v="Female"/>
  </r>
  <r>
    <s v="TX501604"/>
    <s v="Shorts"/>
    <n v="8"/>
    <n v="21.3"/>
    <n v="170.4"/>
    <x v="59"/>
    <d v="2025-03-03T00:00:00"/>
    <x v="1"/>
    <x v="3"/>
    <n v="3"/>
    <s v="California"/>
    <s v="Sonoma County"/>
    <n v="2"/>
    <x v="8"/>
    <s v="Male"/>
  </r>
  <r>
    <s v="TX501605"/>
    <s v="Sundresses"/>
    <n v="3"/>
    <n v="24.3"/>
    <n v="72.900000000000006"/>
    <x v="59"/>
    <d v="2025-03-02T00:00:00"/>
    <x v="1"/>
    <x v="1"/>
    <n v="4"/>
    <s v="California"/>
    <s v="Stanislaus County"/>
    <n v="1"/>
    <x v="8"/>
    <s v="Male"/>
  </r>
  <r>
    <s v="TX501606"/>
    <s v="T-Shirts"/>
    <n v="1"/>
    <n v="43.3"/>
    <n v="43.3"/>
    <x v="59"/>
    <d v="2025-03-05T00:00:00"/>
    <x v="1"/>
    <x v="1"/>
    <n v="3"/>
    <s v="California"/>
    <s v="Ventura County"/>
    <n v="4"/>
    <x v="8"/>
    <s v="Male"/>
  </r>
  <r>
    <s v="TX501607"/>
    <s v="Sundresses"/>
    <n v="3"/>
    <n v="41"/>
    <n v="123"/>
    <x v="59"/>
    <d v="2025-03-02T00:00:00"/>
    <x v="2"/>
    <x v="3"/>
    <n v="2"/>
    <s v="California"/>
    <s v="Alameda County"/>
    <n v="1"/>
    <x v="8"/>
    <s v="Female"/>
  </r>
  <r>
    <s v="TX501608"/>
    <s v="Sunglasses"/>
    <n v="3"/>
    <n v="54.1"/>
    <n v="162.30000000000001"/>
    <x v="59"/>
    <d v="2025-03-03T00:00:00"/>
    <x v="2"/>
    <x v="4"/>
    <n v="4"/>
    <s v="California"/>
    <s v="Alameda County"/>
    <n v="2"/>
    <x v="8"/>
    <s v="Female"/>
  </r>
  <r>
    <s v="TX501609"/>
    <s v="Maxi Dresses"/>
    <n v="2"/>
    <n v="39"/>
    <n v="78"/>
    <x v="59"/>
    <d v="2025-03-02T00:00:00"/>
    <x v="1"/>
    <x v="1"/>
    <n v="5"/>
    <s v="California"/>
    <s v="Contra Costa County"/>
    <n v="1"/>
    <x v="8"/>
    <s v="Male"/>
  </r>
  <r>
    <s v="TX501610"/>
    <s v="T-Shirts"/>
    <n v="2"/>
    <n v="40.299999999999997"/>
    <n v="80.599999999999994"/>
    <x v="59"/>
    <d v="2025-03-03T00:00:00"/>
    <x v="1"/>
    <x v="3"/>
    <n v="4"/>
    <s v="California"/>
    <s v="Glenn County"/>
    <n v="2"/>
    <x v="8"/>
    <s v="Male"/>
  </r>
  <r>
    <s v="TX501611"/>
    <s v="T-Shirts"/>
    <n v="3"/>
    <n v="24.1"/>
    <n v="72.300000000000011"/>
    <x v="59"/>
    <d v="2025-03-02T00:00:00"/>
    <x v="1"/>
    <x v="0"/>
    <n v="5"/>
    <s v="California"/>
    <s v="Kings County"/>
    <n v="1"/>
    <x v="8"/>
    <s v="Male"/>
  </r>
  <r>
    <s v="TX501612"/>
    <s v="Jeans"/>
    <n v="5"/>
    <n v="52.3"/>
    <n v="261.5"/>
    <x v="59"/>
    <d v="2025-03-02T00:00:00"/>
    <x v="1"/>
    <x v="2"/>
    <n v="4"/>
    <s v="California"/>
    <s v="Los Angeles County"/>
    <n v="1"/>
    <x v="8"/>
    <s v="Male"/>
  </r>
  <r>
    <s v="TX501613"/>
    <s v="Casual Dresses"/>
    <n v="4"/>
    <n v="68.8"/>
    <n v="275.2"/>
    <x v="59"/>
    <d v="2025-03-05T00:00:00"/>
    <x v="2"/>
    <x v="4"/>
    <n v="5"/>
    <s v="California"/>
    <s v="Los Angeles County"/>
    <n v="4"/>
    <x v="8"/>
    <s v="Female"/>
  </r>
  <r>
    <s v="TX501614"/>
    <s v="Sneakers"/>
    <n v="2"/>
    <n v="128.80000000000001"/>
    <n v="257.60000000000002"/>
    <x v="60"/>
    <d v="2025-03-05T00:00:00"/>
    <x v="2"/>
    <x v="1"/>
    <n v="3"/>
    <s v="California"/>
    <s v="Los Angeles County"/>
    <n v="3"/>
    <x v="9"/>
    <s v="Female"/>
  </r>
  <r>
    <s v="TX501615"/>
    <s v="Crop Tops"/>
    <n v="5"/>
    <n v="48.2"/>
    <n v="241"/>
    <x v="60"/>
    <d v="2025-03-04T00:00:00"/>
    <x v="2"/>
    <x v="3"/>
    <n v="4"/>
    <s v="California"/>
    <s v="Los Angeles County"/>
    <n v="2"/>
    <x v="9"/>
    <s v="Female"/>
  </r>
  <r>
    <s v="TX501616"/>
    <s v="Bikinis"/>
    <n v="1"/>
    <n v="39.700000000000003"/>
    <n v="39.700000000000003"/>
    <x v="60"/>
    <d v="2025-03-04T00:00:00"/>
    <x v="2"/>
    <x v="0"/>
    <n v="3"/>
    <s v="California"/>
    <s v="Los Angeles County"/>
    <n v="2"/>
    <x v="9"/>
    <s v="Female"/>
  </r>
  <r>
    <s v="TX501617"/>
    <s v="Sundresses"/>
    <n v="1"/>
    <n v="59.7"/>
    <n v="59.7"/>
    <x v="60"/>
    <d v="2025-03-05T00:00:00"/>
    <x v="2"/>
    <x v="4"/>
    <n v="4"/>
    <s v="California"/>
    <s v="Los Angeles County"/>
    <n v="3"/>
    <x v="9"/>
    <s v="Female"/>
  </r>
  <r>
    <s v="TX501618"/>
    <s v="Jeans"/>
    <n v="1"/>
    <n v="48.3"/>
    <n v="48.3"/>
    <x v="60"/>
    <d v="2025-03-16T00:00:00"/>
    <x v="3"/>
    <x v="0"/>
    <n v="5"/>
    <s v="California"/>
    <s v="Los Angeles County"/>
    <n v="14"/>
    <x v="9"/>
    <s v="Other"/>
  </r>
  <r>
    <s v="TX501619"/>
    <s v="T-Shirts"/>
    <n v="3"/>
    <n v="45.5"/>
    <n v="136.5"/>
    <x v="60"/>
    <d v="2025-03-04T00:00:00"/>
    <x v="1"/>
    <x v="2"/>
    <n v="3"/>
    <s v="California"/>
    <s v="Los Angeles County"/>
    <n v="2"/>
    <x v="9"/>
    <s v="Male"/>
  </r>
  <r>
    <s v="TX501620"/>
    <s v="Sundresses"/>
    <n v="27"/>
    <n v="51"/>
    <n v="1377"/>
    <x v="60"/>
    <d v="2025-03-02T00:00:00"/>
    <x v="2"/>
    <x v="2"/>
    <n v="4"/>
    <s v="California"/>
    <s v="Los Angeles County"/>
    <n v="0"/>
    <x v="9"/>
    <s v="Female"/>
  </r>
  <r>
    <s v="TX501621"/>
    <s v="Graphic Tees"/>
    <n v="6"/>
    <n v="20.399999999999999"/>
    <n v="122.39999999999999"/>
    <x v="60"/>
    <d v="2025-03-03T00:00:00"/>
    <x v="1"/>
    <x v="2"/>
    <n v="4"/>
    <s v="California"/>
    <s v="Los Angeles County"/>
    <n v="1"/>
    <x v="9"/>
    <s v="Male"/>
  </r>
  <r>
    <s v="TX501622"/>
    <s v="Bikinis"/>
    <n v="2"/>
    <n v="30.4"/>
    <n v="60.8"/>
    <x v="60"/>
    <d v="2025-03-04T00:00:00"/>
    <x v="1"/>
    <x v="2"/>
    <n v="4"/>
    <s v="California"/>
    <s v="Los Angeles County"/>
    <n v="2"/>
    <x v="9"/>
    <s v="Male"/>
  </r>
  <r>
    <s v="TX501623"/>
    <s v="Hoodies &amp; Sweatshirts"/>
    <n v="2"/>
    <n v="71.5"/>
    <n v="143"/>
    <x v="60"/>
    <d v="2025-03-06T00:00:00"/>
    <x v="2"/>
    <x v="0"/>
    <n v="4"/>
    <s v="California"/>
    <s v="Los Angeles County"/>
    <n v="4"/>
    <x v="9"/>
    <s v="Female"/>
  </r>
  <r>
    <s v="TX501624"/>
    <s v="T-Shirts"/>
    <n v="6"/>
    <n v="18"/>
    <n v="108"/>
    <x v="60"/>
    <d v="2025-03-03T00:00:00"/>
    <x v="3"/>
    <x v="1"/>
    <n v="5"/>
    <s v="California"/>
    <s v="Sacramento County"/>
    <n v="1"/>
    <x v="9"/>
    <s v="Other"/>
  </r>
  <r>
    <s v="TX501625"/>
    <s v="Crop Tops"/>
    <n v="11"/>
    <n v="45.6"/>
    <n v="501.6"/>
    <x v="60"/>
    <d v="2025-03-03T00:00:00"/>
    <x v="3"/>
    <x v="1"/>
    <n v="3"/>
    <s v="California"/>
    <s v="San Bernardino County"/>
    <n v="1"/>
    <x v="9"/>
    <s v="Other"/>
  </r>
  <r>
    <s v="TX501626"/>
    <s v="Sundresses"/>
    <n v="1"/>
    <n v="31.8"/>
    <n v="31.8"/>
    <x v="60"/>
    <d v="2025-03-06T00:00:00"/>
    <x v="2"/>
    <x v="0"/>
    <n v="5"/>
    <s v="California"/>
    <s v="San Bernardino County"/>
    <n v="4"/>
    <x v="9"/>
    <s v="Female"/>
  </r>
  <r>
    <s v="TX501627"/>
    <s v="T-Shirts"/>
    <n v="5"/>
    <n v="19.899999999999999"/>
    <n v="99.5"/>
    <x v="60"/>
    <d v="2025-03-03T00:00:00"/>
    <x v="2"/>
    <x v="1"/>
    <n v="4"/>
    <s v="California"/>
    <s v="San Bernardino County"/>
    <n v="1"/>
    <x v="9"/>
    <s v="Female"/>
  </r>
  <r>
    <s v="TX501628"/>
    <s v="Casual Dresses"/>
    <n v="9"/>
    <n v="52.1"/>
    <n v="468.90000000000003"/>
    <x v="60"/>
    <d v="2025-03-04T00:00:00"/>
    <x v="1"/>
    <x v="0"/>
    <n v="4"/>
    <s v="California"/>
    <s v="San Diego County"/>
    <n v="2"/>
    <x v="9"/>
    <s v="Male"/>
  </r>
  <r>
    <s v="TX501629"/>
    <s v="Tank Tops"/>
    <n v="7"/>
    <n v="45.9"/>
    <n v="321.3"/>
    <x v="60"/>
    <d v="2025-03-03T00:00:00"/>
    <x v="1"/>
    <x v="0"/>
    <n v="3"/>
    <s v="California"/>
    <s v="San Diego County"/>
    <n v="1"/>
    <x v="9"/>
    <s v="Male"/>
  </r>
  <r>
    <s v="TX501630"/>
    <s v="Tank Tops"/>
    <n v="10"/>
    <n v="115.9"/>
    <n v="1159"/>
    <x v="60"/>
    <d v="2025-03-05T00:00:00"/>
    <x v="2"/>
    <x v="1"/>
    <n v="4"/>
    <s v="California"/>
    <s v="San Diego County"/>
    <n v="3"/>
    <x v="9"/>
    <s v="Female"/>
  </r>
  <r>
    <s v="TX501631"/>
    <s v="Jeans"/>
    <n v="9"/>
    <n v="86"/>
    <n v="774"/>
    <x v="60"/>
    <d v="2025-03-07T00:00:00"/>
    <x v="2"/>
    <x v="0"/>
    <n v="3"/>
    <s v="California"/>
    <s v="San Diego County"/>
    <n v="5"/>
    <x v="9"/>
    <s v="Female"/>
  </r>
  <r>
    <s v="TX501632"/>
    <s v="Hoodies &amp; Sweatshirts"/>
    <n v="7"/>
    <n v="73.599999999999994"/>
    <n v="515.19999999999993"/>
    <x v="60"/>
    <d v="2025-03-04T00:00:00"/>
    <x v="2"/>
    <x v="0"/>
    <n v="4"/>
    <s v="California"/>
    <s v="San Francisco"/>
    <n v="2"/>
    <x v="9"/>
    <s v="Female"/>
  </r>
  <r>
    <s v="TX501633"/>
    <s v="Bikinis"/>
    <n v="3"/>
    <n v="26.7"/>
    <n v="80.099999999999994"/>
    <x v="60"/>
    <d v="2025-03-06T00:00:00"/>
    <x v="2"/>
    <x v="0"/>
    <n v="4"/>
    <s v="California"/>
    <s v="Santa Clara County"/>
    <n v="4"/>
    <x v="9"/>
    <s v="Female"/>
  </r>
  <r>
    <s v="TX501634"/>
    <s v="T-Shirts"/>
    <n v="7"/>
    <n v="46.6"/>
    <n v="326.2"/>
    <x v="60"/>
    <d v="2025-03-04T00:00:00"/>
    <x v="0"/>
    <x v="3"/>
    <n v="4"/>
    <s v="California"/>
    <s v="Santa Clara County"/>
    <n v="2"/>
    <x v="9"/>
    <s v="Unknown"/>
  </r>
  <r>
    <s v="TX501635"/>
    <s v="Workout Tops"/>
    <n v="3"/>
    <n v="84.6"/>
    <n v="253.79999999999998"/>
    <x v="60"/>
    <d v="2025-03-04T00:00:00"/>
    <x v="1"/>
    <x v="4"/>
    <n v="4"/>
    <s v="California"/>
    <s v="Santa Clara County"/>
    <n v="2"/>
    <x v="9"/>
    <s v="Male"/>
  </r>
  <r>
    <s v="TX501636"/>
    <s v="Hoodies &amp; Sweatshirts"/>
    <n v="14"/>
    <n v="41.5"/>
    <n v="581"/>
    <x v="60"/>
    <d v="2025-03-16T00:00:00"/>
    <x v="1"/>
    <x v="1"/>
    <n v="4"/>
    <s v="California"/>
    <s v="Shasta County"/>
    <n v="14"/>
    <x v="9"/>
    <s v="Male"/>
  </r>
  <r>
    <s v="TX501637"/>
    <s v="T-Shirts"/>
    <n v="1"/>
    <n v="32.799999999999997"/>
    <n v="32.799999999999997"/>
    <x v="60"/>
    <d v="2025-03-05T00:00:00"/>
    <x v="1"/>
    <x v="0"/>
    <n v="5"/>
    <s v="California"/>
    <s v="Siskiyou County"/>
    <n v="3"/>
    <x v="9"/>
    <s v="Male"/>
  </r>
  <r>
    <s v="TX501638"/>
    <s v="Graphic Tees"/>
    <n v="7"/>
    <n v="46.7"/>
    <n v="326.90000000000003"/>
    <x v="60"/>
    <d v="2025-03-04T00:00:00"/>
    <x v="3"/>
    <x v="0"/>
    <n v="5"/>
    <s v="California"/>
    <s v="Sonoma County"/>
    <n v="2"/>
    <x v="9"/>
    <s v="Other"/>
  </r>
  <r>
    <s v="TX501639"/>
    <s v="Crop Tops"/>
    <n v="7"/>
    <n v="21"/>
    <n v="147"/>
    <x v="60"/>
    <d v="2025-03-05T00:00:00"/>
    <x v="1"/>
    <x v="2"/>
    <n v="3"/>
    <s v="California"/>
    <s v="Alameda County"/>
    <n v="3"/>
    <x v="9"/>
    <s v="Male"/>
  </r>
  <r>
    <s v="TX501640"/>
    <s v="Sandals"/>
    <n v="7"/>
    <n v="29.4"/>
    <n v="205.79999999999998"/>
    <x v="60"/>
    <d v="2025-03-02T00:00:00"/>
    <x v="1"/>
    <x v="3"/>
    <n v="5"/>
    <s v="California"/>
    <s v="Alameda County"/>
    <n v="0"/>
    <x v="9"/>
    <s v="Male"/>
  </r>
  <r>
    <s v="TX501641"/>
    <s v="Crop Tops"/>
    <n v="2"/>
    <n v="32.299999999999997"/>
    <n v="64.599999999999994"/>
    <x v="60"/>
    <d v="2025-03-03T00:00:00"/>
    <x v="1"/>
    <x v="0"/>
    <n v="5"/>
    <s v="California"/>
    <s v="Alameda County"/>
    <n v="1"/>
    <x v="9"/>
    <s v="Male"/>
  </r>
  <r>
    <s v="TX501642"/>
    <s v="Jeans"/>
    <n v="1"/>
    <n v="42.2"/>
    <n v="42.2"/>
    <x v="61"/>
    <d v="2025-03-05T00:00:00"/>
    <x v="2"/>
    <x v="0"/>
    <n v="5"/>
    <s v="California"/>
    <s v="Alameda County"/>
    <n v="2"/>
    <x v="9"/>
    <s v="Female"/>
  </r>
  <r>
    <s v="TX501643"/>
    <s v="Jeans"/>
    <n v="1"/>
    <n v="53.7"/>
    <n v="53.7"/>
    <x v="61"/>
    <d v="2025-03-05T00:00:00"/>
    <x v="1"/>
    <x v="1"/>
    <n v="3"/>
    <s v="California"/>
    <s v="Contra Costa County"/>
    <n v="2"/>
    <x v="9"/>
    <s v="Male"/>
  </r>
  <r>
    <s v="TX501644"/>
    <s v="Sneakers"/>
    <n v="2"/>
    <n v="123.9"/>
    <n v="247.8"/>
    <x v="61"/>
    <d v="2025-03-06T00:00:00"/>
    <x v="1"/>
    <x v="2"/>
    <n v="4"/>
    <s v="California"/>
    <s v="Contra Costa County"/>
    <n v="3"/>
    <x v="9"/>
    <s v="Male"/>
  </r>
  <r>
    <s v="TX501645"/>
    <s v="Graphic Tees"/>
    <n v="3"/>
    <n v="35.9"/>
    <n v="107.69999999999999"/>
    <x v="61"/>
    <d v="2025-03-05T00:00:00"/>
    <x v="1"/>
    <x v="2"/>
    <n v="4"/>
    <s v="California"/>
    <s v="Kern County"/>
    <n v="2"/>
    <x v="9"/>
    <s v="Male"/>
  </r>
  <r>
    <s v="TX501646"/>
    <s v="Graphic Tees"/>
    <n v="2"/>
    <n v="23.6"/>
    <n v="47.2"/>
    <x v="61"/>
    <d v="2025-03-06T00:00:00"/>
    <x v="1"/>
    <x v="0"/>
    <n v="5"/>
    <s v="California"/>
    <s v="Los Angeles County"/>
    <n v="3"/>
    <x v="9"/>
    <s v="Male"/>
  </r>
  <r>
    <s v="TX501647"/>
    <s v="Crop Tops"/>
    <n v="35"/>
    <n v="45.7"/>
    <n v="1599.5"/>
    <x v="61"/>
    <d v="2025-03-04T00:00:00"/>
    <x v="1"/>
    <x v="0"/>
    <n v="3"/>
    <s v="California"/>
    <s v="Los Angeles County"/>
    <n v="1"/>
    <x v="9"/>
    <s v="Male"/>
  </r>
  <r>
    <s v="TX501648"/>
    <s v="Jeans"/>
    <n v="11"/>
    <n v="118.3"/>
    <n v="1301.3"/>
    <x v="61"/>
    <d v="2025-03-05T00:00:00"/>
    <x v="1"/>
    <x v="4"/>
    <n v="5"/>
    <s v="California"/>
    <s v="Los Angeles County"/>
    <n v="2"/>
    <x v="9"/>
    <s v="Male"/>
  </r>
  <r>
    <s v="TX501649"/>
    <s v="Jewelry"/>
    <n v="1"/>
    <n v="36"/>
    <n v="36"/>
    <x v="61"/>
    <d v="2025-03-04T00:00:00"/>
    <x v="2"/>
    <x v="0"/>
    <n v="3"/>
    <s v="California"/>
    <s v="Los Angeles County"/>
    <n v="1"/>
    <x v="9"/>
    <s v="Female"/>
  </r>
  <r>
    <s v="TX501650"/>
    <s v="T-Shirts"/>
    <n v="2"/>
    <n v="37.1"/>
    <n v="74.2"/>
    <x v="61"/>
    <d v="2025-03-06T00:00:00"/>
    <x v="2"/>
    <x v="2"/>
    <n v="4"/>
    <s v="California"/>
    <s v="Los Angeles County"/>
    <n v="3"/>
    <x v="9"/>
    <s v="Female"/>
  </r>
  <r>
    <s v="TX501651"/>
    <s v="Leggings"/>
    <n v="3"/>
    <n v="45.1"/>
    <n v="135.30000000000001"/>
    <x v="61"/>
    <d v="2025-03-05T00:00:00"/>
    <x v="2"/>
    <x v="1"/>
    <n v="5"/>
    <s v="California"/>
    <s v="Los Angeles County"/>
    <n v="2"/>
    <x v="9"/>
    <s v="Female"/>
  </r>
  <r>
    <s v="TX501652"/>
    <s v="Sandals"/>
    <n v="16"/>
    <n v="37.9"/>
    <n v="606.4"/>
    <x v="61"/>
    <d v="2025-03-04T00:00:00"/>
    <x v="2"/>
    <x v="3"/>
    <n v="5"/>
    <s v="California"/>
    <s v="Los Angeles County"/>
    <n v="1"/>
    <x v="9"/>
    <s v="Female"/>
  </r>
  <r>
    <s v="TX501653"/>
    <s v="Sneakers"/>
    <n v="2"/>
    <n v="121.6"/>
    <n v="243.2"/>
    <x v="61"/>
    <d v="2025-03-06T00:00:00"/>
    <x v="1"/>
    <x v="3"/>
    <n v="5"/>
    <s v="California"/>
    <s v="Los Angeles County"/>
    <n v="3"/>
    <x v="9"/>
    <s v="Male"/>
  </r>
  <r>
    <s v="TX501654"/>
    <s v="Sandals"/>
    <n v="7"/>
    <n v="38.200000000000003"/>
    <n v="267.40000000000003"/>
    <x v="61"/>
    <d v="2025-03-06T00:00:00"/>
    <x v="2"/>
    <x v="0"/>
    <n v="4"/>
    <s v="California"/>
    <s v="Los Angeles County"/>
    <n v="3"/>
    <x v="9"/>
    <s v="Female"/>
  </r>
  <r>
    <s v="TX501655"/>
    <s v="Pajama Sets"/>
    <n v="2"/>
    <n v="37.200000000000003"/>
    <n v="74.400000000000006"/>
    <x v="61"/>
    <d v="2025-03-06T00:00:00"/>
    <x v="1"/>
    <x v="4"/>
    <n v="4"/>
    <s v="California"/>
    <s v="Los Angeles County"/>
    <n v="3"/>
    <x v="9"/>
    <s v="Male"/>
  </r>
  <r>
    <s v="TX501656"/>
    <s v="Sneakers"/>
    <n v="4"/>
    <n v="115.7"/>
    <n v="462.8"/>
    <x v="61"/>
    <d v="2025-03-06T00:00:00"/>
    <x v="2"/>
    <x v="1"/>
    <n v="4"/>
    <s v="California"/>
    <s v="Los Angeles County"/>
    <n v="3"/>
    <x v="9"/>
    <s v="Female"/>
  </r>
  <r>
    <s v="TX501657"/>
    <s v="Sneakers"/>
    <n v="6"/>
    <n v="99.4"/>
    <n v="596.40000000000009"/>
    <x v="61"/>
    <d v="2025-03-06T00:00:00"/>
    <x v="1"/>
    <x v="0"/>
    <n v="5"/>
    <s v="California"/>
    <s v="Los Angeles County"/>
    <n v="3"/>
    <x v="9"/>
    <s v="Male"/>
  </r>
  <r>
    <s v="TX501658"/>
    <s v="Maxi Dresses"/>
    <n v="1"/>
    <n v="38.700000000000003"/>
    <n v="38.700000000000003"/>
    <x v="61"/>
    <d v="2025-03-04T00:00:00"/>
    <x v="2"/>
    <x v="2"/>
    <n v="4"/>
    <s v="California"/>
    <s v="Orange County"/>
    <n v="1"/>
    <x v="9"/>
    <s v="Female"/>
  </r>
  <r>
    <s v="TX501659"/>
    <s v="Graphic Tees"/>
    <n v="2"/>
    <n v="35.5"/>
    <n v="71"/>
    <x v="61"/>
    <d v="2025-03-06T00:00:00"/>
    <x v="1"/>
    <x v="0"/>
    <n v="5"/>
    <s v="California"/>
    <s v="Orange County"/>
    <n v="3"/>
    <x v="9"/>
    <s v="Male"/>
  </r>
  <r>
    <s v="TX501660"/>
    <s v="Sneakers"/>
    <n v="4"/>
    <n v="93.3"/>
    <n v="373.2"/>
    <x v="61"/>
    <d v="2025-03-06T00:00:00"/>
    <x v="2"/>
    <x v="0"/>
    <n v="5"/>
    <s v="California"/>
    <s v="Sacramento County"/>
    <n v="3"/>
    <x v="9"/>
    <s v="Female"/>
  </r>
  <r>
    <s v="TX501661"/>
    <s v="Sunglasses"/>
    <n v="1"/>
    <n v="31.4"/>
    <n v="31.4"/>
    <x v="61"/>
    <d v="2025-03-08T00:00:00"/>
    <x v="2"/>
    <x v="2"/>
    <n v="5"/>
    <s v="California"/>
    <s v="Sacramento County"/>
    <n v="5"/>
    <x v="9"/>
    <s v="Female"/>
  </r>
  <r>
    <s v="TX501662"/>
    <s v="Tank Tops"/>
    <n v="1"/>
    <n v="85.9"/>
    <n v="85.9"/>
    <x v="61"/>
    <d v="2025-03-06T00:00:00"/>
    <x v="1"/>
    <x v="1"/>
    <n v="4"/>
    <s v="California"/>
    <s v="Sacramento County"/>
    <n v="3"/>
    <x v="9"/>
    <s v="Male"/>
  </r>
  <r>
    <s v="TX501663"/>
    <s v="Jeans"/>
    <n v="8"/>
    <n v="41.7"/>
    <n v="333.6"/>
    <x v="61"/>
    <d v="2025-03-11T00:00:00"/>
    <x v="1"/>
    <x v="0"/>
    <n v="5"/>
    <s v="California"/>
    <s v="San Bernardino County"/>
    <n v="8"/>
    <x v="9"/>
    <s v="Male"/>
  </r>
  <r>
    <s v="TX501664"/>
    <s v="T-Shirts"/>
    <n v="4"/>
    <n v="31.5"/>
    <n v="126"/>
    <x v="61"/>
    <d v="2025-03-04T00:00:00"/>
    <x v="2"/>
    <x v="0"/>
    <n v="4"/>
    <s v="California"/>
    <s v="San Bernardino County"/>
    <n v="1"/>
    <x v="9"/>
    <s v="Female"/>
  </r>
  <r>
    <s v="TX501665"/>
    <s v="T-Shirts"/>
    <n v="2"/>
    <n v="36.299999999999997"/>
    <n v="72.599999999999994"/>
    <x v="61"/>
    <d v="2025-03-04T00:00:00"/>
    <x v="2"/>
    <x v="0"/>
    <n v="2"/>
    <s v="California"/>
    <s v="San Diego County"/>
    <n v="1"/>
    <x v="9"/>
    <s v="Female"/>
  </r>
  <r>
    <s v="TX501666"/>
    <s v="T-Shirts"/>
    <n v="3"/>
    <n v="33.4"/>
    <n v="100.19999999999999"/>
    <x v="61"/>
    <d v="2025-03-04T00:00:00"/>
    <x v="2"/>
    <x v="3"/>
    <n v="4"/>
    <s v="California"/>
    <s v="San Francisco"/>
    <n v="1"/>
    <x v="9"/>
    <s v="Female"/>
  </r>
  <r>
    <s v="TX501667"/>
    <s v="Sneakers"/>
    <n v="3"/>
    <n v="65.2"/>
    <n v="195.60000000000002"/>
    <x v="61"/>
    <d v="2025-03-04T00:00:00"/>
    <x v="2"/>
    <x v="2"/>
    <n v="5"/>
    <s v="California"/>
    <s v="San Joaquin County"/>
    <n v="1"/>
    <x v="9"/>
    <s v="Female"/>
  </r>
  <r>
    <s v="TX501668"/>
    <s v="T-Shirts"/>
    <n v="9"/>
    <n v="65.5"/>
    <n v="589.5"/>
    <x v="61"/>
    <d v="2025-03-06T00:00:00"/>
    <x v="2"/>
    <x v="0"/>
    <n v="5"/>
    <s v="California"/>
    <s v="San Mateo County"/>
    <n v="3"/>
    <x v="9"/>
    <s v="Female"/>
  </r>
  <r>
    <s v="TX501669"/>
    <s v="Jeans"/>
    <n v="3"/>
    <n v="52.8"/>
    <n v="158.39999999999998"/>
    <x v="61"/>
    <d v="2025-03-06T00:00:00"/>
    <x v="1"/>
    <x v="2"/>
    <n v="4"/>
    <s v="California"/>
    <s v="San Mateo County"/>
    <n v="3"/>
    <x v="9"/>
    <s v="Male"/>
  </r>
  <r>
    <s v="TX501670"/>
    <s v="Sundresses"/>
    <n v="5"/>
    <n v="24"/>
    <n v="120"/>
    <x v="61"/>
    <d v="2025-03-07T00:00:00"/>
    <x v="1"/>
    <x v="0"/>
    <n v="3"/>
    <s v="California"/>
    <s v="Santa Clara County"/>
    <n v="4"/>
    <x v="9"/>
    <s v="Male"/>
  </r>
  <r>
    <s v="TX501671"/>
    <s v="Workout Tops"/>
    <n v="3"/>
    <n v="51.2"/>
    <n v="153.60000000000002"/>
    <x v="61"/>
    <d v="2025-03-04T00:00:00"/>
    <x v="2"/>
    <x v="0"/>
    <n v="4"/>
    <s v="California"/>
    <s v="Santa Cruz County"/>
    <n v="1"/>
    <x v="9"/>
    <s v="Female"/>
  </r>
  <r>
    <s v="TX501672"/>
    <s v="Sandals"/>
    <n v="3"/>
    <n v="28.3"/>
    <n v="84.9"/>
    <x v="61"/>
    <d v="2025-03-05T00:00:00"/>
    <x v="1"/>
    <x v="4"/>
    <n v="4"/>
    <s v="California"/>
    <s v="Stanislaus County"/>
    <n v="2"/>
    <x v="9"/>
    <s v="Male"/>
  </r>
  <r>
    <s v="TX501673"/>
    <s v="Jeans"/>
    <n v="3"/>
    <n v="42.3"/>
    <n v="126.89999999999999"/>
    <x v="61"/>
    <d v="2025-03-03T00:00:00"/>
    <x v="2"/>
    <x v="2"/>
    <n v="3"/>
    <s v="California"/>
    <s v="Stanislaus County"/>
    <n v="0"/>
    <x v="9"/>
    <s v="Female"/>
  </r>
  <r>
    <s v="TX501674"/>
    <s v="Sneakers"/>
    <n v="8"/>
    <n v="163.30000000000001"/>
    <n v="1306.4000000000001"/>
    <x v="62"/>
    <d v="2025-03-05T00:00:00"/>
    <x v="2"/>
    <x v="1"/>
    <n v="4"/>
    <s v="California"/>
    <s v="Ventura County"/>
    <n v="1"/>
    <x v="9"/>
    <s v="Female"/>
  </r>
  <r>
    <s v="TX501675"/>
    <s v="Jeans"/>
    <n v="7"/>
    <n v="47.3"/>
    <n v="331.09999999999997"/>
    <x v="62"/>
    <d v="2025-03-07T00:00:00"/>
    <x v="2"/>
    <x v="4"/>
    <n v="3"/>
    <s v="California"/>
    <s v="Alameda County"/>
    <n v="3"/>
    <x v="9"/>
    <s v="Female"/>
  </r>
  <r>
    <s v="TX501676"/>
    <s v="T-Shirts"/>
    <n v="16"/>
    <n v="27.3"/>
    <n v="436.8"/>
    <x v="62"/>
    <d v="2025-03-05T00:00:00"/>
    <x v="2"/>
    <x v="2"/>
    <n v="4"/>
    <s v="California"/>
    <s v="Alameda County"/>
    <n v="1"/>
    <x v="9"/>
    <s v="Female"/>
  </r>
  <r>
    <s v="TX501677"/>
    <s v="Bikinis"/>
    <n v="6"/>
    <n v="34.9"/>
    <n v="209.39999999999998"/>
    <x v="62"/>
    <d v="2025-03-15T00:00:00"/>
    <x v="2"/>
    <x v="0"/>
    <n v="4"/>
    <s v="California"/>
    <s v="Alameda County"/>
    <n v="11"/>
    <x v="9"/>
    <s v="Female"/>
  </r>
  <r>
    <s v="TX501678"/>
    <s v="Jeans"/>
    <n v="2"/>
    <n v="53.9"/>
    <n v="107.8"/>
    <x v="62"/>
    <d v="2025-03-07T00:00:00"/>
    <x v="3"/>
    <x v="0"/>
    <n v="2"/>
    <s v="California"/>
    <s v="Contra Costa County"/>
    <n v="3"/>
    <x v="9"/>
    <s v="Other"/>
  </r>
  <r>
    <s v="TX501679"/>
    <s v="Sneakers"/>
    <n v="2"/>
    <n v="87.2"/>
    <n v="174.4"/>
    <x v="62"/>
    <d v="2025-03-05T00:00:00"/>
    <x v="2"/>
    <x v="0"/>
    <n v="3"/>
    <s v="California"/>
    <s v="Contra Costa County"/>
    <n v="1"/>
    <x v="9"/>
    <s v="Female"/>
  </r>
  <r>
    <s v="TX501680"/>
    <s v="Crop Tops"/>
    <n v="1"/>
    <n v="58.8"/>
    <n v="58.8"/>
    <x v="62"/>
    <d v="2025-03-06T00:00:00"/>
    <x v="2"/>
    <x v="2"/>
    <n v="4"/>
    <s v="California"/>
    <s v="Humboldt County"/>
    <n v="2"/>
    <x v="9"/>
    <s v="Female"/>
  </r>
  <r>
    <s v="TX501681"/>
    <s v="Sneakers"/>
    <n v="7"/>
    <n v="125.5"/>
    <n v="878.5"/>
    <x v="62"/>
    <d v="2025-03-05T00:00:00"/>
    <x v="1"/>
    <x v="2"/>
    <n v="2"/>
    <s v="California"/>
    <s v="Kern County"/>
    <n v="1"/>
    <x v="9"/>
    <s v="Male"/>
  </r>
  <r>
    <s v="TX501682"/>
    <s v="Tank Tops"/>
    <n v="4"/>
    <n v="124.6"/>
    <n v="498.4"/>
    <x v="62"/>
    <d v="2025-03-06T00:00:00"/>
    <x v="2"/>
    <x v="0"/>
    <n v="3"/>
    <s v="California"/>
    <s v="Kern County"/>
    <n v="2"/>
    <x v="9"/>
    <s v="Female"/>
  </r>
  <r>
    <s v="TX501683"/>
    <s v="Tank Tops"/>
    <n v="7"/>
    <n v="39.9"/>
    <n v="279.3"/>
    <x v="62"/>
    <d v="2025-03-05T00:00:00"/>
    <x v="1"/>
    <x v="2"/>
    <n v="3"/>
    <s v="California"/>
    <s v="Los Angeles County"/>
    <n v="1"/>
    <x v="9"/>
    <s v="Male"/>
  </r>
  <r>
    <s v="TX501684"/>
    <s v="Jeans"/>
    <n v="1"/>
    <n v="94.6"/>
    <n v="94.6"/>
    <x v="62"/>
    <d v="2025-03-18T00:00:00"/>
    <x v="2"/>
    <x v="0"/>
    <n v="3"/>
    <s v="California"/>
    <s v="Los Angeles County"/>
    <n v="14"/>
    <x v="9"/>
    <s v="Female"/>
  </r>
  <r>
    <s v="TX501685"/>
    <s v="Sneakers"/>
    <n v="2"/>
    <n v="149.6"/>
    <n v="299.2"/>
    <x v="62"/>
    <d v="2025-03-05T00:00:00"/>
    <x v="2"/>
    <x v="0"/>
    <n v="4"/>
    <s v="California"/>
    <s v="Los Angeles County"/>
    <n v="1"/>
    <x v="9"/>
    <s v="Female"/>
  </r>
  <r>
    <s v="TX501686"/>
    <s v="T-Shirts"/>
    <n v="1"/>
    <n v="52.2"/>
    <n v="52.2"/>
    <x v="62"/>
    <d v="2025-03-05T00:00:00"/>
    <x v="0"/>
    <x v="1"/>
    <n v="4"/>
    <s v="California"/>
    <s v="Los Angeles County"/>
    <n v="1"/>
    <x v="9"/>
    <s v="Unknown"/>
  </r>
  <r>
    <s v="TX501687"/>
    <s v="Jeans"/>
    <n v="2"/>
    <n v="96.5"/>
    <n v="193"/>
    <x v="62"/>
    <d v="2025-03-05T00:00:00"/>
    <x v="2"/>
    <x v="1"/>
    <n v="3"/>
    <s v="California"/>
    <s v="Los Angeles County"/>
    <n v="1"/>
    <x v="9"/>
    <s v="Female"/>
  </r>
  <r>
    <s v="TX501688"/>
    <s v="T-Shirts"/>
    <n v="2"/>
    <n v="79.8"/>
    <n v="159.6"/>
    <x v="62"/>
    <d v="2025-03-06T00:00:00"/>
    <x v="2"/>
    <x v="0"/>
    <n v="3"/>
    <s v="California"/>
    <s v="Los Angeles County"/>
    <n v="2"/>
    <x v="9"/>
    <s v="Female"/>
  </r>
  <r>
    <s v="TX501689"/>
    <s v="T-Shirts"/>
    <n v="3"/>
    <n v="35.6"/>
    <n v="106.80000000000001"/>
    <x v="62"/>
    <d v="2025-03-05T00:00:00"/>
    <x v="2"/>
    <x v="2"/>
    <n v="4"/>
    <s v="California"/>
    <s v="Los Angeles County"/>
    <n v="1"/>
    <x v="9"/>
    <s v="Female"/>
  </r>
  <r>
    <s v="TX501690"/>
    <s v="Sunglasses"/>
    <n v="1"/>
    <n v="50.2"/>
    <n v="50.2"/>
    <x v="62"/>
    <d v="2025-03-05T00:00:00"/>
    <x v="2"/>
    <x v="1"/>
    <n v="5"/>
    <s v="California"/>
    <s v="Los Angeles County"/>
    <n v="1"/>
    <x v="9"/>
    <s v="Female"/>
  </r>
  <r>
    <s v="TX501691"/>
    <s v="Tank Tops"/>
    <n v="3"/>
    <n v="55.3"/>
    <n v="165.89999999999998"/>
    <x v="62"/>
    <d v="2025-03-07T00:00:00"/>
    <x v="2"/>
    <x v="0"/>
    <n v="2"/>
    <s v="California"/>
    <s v="Mariposa County"/>
    <n v="3"/>
    <x v="9"/>
    <s v="Female"/>
  </r>
  <r>
    <s v="TX501692"/>
    <s v="Jeans"/>
    <n v="7"/>
    <n v="104.5"/>
    <n v="731.5"/>
    <x v="62"/>
    <d v="2025-03-08T00:00:00"/>
    <x v="2"/>
    <x v="1"/>
    <n v="4"/>
    <s v="California"/>
    <s v="San Bernardino County"/>
    <n v="4"/>
    <x v="9"/>
    <s v="Female"/>
  </r>
  <r>
    <s v="TX501693"/>
    <s v="Jeans"/>
    <n v="4"/>
    <n v="66.5"/>
    <n v="266"/>
    <x v="62"/>
    <d v="2025-03-06T00:00:00"/>
    <x v="1"/>
    <x v="1"/>
    <n v="4"/>
    <s v="California"/>
    <s v="San Bernardino County"/>
    <n v="2"/>
    <x v="9"/>
    <s v="Male"/>
  </r>
  <r>
    <s v="TX501694"/>
    <s v="Bikinis"/>
    <n v="8"/>
    <n v="38.299999999999997"/>
    <n v="306.39999999999998"/>
    <x v="62"/>
    <d v="2025-03-05T00:00:00"/>
    <x v="2"/>
    <x v="0"/>
    <n v="4"/>
    <s v="California"/>
    <s v="San Bernardino County"/>
    <n v="1"/>
    <x v="9"/>
    <s v="Female"/>
  </r>
  <r>
    <s v="TX501695"/>
    <s v="Jeans"/>
    <n v="3"/>
    <n v="63.8"/>
    <n v="191.39999999999998"/>
    <x v="62"/>
    <d v="2025-03-07T00:00:00"/>
    <x v="2"/>
    <x v="1"/>
    <n v="4"/>
    <s v="California"/>
    <s v="San Diego County"/>
    <n v="3"/>
    <x v="9"/>
    <s v="Female"/>
  </r>
  <r>
    <s v="TX501696"/>
    <s v="Crop Tops"/>
    <n v="1"/>
    <n v="21.4"/>
    <n v="21.4"/>
    <x v="62"/>
    <d v="2025-03-04T00:00:00"/>
    <x v="1"/>
    <x v="4"/>
    <n v="4"/>
    <s v="California"/>
    <s v="San Diego County"/>
    <n v="0"/>
    <x v="9"/>
    <s v="Male"/>
  </r>
  <r>
    <s v="TX501697"/>
    <s v="T-Shirts"/>
    <n v="4"/>
    <n v="44.1"/>
    <n v="176.4"/>
    <x v="62"/>
    <d v="2025-03-06T00:00:00"/>
    <x v="2"/>
    <x v="2"/>
    <n v="4"/>
    <s v="California"/>
    <s v="San Diego County"/>
    <n v="2"/>
    <x v="9"/>
    <s v="Female"/>
  </r>
  <r>
    <s v="TX501698"/>
    <s v="Sandals"/>
    <n v="8"/>
    <n v="57.6"/>
    <n v="460.8"/>
    <x v="62"/>
    <d v="2025-03-06T00:00:00"/>
    <x v="1"/>
    <x v="1"/>
    <n v="5"/>
    <s v="California"/>
    <s v="San Diego County"/>
    <n v="2"/>
    <x v="9"/>
    <s v="Male"/>
  </r>
  <r>
    <s v="TX501699"/>
    <s v="Sundresses"/>
    <n v="2"/>
    <n v="20.3"/>
    <n v="40.6"/>
    <x v="62"/>
    <d v="2025-03-10T00:00:00"/>
    <x v="2"/>
    <x v="3"/>
    <n v="4"/>
    <s v="California"/>
    <s v="San Diego County"/>
    <n v="6"/>
    <x v="9"/>
    <s v="Female"/>
  </r>
  <r>
    <s v="TX501700"/>
    <s v="T-Shirts"/>
    <n v="1"/>
    <n v="22.9"/>
    <n v="22.9"/>
    <x v="62"/>
    <d v="2025-03-06T00:00:00"/>
    <x v="2"/>
    <x v="2"/>
    <n v="5"/>
    <s v="California"/>
    <s v="San Diego County"/>
    <n v="2"/>
    <x v="9"/>
    <s v="Female"/>
  </r>
  <r>
    <s v="TX501701"/>
    <s v="Jeans"/>
    <n v="4"/>
    <n v="105.9"/>
    <n v="423.6"/>
    <x v="62"/>
    <d v="2025-03-05T00:00:00"/>
    <x v="2"/>
    <x v="1"/>
    <n v="5"/>
    <s v="California"/>
    <s v="San Francisco"/>
    <n v="1"/>
    <x v="9"/>
    <s v="Female"/>
  </r>
  <r>
    <s v="TX501702"/>
    <s v="Tank Tops"/>
    <n v="9"/>
    <n v="37.4"/>
    <n v="336.59999999999997"/>
    <x v="62"/>
    <d v="2025-03-08T00:00:00"/>
    <x v="1"/>
    <x v="1"/>
    <n v="4"/>
    <s v="California"/>
    <s v="Santa Clara County"/>
    <n v="4"/>
    <x v="9"/>
    <s v="Male"/>
  </r>
  <r>
    <s v="TX501703"/>
    <s v="Leggings"/>
    <n v="2"/>
    <n v="79"/>
    <n v="158"/>
    <x v="62"/>
    <d v="2025-03-05T00:00:00"/>
    <x v="1"/>
    <x v="2"/>
    <n v="4"/>
    <s v="California"/>
    <s v="Yolo County"/>
    <n v="1"/>
    <x v="9"/>
    <s v="Male"/>
  </r>
  <r>
    <s v="TX501704"/>
    <s v="Shorts"/>
    <n v="3"/>
    <n v="19.3"/>
    <n v="57.900000000000006"/>
    <x v="62"/>
    <d v="2025-03-05T00:00:00"/>
    <x v="2"/>
    <x v="4"/>
    <n v="4"/>
    <s v="California"/>
    <s v="Alameda County"/>
    <n v="1"/>
    <x v="9"/>
    <s v="Female"/>
  </r>
  <r>
    <s v="TX501705"/>
    <s v="Shorts"/>
    <n v="1"/>
    <n v="24"/>
    <n v="24"/>
    <x v="62"/>
    <d v="2025-03-05T00:00:00"/>
    <x v="2"/>
    <x v="1"/>
    <n v="4"/>
    <s v="California"/>
    <s v="Contra Costa County"/>
    <n v="1"/>
    <x v="9"/>
    <s v="Female"/>
  </r>
  <r>
    <s v="TX501706"/>
    <s v="Jeans"/>
    <n v="5"/>
    <n v="71.3"/>
    <n v="356.5"/>
    <x v="62"/>
    <d v="2025-03-07T00:00:00"/>
    <x v="2"/>
    <x v="2"/>
    <n v="4"/>
    <s v="California"/>
    <s v="Fresno County"/>
    <n v="3"/>
    <x v="9"/>
    <s v="Female"/>
  </r>
  <r>
    <s v="TX501707"/>
    <s v="Sandals"/>
    <n v="2"/>
    <n v="166.2"/>
    <n v="332.4"/>
    <x v="62"/>
    <d v="2025-03-05T00:00:00"/>
    <x v="1"/>
    <x v="0"/>
    <n v="5"/>
    <s v="California"/>
    <s v="Lake County"/>
    <n v="1"/>
    <x v="9"/>
    <s v="Male"/>
  </r>
  <r>
    <s v="TX501708"/>
    <s v="Jeans"/>
    <n v="1"/>
    <n v="81"/>
    <n v="81"/>
    <x v="62"/>
    <d v="2025-03-05T00:00:00"/>
    <x v="2"/>
    <x v="2"/>
    <n v="3"/>
    <s v="California"/>
    <s v="Los Angeles County"/>
    <n v="1"/>
    <x v="9"/>
    <s v="Female"/>
  </r>
  <r>
    <s v="TX501709"/>
    <s v="Bikinis"/>
    <n v="6"/>
    <n v="38.5"/>
    <n v="231"/>
    <x v="62"/>
    <d v="2025-03-08T00:00:00"/>
    <x v="2"/>
    <x v="0"/>
    <n v="4"/>
    <s v="California"/>
    <s v="Los Angeles County"/>
    <n v="4"/>
    <x v="9"/>
    <s v="Female"/>
  </r>
  <r>
    <s v="TX501710"/>
    <s v="Jeans"/>
    <n v="1"/>
    <n v="86.1"/>
    <n v="86.1"/>
    <x v="62"/>
    <d v="2025-03-06T00:00:00"/>
    <x v="2"/>
    <x v="3"/>
    <n v="4"/>
    <s v="California"/>
    <s v="Los Angeles County"/>
    <n v="2"/>
    <x v="9"/>
    <s v="Female"/>
  </r>
  <r>
    <s v="TX501711"/>
    <s v="Sneakers"/>
    <n v="5"/>
    <n v="51"/>
    <n v="255"/>
    <x v="62"/>
    <d v="2025-03-05T00:00:00"/>
    <x v="1"/>
    <x v="0"/>
    <n v="3"/>
    <s v="California"/>
    <s v="Los Angeles County"/>
    <n v="1"/>
    <x v="9"/>
    <s v="Male"/>
  </r>
  <r>
    <s v="TX501712"/>
    <s v="Workout Tops"/>
    <n v="5"/>
    <n v="115.4"/>
    <n v="577"/>
    <x v="62"/>
    <d v="2025-03-05T00:00:00"/>
    <x v="1"/>
    <x v="0"/>
    <n v="4"/>
    <s v="California"/>
    <s v="Los Angeles County"/>
    <n v="1"/>
    <x v="9"/>
    <s v="Male"/>
  </r>
  <r>
    <s v="TX501713"/>
    <s v="Jeans"/>
    <n v="4"/>
    <n v="176.5"/>
    <n v="706"/>
    <x v="62"/>
    <d v="2025-03-05T00:00:00"/>
    <x v="2"/>
    <x v="2"/>
    <n v="5"/>
    <s v="California"/>
    <s v="Los Angeles County"/>
    <n v="1"/>
    <x v="9"/>
    <s v="Female"/>
  </r>
  <r>
    <s v="TX501714"/>
    <s v="Hoodies &amp; Sweatshirts"/>
    <n v="3"/>
    <n v="48.9"/>
    <n v="146.69999999999999"/>
    <x v="62"/>
    <d v="2025-03-05T00:00:00"/>
    <x v="1"/>
    <x v="4"/>
    <n v="4"/>
    <s v="California"/>
    <s v="Los Angeles County"/>
    <n v="1"/>
    <x v="9"/>
    <s v="Male"/>
  </r>
  <r>
    <s v="TX501715"/>
    <s v="T-Shirts"/>
    <n v="3"/>
    <n v="18.100000000000001"/>
    <n v="54.300000000000004"/>
    <x v="62"/>
    <d v="2025-03-11T00:00:00"/>
    <x v="2"/>
    <x v="1"/>
    <n v="5"/>
    <s v="California"/>
    <s v="Mendocino County"/>
    <n v="7"/>
    <x v="9"/>
    <s v="Female"/>
  </r>
  <r>
    <s v="TX501716"/>
    <s v="Sneakers"/>
    <n v="2"/>
    <n v="118.5"/>
    <n v="237"/>
    <x v="62"/>
    <d v="2025-03-07T00:00:00"/>
    <x v="1"/>
    <x v="1"/>
    <n v="5"/>
    <s v="California"/>
    <s v="Napa County"/>
    <n v="3"/>
    <x v="9"/>
    <s v="Male"/>
  </r>
  <r>
    <s v="TX501717"/>
    <s v="Crop Tops"/>
    <n v="7"/>
    <n v="59.1"/>
    <n v="413.7"/>
    <x v="62"/>
    <d v="2025-03-05T00:00:00"/>
    <x v="2"/>
    <x v="3"/>
    <n v="4"/>
    <s v="California"/>
    <s v="Orange County"/>
    <n v="1"/>
    <x v="9"/>
    <s v="Female"/>
  </r>
  <r>
    <s v="TX501718"/>
    <s v="Graphic Tees"/>
    <n v="1"/>
    <n v="21.2"/>
    <n v="21.2"/>
    <x v="62"/>
    <d v="2025-03-05T00:00:00"/>
    <x v="2"/>
    <x v="0"/>
    <n v="3"/>
    <s v="California"/>
    <s v="Sacramento County"/>
    <n v="1"/>
    <x v="9"/>
    <s v="Female"/>
  </r>
  <r>
    <s v="TX501719"/>
    <s v="Jeans"/>
    <n v="2"/>
    <n v="68.8"/>
    <n v="137.6"/>
    <x v="62"/>
    <d v="2025-03-09T00:00:00"/>
    <x v="2"/>
    <x v="3"/>
    <n v="5"/>
    <s v="California"/>
    <s v="Sacramento County"/>
    <n v="5"/>
    <x v="9"/>
    <s v="Female"/>
  </r>
  <r>
    <s v="TX501720"/>
    <s v="Jeans"/>
    <n v="2"/>
    <n v="65.400000000000006"/>
    <n v="130.80000000000001"/>
    <x v="62"/>
    <d v="2025-03-08T00:00:00"/>
    <x v="2"/>
    <x v="0"/>
    <n v="4"/>
    <s v="California"/>
    <s v="Sacramento County"/>
    <n v="4"/>
    <x v="9"/>
    <s v="Female"/>
  </r>
  <r>
    <s v="TX501721"/>
    <s v="Casual Dresses"/>
    <n v="5"/>
    <n v="66.3"/>
    <n v="331.5"/>
    <x v="63"/>
    <d v="2025-03-08T00:00:00"/>
    <x v="2"/>
    <x v="4"/>
    <n v="4"/>
    <s v="California"/>
    <s v="Sacramento County"/>
    <n v="3"/>
    <x v="9"/>
    <s v="Female"/>
  </r>
  <r>
    <s v="TX501722"/>
    <s v="Jeans"/>
    <n v="3"/>
    <n v="97.5"/>
    <n v="292.5"/>
    <x v="63"/>
    <d v="2025-03-05T00:00:00"/>
    <x v="1"/>
    <x v="3"/>
    <n v="4"/>
    <s v="California"/>
    <s v="San Diego County"/>
    <n v="0"/>
    <x v="9"/>
    <s v="Male"/>
  </r>
  <r>
    <s v="TX501723"/>
    <s v="Tank Tops"/>
    <n v="2"/>
    <n v="44"/>
    <n v="88"/>
    <x v="63"/>
    <d v="2025-03-08T00:00:00"/>
    <x v="2"/>
    <x v="1"/>
    <n v="5"/>
    <s v="California"/>
    <s v="San Diego County"/>
    <n v="3"/>
    <x v="9"/>
    <s v="Female"/>
  </r>
  <r>
    <s v="TX501724"/>
    <s v="Shorts"/>
    <n v="1"/>
    <n v="21.9"/>
    <n v="21.9"/>
    <x v="63"/>
    <d v="2025-03-06T00:00:00"/>
    <x v="1"/>
    <x v="0"/>
    <n v="4"/>
    <s v="California"/>
    <s v="San Diego County"/>
    <n v="1"/>
    <x v="9"/>
    <s v="Male"/>
  </r>
  <r>
    <s v="TX501725"/>
    <s v="Graphic Tees"/>
    <n v="7"/>
    <n v="21.5"/>
    <n v="150.5"/>
    <x v="63"/>
    <d v="2025-03-07T00:00:00"/>
    <x v="2"/>
    <x v="1"/>
    <n v="5"/>
    <s v="California"/>
    <s v="San Mateo County"/>
    <n v="2"/>
    <x v="9"/>
    <s v="Female"/>
  </r>
  <r>
    <s v="TX501726"/>
    <s v="Casual Dresses"/>
    <n v="6"/>
    <n v="133"/>
    <n v="798"/>
    <x v="63"/>
    <d v="2025-03-06T00:00:00"/>
    <x v="3"/>
    <x v="0"/>
    <n v="5"/>
    <s v="California"/>
    <s v="Santa Barbara County"/>
    <n v="1"/>
    <x v="9"/>
    <s v="Other"/>
  </r>
  <r>
    <s v="TX501727"/>
    <s v="T-Shirts"/>
    <n v="2"/>
    <n v="47.7"/>
    <n v="95.4"/>
    <x v="63"/>
    <d v="2025-03-09T00:00:00"/>
    <x v="1"/>
    <x v="0"/>
    <n v="5"/>
    <s v="California"/>
    <s v="Santa Barbara County"/>
    <n v="4"/>
    <x v="9"/>
    <s v="Male"/>
  </r>
  <r>
    <s v="TX501728"/>
    <s v="Sunglasses"/>
    <n v="3"/>
    <n v="58.1"/>
    <n v="174.3"/>
    <x v="63"/>
    <d v="2025-03-06T00:00:00"/>
    <x v="2"/>
    <x v="0"/>
    <n v="4"/>
    <s v="California"/>
    <s v="Santa Clara County"/>
    <n v="1"/>
    <x v="9"/>
    <s v="Female"/>
  </r>
  <r>
    <s v="TX501729"/>
    <s v="Casual Dresses"/>
    <n v="4"/>
    <n v="66.599999999999994"/>
    <n v="266.39999999999998"/>
    <x v="63"/>
    <d v="2025-03-06T00:00:00"/>
    <x v="0"/>
    <x v="0"/>
    <n v="4"/>
    <s v="California"/>
    <s v="Santa Clara County"/>
    <n v="1"/>
    <x v="9"/>
    <s v="Unknown"/>
  </r>
  <r>
    <s v="TX501730"/>
    <s v="Sundresses"/>
    <n v="1"/>
    <n v="24.1"/>
    <n v="24.1"/>
    <x v="63"/>
    <d v="2025-03-08T00:00:00"/>
    <x v="1"/>
    <x v="2"/>
    <n v="3"/>
    <s v="California"/>
    <s v="Stanislaus County"/>
    <n v="3"/>
    <x v="9"/>
    <s v="Male"/>
  </r>
  <r>
    <s v="TX501731"/>
    <s v="Bikinis"/>
    <n v="5"/>
    <n v="51.5"/>
    <n v="257.5"/>
    <x v="63"/>
    <d v="2025-03-10T00:00:00"/>
    <x v="2"/>
    <x v="0"/>
    <n v="4"/>
    <s v="California"/>
    <s v="Ventura County"/>
    <n v="5"/>
    <x v="9"/>
    <s v="Female"/>
  </r>
  <r>
    <s v="TX501732"/>
    <s v="Shorts"/>
    <n v="11"/>
    <n v="25.8"/>
    <n v="283.8"/>
    <x v="63"/>
    <d v="2025-03-09T00:00:00"/>
    <x v="2"/>
    <x v="3"/>
    <n v="2"/>
    <s v="California"/>
    <s v="Alameda County"/>
    <n v="4"/>
    <x v="9"/>
    <s v="Female"/>
  </r>
  <r>
    <s v="TX501733"/>
    <s v="Sundresses"/>
    <n v="4"/>
    <n v="47.7"/>
    <n v="190.8"/>
    <x v="63"/>
    <d v="2025-03-05T00:00:00"/>
    <x v="2"/>
    <x v="0"/>
    <n v="3"/>
    <s v="California"/>
    <s v="Alameda County"/>
    <n v="0"/>
    <x v="9"/>
    <s v="Female"/>
  </r>
  <r>
    <s v="TX501734"/>
    <s v="Hoodies &amp; Sweatshirts"/>
    <n v="5"/>
    <n v="73.599999999999994"/>
    <n v="368"/>
    <x v="63"/>
    <d v="2025-03-09T00:00:00"/>
    <x v="1"/>
    <x v="1"/>
    <n v="4"/>
    <s v="California"/>
    <s v="Alameda County"/>
    <n v="4"/>
    <x v="9"/>
    <s v="Male"/>
  </r>
  <r>
    <s v="TX501735"/>
    <s v="Sandals"/>
    <n v="7"/>
    <n v="91.2"/>
    <n v="638.4"/>
    <x v="63"/>
    <d v="2025-03-06T00:00:00"/>
    <x v="1"/>
    <x v="1"/>
    <n v="5"/>
    <s v="California"/>
    <s v="Alameda County"/>
    <n v="1"/>
    <x v="9"/>
    <s v="Male"/>
  </r>
  <r>
    <s v="TX501736"/>
    <s v="Tank Tops"/>
    <n v="8"/>
    <n v="36.200000000000003"/>
    <n v="289.60000000000002"/>
    <x v="63"/>
    <d v="2025-03-05T00:00:00"/>
    <x v="1"/>
    <x v="2"/>
    <n v="5"/>
    <s v="California"/>
    <s v="Contra Costa County"/>
    <n v="0"/>
    <x v="9"/>
    <s v="Male"/>
  </r>
  <r>
    <s v="TX501737"/>
    <s v="Sundresses"/>
    <n v="8"/>
    <n v="98"/>
    <n v="784"/>
    <x v="63"/>
    <d v="2025-03-09T00:00:00"/>
    <x v="2"/>
    <x v="2"/>
    <n v="4"/>
    <s v="California"/>
    <s v="Fresno County"/>
    <n v="4"/>
    <x v="9"/>
    <s v="Female"/>
  </r>
  <r>
    <s v="TX501738"/>
    <s v="Tank Tops"/>
    <n v="8"/>
    <n v="43.6"/>
    <n v="348.8"/>
    <x v="63"/>
    <d v="2025-03-06T00:00:00"/>
    <x v="2"/>
    <x v="2"/>
    <n v="4"/>
    <s v="California"/>
    <s v="Kern County"/>
    <n v="1"/>
    <x v="9"/>
    <s v="Female"/>
  </r>
  <r>
    <s v="TX501739"/>
    <s v="T-Shirts"/>
    <n v="10"/>
    <n v="37.799999999999997"/>
    <n v="378"/>
    <x v="63"/>
    <d v="2025-03-05T00:00:00"/>
    <x v="3"/>
    <x v="0"/>
    <n v="4"/>
    <s v="California"/>
    <s v="Lake County"/>
    <n v="0"/>
    <x v="9"/>
    <s v="Other"/>
  </r>
  <r>
    <s v="TX501740"/>
    <s v="Pajama Sets"/>
    <n v="5"/>
    <n v="63.7"/>
    <n v="318.5"/>
    <x v="63"/>
    <d v="2025-03-08T00:00:00"/>
    <x v="2"/>
    <x v="2"/>
    <n v="3"/>
    <s v="California"/>
    <s v="Los Angeles County"/>
    <n v="3"/>
    <x v="9"/>
    <s v="Female"/>
  </r>
  <r>
    <s v="TX501741"/>
    <s v="Sandals"/>
    <n v="9"/>
    <n v="62.9"/>
    <n v="566.1"/>
    <x v="63"/>
    <d v="2025-03-10T00:00:00"/>
    <x v="1"/>
    <x v="3"/>
    <n v="5"/>
    <s v="California"/>
    <s v="Los Angeles County"/>
    <n v="5"/>
    <x v="9"/>
    <s v="Male"/>
  </r>
  <r>
    <s v="TX501742"/>
    <s v="Jeans"/>
    <n v="7"/>
    <n v="61.7"/>
    <n v="431.90000000000003"/>
    <x v="63"/>
    <d v="2025-03-08T00:00:00"/>
    <x v="2"/>
    <x v="2"/>
    <n v="5"/>
    <s v="California"/>
    <s v="Los Angeles County"/>
    <n v="3"/>
    <x v="9"/>
    <s v="Female"/>
  </r>
  <r>
    <s v="TX501743"/>
    <s v="Leggings"/>
    <n v="14"/>
    <n v="36.5"/>
    <n v="511"/>
    <x v="63"/>
    <d v="2025-03-06T00:00:00"/>
    <x v="1"/>
    <x v="0"/>
    <n v="5"/>
    <s v="California"/>
    <s v="Los Angeles County"/>
    <n v="1"/>
    <x v="9"/>
    <s v="Male"/>
  </r>
  <r>
    <s v="TX501744"/>
    <s v="Maxi Dresses"/>
    <n v="3"/>
    <n v="98.6"/>
    <n v="295.79999999999995"/>
    <x v="63"/>
    <d v="2025-03-08T00:00:00"/>
    <x v="3"/>
    <x v="0"/>
    <n v="2"/>
    <s v="California"/>
    <s v="Los Angeles County"/>
    <n v="3"/>
    <x v="9"/>
    <s v="Other"/>
  </r>
  <r>
    <s v="TX501745"/>
    <s v="T-Shirts"/>
    <n v="2"/>
    <n v="19.2"/>
    <n v="38.4"/>
    <x v="63"/>
    <d v="2025-03-15T00:00:00"/>
    <x v="1"/>
    <x v="0"/>
    <n v="4"/>
    <s v="California"/>
    <s v="Los Angeles County"/>
    <n v="10"/>
    <x v="9"/>
    <s v="Male"/>
  </r>
  <r>
    <s v="TX501746"/>
    <s v="Workout Tops"/>
    <n v="6"/>
    <n v="55.6"/>
    <n v="333.6"/>
    <x v="63"/>
    <d v="2025-03-09T00:00:00"/>
    <x v="2"/>
    <x v="0"/>
    <n v="5"/>
    <s v="California"/>
    <s v="Los Angeles County"/>
    <n v="4"/>
    <x v="9"/>
    <s v="Female"/>
  </r>
  <r>
    <s v="TX501747"/>
    <s v="Sandals"/>
    <n v="6"/>
    <n v="56.4"/>
    <n v="338.4"/>
    <x v="63"/>
    <d v="2025-03-06T00:00:00"/>
    <x v="2"/>
    <x v="1"/>
    <n v="4"/>
    <s v="California"/>
    <s v="Los Angeles County"/>
    <n v="1"/>
    <x v="9"/>
    <s v="Female"/>
  </r>
  <r>
    <s v="TX501748"/>
    <s v="Graphic Tees"/>
    <n v="8"/>
    <n v="43.1"/>
    <n v="344.8"/>
    <x v="63"/>
    <d v="2025-03-09T00:00:00"/>
    <x v="2"/>
    <x v="4"/>
    <n v="4"/>
    <s v="California"/>
    <s v="Los Angeles County"/>
    <n v="4"/>
    <x v="9"/>
    <s v="Female"/>
  </r>
  <r>
    <s v="TX501749"/>
    <s v="Tank Tops"/>
    <n v="2"/>
    <n v="77.3"/>
    <n v="154.6"/>
    <x v="63"/>
    <d v="2025-03-07T00:00:00"/>
    <x v="1"/>
    <x v="0"/>
    <n v="4"/>
    <s v="California"/>
    <s v="Sacramento County"/>
    <n v="2"/>
    <x v="9"/>
    <s v="Male"/>
  </r>
  <r>
    <s v="TX501750"/>
    <s v="Sundresses"/>
    <n v="8"/>
    <n v="38.299999999999997"/>
    <n v="306.39999999999998"/>
    <x v="63"/>
    <d v="2025-03-06T00:00:00"/>
    <x v="1"/>
    <x v="0"/>
    <n v="4"/>
    <s v="California"/>
    <s v="San Bernardino County"/>
    <n v="1"/>
    <x v="9"/>
    <s v="Male"/>
  </r>
  <r>
    <s v="TX501751"/>
    <s v="Shorts"/>
    <n v="7"/>
    <n v="16.8"/>
    <n v="117.60000000000001"/>
    <x v="63"/>
    <d v="2025-03-08T00:00:00"/>
    <x v="1"/>
    <x v="2"/>
    <n v="3"/>
    <s v="California"/>
    <s v="San Diego County"/>
    <n v="3"/>
    <x v="9"/>
    <s v="Male"/>
  </r>
  <r>
    <s v="TX501752"/>
    <s v="Sneakers"/>
    <n v="3"/>
    <n v="63.2"/>
    <n v="189.60000000000002"/>
    <x v="63"/>
    <d v="2025-03-06T00:00:00"/>
    <x v="2"/>
    <x v="0"/>
    <n v="5"/>
    <s v="California"/>
    <s v="San Diego County"/>
    <n v="1"/>
    <x v="9"/>
    <s v="Female"/>
  </r>
  <r>
    <s v="TX501753"/>
    <s v="Baseball Caps"/>
    <n v="23"/>
    <n v="39.700000000000003"/>
    <n v="913.1"/>
    <x v="63"/>
    <d v="2025-03-06T00:00:00"/>
    <x v="1"/>
    <x v="0"/>
    <n v="4"/>
    <s v="California"/>
    <s v="San Diego County"/>
    <n v="1"/>
    <x v="9"/>
    <s v="Male"/>
  </r>
  <r>
    <s v="TX501754"/>
    <s v="Bikinis"/>
    <n v="3"/>
    <n v="45.8"/>
    <n v="137.39999999999998"/>
    <x v="63"/>
    <d v="2025-03-06T00:00:00"/>
    <x v="2"/>
    <x v="1"/>
    <n v="5"/>
    <s v="California"/>
    <s v="San Diego County"/>
    <n v="1"/>
    <x v="9"/>
    <s v="Female"/>
  </r>
  <r>
    <s v="TX501755"/>
    <s v="Shorts"/>
    <n v="6"/>
    <n v="12.4"/>
    <n v="74.400000000000006"/>
    <x v="63"/>
    <d v="2025-03-08T00:00:00"/>
    <x v="1"/>
    <x v="0"/>
    <n v="4"/>
    <s v="California"/>
    <s v="San Diego County"/>
    <n v="3"/>
    <x v="9"/>
    <s v="Male"/>
  </r>
  <r>
    <s v="TX501756"/>
    <s v="Baseball Caps"/>
    <n v="3"/>
    <n v="50.8"/>
    <n v="152.39999999999998"/>
    <x v="64"/>
    <d v="2025-03-06T00:00:00"/>
    <x v="2"/>
    <x v="4"/>
    <n v="4"/>
    <s v="California"/>
    <s v="San Francisco"/>
    <n v="0"/>
    <x v="9"/>
    <s v="Female"/>
  </r>
  <r>
    <s v="TX501757"/>
    <s v="Sundresses"/>
    <n v="1"/>
    <n v="76"/>
    <n v="76"/>
    <x v="64"/>
    <d v="2025-03-10T00:00:00"/>
    <x v="3"/>
    <x v="2"/>
    <n v="5"/>
    <s v="California"/>
    <s v="San Francisco"/>
    <n v="4"/>
    <x v="9"/>
    <s v="Other"/>
  </r>
  <r>
    <s v="TX501758"/>
    <s v="Tank Tops"/>
    <n v="2"/>
    <n v="51.9"/>
    <n v="103.8"/>
    <x v="64"/>
    <d v="2025-03-07T00:00:00"/>
    <x v="1"/>
    <x v="1"/>
    <n v="5"/>
    <s v="California"/>
    <s v="San Joaquin County"/>
    <n v="1"/>
    <x v="9"/>
    <s v="Male"/>
  </r>
  <r>
    <s v="TX501759"/>
    <s v="Sneakers"/>
    <n v="2"/>
    <n v="93.4"/>
    <n v="186.8"/>
    <x v="64"/>
    <d v="2025-03-13T00:00:00"/>
    <x v="1"/>
    <x v="0"/>
    <n v="1"/>
    <s v="California"/>
    <s v="Santa Clara County"/>
    <n v="7"/>
    <x v="9"/>
    <s v="Male"/>
  </r>
  <r>
    <s v="TX501760"/>
    <s v="Hoodies &amp; Sweatshirts"/>
    <n v="6"/>
    <n v="30.8"/>
    <n v="184.8"/>
    <x v="64"/>
    <d v="2025-03-09T00:00:00"/>
    <x v="2"/>
    <x v="1"/>
    <n v="4"/>
    <s v="California"/>
    <s v="Santa Clara County"/>
    <n v="3"/>
    <x v="9"/>
    <s v="Female"/>
  </r>
  <r>
    <s v="TX501761"/>
    <s v="Sneakers"/>
    <n v="1"/>
    <n v="143.19999999999999"/>
    <n v="143.19999999999999"/>
    <x v="64"/>
    <d v="2025-03-09T00:00:00"/>
    <x v="1"/>
    <x v="2"/>
    <n v="4"/>
    <s v="California"/>
    <s v="Santa Clara County"/>
    <n v="3"/>
    <x v="9"/>
    <s v="Male"/>
  </r>
  <r>
    <s v="TX501762"/>
    <s v="Jeans"/>
    <n v="11"/>
    <n v="40.4"/>
    <n v="444.4"/>
    <x v="64"/>
    <d v="2025-03-08T00:00:00"/>
    <x v="1"/>
    <x v="2"/>
    <n v="5"/>
    <s v="California"/>
    <s v="Sonoma County"/>
    <n v="2"/>
    <x v="9"/>
    <s v="Male"/>
  </r>
  <r>
    <s v="TX501763"/>
    <s v="Sneakers"/>
    <n v="19"/>
    <n v="131.5"/>
    <n v="2498.5"/>
    <x v="64"/>
    <d v="2025-03-08T00:00:00"/>
    <x v="1"/>
    <x v="1"/>
    <n v="3"/>
    <s v="California"/>
    <s v="Sonoma County"/>
    <n v="2"/>
    <x v="9"/>
    <s v="Male"/>
  </r>
  <r>
    <s v="TX501764"/>
    <s v="Leggings"/>
    <n v="7"/>
    <n v="61.6"/>
    <n v="431.2"/>
    <x v="64"/>
    <d v="2025-03-07T00:00:00"/>
    <x v="1"/>
    <x v="2"/>
    <n v="4"/>
    <s v="California"/>
    <s v="Alameda County"/>
    <n v="1"/>
    <x v="9"/>
    <s v="Male"/>
  </r>
  <r>
    <s v="TX501765"/>
    <s v="Sundresses"/>
    <n v="5"/>
    <n v="32.700000000000003"/>
    <n v="163.5"/>
    <x v="64"/>
    <d v="2025-03-08T00:00:00"/>
    <x v="1"/>
    <x v="2"/>
    <n v="4"/>
    <s v="California"/>
    <s v="Contra Costa County"/>
    <n v="2"/>
    <x v="9"/>
    <s v="Male"/>
  </r>
  <r>
    <s v="TX501766"/>
    <s v="Shorts"/>
    <n v="10"/>
    <n v="13.7"/>
    <n v="137"/>
    <x v="64"/>
    <d v="2025-03-07T00:00:00"/>
    <x v="1"/>
    <x v="0"/>
    <n v="5"/>
    <s v="California"/>
    <s v="Los Angeles County"/>
    <n v="1"/>
    <x v="9"/>
    <s v="Male"/>
  </r>
  <r>
    <s v="TX501767"/>
    <s v="Shorts"/>
    <n v="4"/>
    <n v="32.1"/>
    <n v="128.4"/>
    <x v="64"/>
    <d v="2025-03-07T00:00:00"/>
    <x v="1"/>
    <x v="4"/>
    <n v="3"/>
    <s v="California"/>
    <s v="Los Angeles County"/>
    <n v="1"/>
    <x v="9"/>
    <s v="Male"/>
  </r>
  <r>
    <s v="TX501768"/>
    <s v="Baseball Caps"/>
    <n v="8"/>
    <n v="12"/>
    <n v="96"/>
    <x v="64"/>
    <d v="2025-03-07T00:00:00"/>
    <x v="1"/>
    <x v="1"/>
    <n v="4"/>
    <s v="California"/>
    <s v="Merced County"/>
    <n v="1"/>
    <x v="9"/>
    <s v="Male"/>
  </r>
  <r>
    <s v="TX501769"/>
    <s v="Casual Dresses"/>
    <n v="1"/>
    <n v="64.3"/>
    <n v="64.3"/>
    <x v="64"/>
    <d v="2025-03-08T00:00:00"/>
    <x v="2"/>
    <x v="2"/>
    <n v="5"/>
    <s v="California"/>
    <s v="Sacramento County"/>
    <n v="2"/>
    <x v="9"/>
    <s v="Female"/>
  </r>
  <r>
    <s v="TX501770"/>
    <s v="Tank Tops"/>
    <n v="3"/>
    <n v="58.2"/>
    <n v="174.60000000000002"/>
    <x v="64"/>
    <d v="2025-03-08T00:00:00"/>
    <x v="2"/>
    <x v="1"/>
    <n v="5"/>
    <s v="California"/>
    <s v="Sacramento County"/>
    <n v="2"/>
    <x v="9"/>
    <s v="Female"/>
  </r>
  <r>
    <s v="TX501771"/>
    <s v="Jeans"/>
    <n v="4"/>
    <n v="59.2"/>
    <n v="236.8"/>
    <x v="64"/>
    <d v="2025-03-06T00:00:00"/>
    <x v="1"/>
    <x v="1"/>
    <n v="5"/>
    <s v="California"/>
    <s v="Sacramento County"/>
    <n v="0"/>
    <x v="9"/>
    <s v="Male"/>
  </r>
  <r>
    <s v="TX501772"/>
    <s v="Bikinis"/>
    <n v="11"/>
    <n v="35.6"/>
    <n v="391.6"/>
    <x v="64"/>
    <d v="2025-03-13T00:00:00"/>
    <x v="1"/>
    <x v="0"/>
    <n v="5"/>
    <s v="California"/>
    <s v="San Diego County"/>
    <n v="7"/>
    <x v="9"/>
    <s v="Male"/>
  </r>
  <r>
    <s v="TX501773"/>
    <s v="Sunglasses"/>
    <n v="8"/>
    <n v="37"/>
    <n v="296"/>
    <x v="64"/>
    <d v="2025-03-10T00:00:00"/>
    <x v="2"/>
    <x v="2"/>
    <n v="3"/>
    <s v="California"/>
    <s v="San Diego County"/>
    <n v="4"/>
    <x v="9"/>
    <s v="Female"/>
  </r>
  <r>
    <s v="TX501774"/>
    <s v="Tank Tops"/>
    <n v="13"/>
    <n v="80.8"/>
    <n v="1050.3999999999999"/>
    <x v="64"/>
    <d v="2025-03-08T00:00:00"/>
    <x v="2"/>
    <x v="0"/>
    <n v="4"/>
    <s v="California"/>
    <s v="San Diego County"/>
    <n v="2"/>
    <x v="9"/>
    <s v="Female"/>
  </r>
  <r>
    <s v="TX501775"/>
    <s v="T-Shirts"/>
    <n v="2"/>
    <n v="63.2"/>
    <n v="126.4"/>
    <x v="64"/>
    <d v="2025-03-07T00:00:00"/>
    <x v="1"/>
    <x v="0"/>
    <n v="3"/>
    <s v="California"/>
    <s v="San Diego County"/>
    <n v="1"/>
    <x v="9"/>
    <s v="Male"/>
  </r>
  <r>
    <s v="TX501776"/>
    <s v="Workout Tops"/>
    <n v="2"/>
    <n v="40.799999999999997"/>
    <n v="81.599999999999994"/>
    <x v="64"/>
    <d v="2025-03-08T00:00:00"/>
    <x v="1"/>
    <x v="0"/>
    <n v="3"/>
    <s v="California"/>
    <s v="San Francisco"/>
    <n v="2"/>
    <x v="9"/>
    <s v="Male"/>
  </r>
  <r>
    <s v="TX501777"/>
    <s v="Tote Bags"/>
    <n v="6"/>
    <n v="25.7"/>
    <n v="154.19999999999999"/>
    <x v="64"/>
    <d v="2025-03-08T00:00:00"/>
    <x v="1"/>
    <x v="4"/>
    <n v="4"/>
    <s v="California"/>
    <s v="Sonoma County"/>
    <n v="2"/>
    <x v="9"/>
    <s v="Male"/>
  </r>
  <r>
    <s v="TX501778"/>
    <s v="Sunglasses"/>
    <n v="2"/>
    <n v="49.9"/>
    <n v="99.8"/>
    <x v="64"/>
    <d v="2025-03-09T00:00:00"/>
    <x v="1"/>
    <x v="0"/>
    <n v="4"/>
    <s v="California"/>
    <s v="Tulare County"/>
    <n v="3"/>
    <x v="9"/>
    <s v="Male"/>
  </r>
  <r>
    <s v="TX501779"/>
    <s v="T-Shirts"/>
    <n v="2"/>
    <n v="20.2"/>
    <n v="40.4"/>
    <x v="64"/>
    <d v="2025-03-08T00:00:00"/>
    <x v="2"/>
    <x v="3"/>
    <n v="4"/>
    <s v="California"/>
    <s v="Alameda County"/>
    <n v="2"/>
    <x v="9"/>
    <s v="Female"/>
  </r>
  <r>
    <s v="TX501780"/>
    <s v="Jeans"/>
    <n v="3"/>
    <n v="48.4"/>
    <n v="145.19999999999999"/>
    <x v="64"/>
    <d v="2025-03-11T00:00:00"/>
    <x v="2"/>
    <x v="0"/>
    <n v="5"/>
    <s v="California"/>
    <s v="Alameda County"/>
    <n v="5"/>
    <x v="9"/>
    <s v="Female"/>
  </r>
  <r>
    <s v="TX501781"/>
    <s v="Jeans"/>
    <n v="2"/>
    <n v="81"/>
    <n v="162"/>
    <x v="64"/>
    <d v="2025-03-07T00:00:00"/>
    <x v="2"/>
    <x v="1"/>
    <n v="5"/>
    <s v="California"/>
    <s v="Alameda County"/>
    <n v="1"/>
    <x v="9"/>
    <s v="Female"/>
  </r>
  <r>
    <s v="TX501782"/>
    <s v="T-Shirts"/>
    <n v="6"/>
    <n v="19.899999999999999"/>
    <n v="119.39999999999999"/>
    <x v="64"/>
    <d v="2025-03-09T00:00:00"/>
    <x v="2"/>
    <x v="0"/>
    <n v="3"/>
    <s v="California"/>
    <s v="Kern County"/>
    <n v="3"/>
    <x v="9"/>
    <s v="Female"/>
  </r>
  <r>
    <s v="TX501783"/>
    <s v="Graphic Tees"/>
    <n v="4"/>
    <n v="32.200000000000003"/>
    <n v="128.80000000000001"/>
    <x v="64"/>
    <d v="2025-03-16T00:00:00"/>
    <x v="1"/>
    <x v="0"/>
    <n v="4"/>
    <s v="California"/>
    <s v="Kern County"/>
    <n v="10"/>
    <x v="9"/>
    <s v="Male"/>
  </r>
  <r>
    <s v="TX501784"/>
    <s v="Sandals"/>
    <n v="3"/>
    <n v="76.8"/>
    <n v="230.39999999999998"/>
    <x v="64"/>
    <d v="2025-03-07T00:00:00"/>
    <x v="2"/>
    <x v="0"/>
    <n v="3"/>
    <s v="California"/>
    <s v="Los Angeles County"/>
    <n v="1"/>
    <x v="9"/>
    <s v="Female"/>
  </r>
  <r>
    <s v="TX501785"/>
    <s v="Jeans"/>
    <n v="2"/>
    <n v="41.9"/>
    <n v="83.8"/>
    <x v="64"/>
    <d v="2025-03-08T00:00:00"/>
    <x v="2"/>
    <x v="0"/>
    <n v="4"/>
    <s v="California"/>
    <s v="Los Angeles County"/>
    <n v="2"/>
    <x v="9"/>
    <s v="Female"/>
  </r>
  <r>
    <s v="TX501786"/>
    <s v="Shorts"/>
    <n v="7"/>
    <n v="34"/>
    <n v="238"/>
    <x v="64"/>
    <d v="2025-03-08T00:00:00"/>
    <x v="2"/>
    <x v="1"/>
    <n v="5"/>
    <s v="California"/>
    <s v="Los Angeles County"/>
    <n v="2"/>
    <x v="9"/>
    <s v="Female"/>
  </r>
  <r>
    <s v="TX501787"/>
    <s v="Hoodies &amp; Sweatshirts"/>
    <n v="7"/>
    <n v="61.3"/>
    <n v="429.09999999999997"/>
    <x v="64"/>
    <d v="2025-03-06T00:00:00"/>
    <x v="2"/>
    <x v="4"/>
    <n v="5"/>
    <s v="California"/>
    <s v="Los Angeles County"/>
    <n v="0"/>
    <x v="9"/>
    <s v="Female"/>
  </r>
  <r>
    <s v="TX501788"/>
    <s v="Sundresses"/>
    <n v="1"/>
    <n v="54.7"/>
    <n v="54.7"/>
    <x v="65"/>
    <d v="2025-03-08T00:00:00"/>
    <x v="1"/>
    <x v="0"/>
    <n v="3"/>
    <s v="California"/>
    <s v="Los Angeles County"/>
    <n v="1"/>
    <x v="9"/>
    <s v="Male"/>
  </r>
  <r>
    <s v="TX501789"/>
    <s v="Jeans"/>
    <n v="10"/>
    <n v="84.7"/>
    <n v="847"/>
    <x v="65"/>
    <d v="2025-03-11T00:00:00"/>
    <x v="2"/>
    <x v="0"/>
    <n v="4"/>
    <s v="California"/>
    <s v="Los Angeles County"/>
    <n v="4"/>
    <x v="9"/>
    <s v="Female"/>
  </r>
  <r>
    <s v="TX501790"/>
    <s v="Tank Tops"/>
    <n v="3"/>
    <n v="93.4"/>
    <n v="280.20000000000005"/>
    <x v="65"/>
    <d v="2025-03-11T00:00:00"/>
    <x v="2"/>
    <x v="3"/>
    <n v="4"/>
    <s v="California"/>
    <s v="Los Angeles County"/>
    <n v="4"/>
    <x v="9"/>
    <s v="Female"/>
  </r>
  <r>
    <s v="TX501791"/>
    <s v="T-Shirts"/>
    <n v="5"/>
    <n v="27"/>
    <n v="135"/>
    <x v="65"/>
    <d v="2025-03-10T00:00:00"/>
    <x v="1"/>
    <x v="0"/>
    <n v="3"/>
    <s v="California"/>
    <s v="Los Angeles County"/>
    <n v="3"/>
    <x v="9"/>
    <s v="Male"/>
  </r>
  <r>
    <s v="TX501792"/>
    <s v="Shorts"/>
    <n v="4"/>
    <n v="10.9"/>
    <n v="43.6"/>
    <x v="65"/>
    <d v="2025-03-08T00:00:00"/>
    <x v="1"/>
    <x v="2"/>
    <n v="4"/>
    <s v="California"/>
    <s v="Los Angeles County"/>
    <n v="1"/>
    <x v="9"/>
    <s v="Male"/>
  </r>
  <r>
    <s v="TX501793"/>
    <s v="Sunglasses"/>
    <n v="3"/>
    <n v="48"/>
    <n v="144"/>
    <x v="65"/>
    <d v="2025-03-12T00:00:00"/>
    <x v="2"/>
    <x v="4"/>
    <n v="4"/>
    <s v="California"/>
    <s v="Los Angeles County"/>
    <n v="5"/>
    <x v="9"/>
    <s v="Female"/>
  </r>
  <r>
    <s v="TX501794"/>
    <s v="Sandals"/>
    <n v="2"/>
    <n v="67.900000000000006"/>
    <n v="135.80000000000001"/>
    <x v="65"/>
    <d v="2025-03-08T00:00:00"/>
    <x v="1"/>
    <x v="0"/>
    <n v="5"/>
    <s v="California"/>
    <s v="Riverside County"/>
    <n v="1"/>
    <x v="9"/>
    <s v="Male"/>
  </r>
  <r>
    <s v="TX501795"/>
    <s v="Graphic Tees"/>
    <n v="3"/>
    <n v="36"/>
    <n v="108"/>
    <x v="65"/>
    <d v="2025-03-08T00:00:00"/>
    <x v="1"/>
    <x v="1"/>
    <n v="4"/>
    <s v="California"/>
    <s v="Sacramento County"/>
    <n v="1"/>
    <x v="9"/>
    <s v="Male"/>
  </r>
  <r>
    <s v="TX501796"/>
    <s v="Sneakers"/>
    <n v="1"/>
    <n v="128.80000000000001"/>
    <n v="128.80000000000001"/>
    <x v="65"/>
    <d v="2025-03-08T00:00:00"/>
    <x v="1"/>
    <x v="4"/>
    <n v="5"/>
    <s v="California"/>
    <s v="Sacramento County"/>
    <n v="1"/>
    <x v="9"/>
    <s v="Male"/>
  </r>
  <r>
    <s v="TX501797"/>
    <s v="Leggings"/>
    <n v="7"/>
    <n v="33.299999999999997"/>
    <n v="233.09999999999997"/>
    <x v="65"/>
    <d v="2025-03-08T00:00:00"/>
    <x v="2"/>
    <x v="3"/>
    <n v="4"/>
    <s v="California"/>
    <s v="San Diego County"/>
    <n v="1"/>
    <x v="9"/>
    <s v="Female"/>
  </r>
  <r>
    <s v="TX501798"/>
    <s v="Bikinis"/>
    <n v="3"/>
    <n v="37.799999999999997"/>
    <n v="113.39999999999999"/>
    <x v="65"/>
    <d v="2025-03-09T00:00:00"/>
    <x v="1"/>
    <x v="1"/>
    <n v="5"/>
    <s v="California"/>
    <s v="San Diego County"/>
    <n v="2"/>
    <x v="9"/>
    <s v="Male"/>
  </r>
  <r>
    <s v="TX501799"/>
    <s v="Sandals"/>
    <n v="3"/>
    <n v="26"/>
    <n v="78"/>
    <x v="65"/>
    <d v="2025-03-12T00:00:00"/>
    <x v="2"/>
    <x v="0"/>
    <n v="4"/>
    <s v="California"/>
    <s v="San Diego County"/>
    <n v="5"/>
    <x v="9"/>
    <s v="Female"/>
  </r>
  <r>
    <s v="TX501800"/>
    <s v="T-Shirts"/>
    <n v="19"/>
    <n v="28.3"/>
    <n v="537.70000000000005"/>
    <x v="65"/>
    <d v="2025-03-08T00:00:00"/>
    <x v="2"/>
    <x v="3"/>
    <n v="2"/>
    <s v="California"/>
    <s v="San Diego County"/>
    <n v="1"/>
    <x v="9"/>
    <s v="Female"/>
  </r>
  <r>
    <s v="TX501801"/>
    <s v="T-Shirts"/>
    <n v="4"/>
    <n v="31.3"/>
    <n v="125.2"/>
    <x v="65"/>
    <d v="2025-03-07T00:00:00"/>
    <x v="2"/>
    <x v="0"/>
    <n v="4"/>
    <s v="California"/>
    <s v="San Diego County"/>
    <n v="0"/>
    <x v="9"/>
    <s v="Female"/>
  </r>
  <r>
    <s v="TX501802"/>
    <s v="Hoodies &amp; Sweatshirts"/>
    <n v="3"/>
    <n v="69.5"/>
    <n v="208.5"/>
    <x v="65"/>
    <d v="2025-03-08T00:00:00"/>
    <x v="2"/>
    <x v="3"/>
    <n v="5"/>
    <s v="California"/>
    <s v="San Diego County"/>
    <n v="1"/>
    <x v="9"/>
    <s v="Female"/>
  </r>
  <r>
    <s v="TX501803"/>
    <s v="Shorts"/>
    <n v="2"/>
    <n v="16.7"/>
    <n v="33.4"/>
    <x v="65"/>
    <d v="2025-03-08T00:00:00"/>
    <x v="2"/>
    <x v="3"/>
    <n v="3"/>
    <s v="California"/>
    <s v="San Diego County"/>
    <n v="1"/>
    <x v="9"/>
    <s v="Female"/>
  </r>
  <r>
    <s v="TX501804"/>
    <s v="Sundresses"/>
    <n v="2"/>
    <n v="62.6"/>
    <n v="125.2"/>
    <x v="65"/>
    <d v="2025-03-08T00:00:00"/>
    <x v="1"/>
    <x v="2"/>
    <n v="5"/>
    <s v="California"/>
    <s v="San Mateo County"/>
    <n v="1"/>
    <x v="9"/>
    <s v="Male"/>
  </r>
  <r>
    <s v="TX501805"/>
    <s v="Hoodies &amp; Sweatshirts"/>
    <n v="1"/>
    <n v="81.2"/>
    <n v="81.2"/>
    <x v="65"/>
    <d v="2025-03-13T00:00:00"/>
    <x v="1"/>
    <x v="4"/>
    <n v="2"/>
    <s v="California"/>
    <s v="San Mateo County"/>
    <n v="6"/>
    <x v="9"/>
    <s v="Male"/>
  </r>
  <r>
    <s v="TX501806"/>
    <s v="Shorts"/>
    <n v="10"/>
    <n v="12.7"/>
    <n v="127"/>
    <x v="65"/>
    <d v="2025-03-08T00:00:00"/>
    <x v="2"/>
    <x v="0"/>
    <n v="5"/>
    <s v="California"/>
    <s v="San Mateo County"/>
    <n v="1"/>
    <x v="9"/>
    <s v="Female"/>
  </r>
  <r>
    <s v="TX501807"/>
    <s v="Hoodies &amp; Sweatshirts"/>
    <n v="4"/>
    <n v="77.7"/>
    <n v="310.8"/>
    <x v="66"/>
    <d v="2025-03-12T00:00:00"/>
    <x v="1"/>
    <x v="1"/>
    <n v="4"/>
    <s v="California"/>
    <s v="Santa Clara County"/>
    <n v="4"/>
    <x v="9"/>
    <s v="Male"/>
  </r>
  <r>
    <s v="TX501808"/>
    <s v="Sandals"/>
    <n v="2"/>
    <n v="37.299999999999997"/>
    <n v="74.599999999999994"/>
    <x v="66"/>
    <d v="2025-03-09T00:00:00"/>
    <x v="2"/>
    <x v="0"/>
    <n v="5"/>
    <s v="California"/>
    <s v="Sonoma County"/>
    <n v="1"/>
    <x v="9"/>
    <s v="Female"/>
  </r>
  <r>
    <s v="TX501809"/>
    <s v="Bikinis"/>
    <n v="4"/>
    <n v="35.6"/>
    <n v="142.4"/>
    <x v="66"/>
    <d v="2025-03-10T00:00:00"/>
    <x v="2"/>
    <x v="1"/>
    <n v="3"/>
    <s v="California"/>
    <s v="Stanislaus County"/>
    <n v="2"/>
    <x v="9"/>
    <s v="Female"/>
  </r>
  <r>
    <s v="TX501810"/>
    <s v="Sneakers"/>
    <n v="3"/>
    <n v="95"/>
    <n v="285"/>
    <x v="66"/>
    <d v="2025-03-12T00:00:00"/>
    <x v="2"/>
    <x v="2"/>
    <n v="5"/>
    <s v="California"/>
    <s v="Yuba County"/>
    <n v="4"/>
    <x v="9"/>
    <s v="Female"/>
  </r>
  <r>
    <s v="TX501811"/>
    <s v="Sneakers"/>
    <n v="4"/>
    <n v="172.1"/>
    <n v="688.4"/>
    <x v="66"/>
    <d v="2025-03-12T00:00:00"/>
    <x v="3"/>
    <x v="2"/>
    <n v="5"/>
    <s v="California"/>
    <s v="Alameda County"/>
    <n v="4"/>
    <x v="9"/>
    <s v="Other"/>
  </r>
  <r>
    <s v="TX501812"/>
    <s v="Sneakers"/>
    <n v="2"/>
    <n v="233"/>
    <n v="466"/>
    <x v="66"/>
    <d v="2025-03-11T00:00:00"/>
    <x v="2"/>
    <x v="1"/>
    <n v="4"/>
    <s v="California"/>
    <s v="Alameda County"/>
    <n v="3"/>
    <x v="9"/>
    <s v="Female"/>
  </r>
  <r>
    <s v="TX501813"/>
    <s v="Shorts"/>
    <n v="1"/>
    <n v="43.5"/>
    <n v="43.5"/>
    <x v="66"/>
    <d v="2025-03-09T00:00:00"/>
    <x v="2"/>
    <x v="2"/>
    <n v="5"/>
    <s v="California"/>
    <s v="Alameda County"/>
    <n v="1"/>
    <x v="9"/>
    <s v="Female"/>
  </r>
  <r>
    <s v="TX501814"/>
    <s v="Sundresses"/>
    <n v="2"/>
    <n v="47.8"/>
    <n v="95.6"/>
    <x v="66"/>
    <d v="2025-03-11T00:00:00"/>
    <x v="1"/>
    <x v="4"/>
    <n v="5"/>
    <s v="California"/>
    <s v="Contra Costa County"/>
    <n v="3"/>
    <x v="9"/>
    <s v="Male"/>
  </r>
  <r>
    <s v="TX501815"/>
    <s v="Casual Dresses"/>
    <n v="2"/>
    <n v="65.8"/>
    <n v="131.6"/>
    <x v="66"/>
    <d v="2025-03-10T00:00:00"/>
    <x v="2"/>
    <x v="0"/>
    <n v="1"/>
    <s v="California"/>
    <s v="Imperial County"/>
    <n v="2"/>
    <x v="9"/>
    <s v="Female"/>
  </r>
  <r>
    <s v="TX501816"/>
    <s v="Crop Tops"/>
    <n v="11"/>
    <n v="38.700000000000003"/>
    <n v="425.70000000000005"/>
    <x v="66"/>
    <d v="2025-03-08T00:00:00"/>
    <x v="1"/>
    <x v="0"/>
    <n v="4"/>
    <s v="California"/>
    <s v="Kern County"/>
    <n v="0"/>
    <x v="9"/>
    <s v="Male"/>
  </r>
  <r>
    <s v="TX501817"/>
    <s v="Workout Tops"/>
    <n v="4"/>
    <n v="55.7"/>
    <n v="222.8"/>
    <x v="66"/>
    <d v="2025-03-10T00:00:00"/>
    <x v="3"/>
    <x v="0"/>
    <n v="3"/>
    <s v="California"/>
    <s v="Kern County"/>
    <n v="2"/>
    <x v="9"/>
    <s v="Other"/>
  </r>
  <r>
    <s v="TX501818"/>
    <s v="Hoodies &amp; Sweatshirts"/>
    <n v="2"/>
    <n v="102.4"/>
    <n v="204.8"/>
    <x v="66"/>
    <d v="2025-03-08T00:00:00"/>
    <x v="2"/>
    <x v="1"/>
    <n v="4"/>
    <s v="California"/>
    <s v="Los Angeles County"/>
    <n v="0"/>
    <x v="9"/>
    <s v="Female"/>
  </r>
  <r>
    <s v="TX501819"/>
    <s v="Tank Tops"/>
    <n v="1"/>
    <n v="92"/>
    <n v="92"/>
    <x v="66"/>
    <d v="2025-03-12T00:00:00"/>
    <x v="0"/>
    <x v="2"/>
    <n v="4"/>
    <s v="California"/>
    <s v="Los Angeles County"/>
    <n v="4"/>
    <x v="9"/>
    <s v="Unknown"/>
  </r>
  <r>
    <s v="TX501820"/>
    <s v="Jeans"/>
    <n v="4"/>
    <n v="75.900000000000006"/>
    <n v="303.60000000000002"/>
    <x v="66"/>
    <d v="2025-03-10T00:00:00"/>
    <x v="2"/>
    <x v="1"/>
    <n v="4"/>
    <s v="California"/>
    <s v="Los Angeles County"/>
    <n v="2"/>
    <x v="9"/>
    <s v="Female"/>
  </r>
  <r>
    <s v="TX501821"/>
    <s v="Tank Tops"/>
    <n v="4"/>
    <n v="36.200000000000003"/>
    <n v="144.80000000000001"/>
    <x v="66"/>
    <d v="2025-03-09T00:00:00"/>
    <x v="2"/>
    <x v="1"/>
    <n v="4"/>
    <s v="California"/>
    <s v="Los Angeles County"/>
    <n v="1"/>
    <x v="9"/>
    <s v="Female"/>
  </r>
  <r>
    <s v="TX501822"/>
    <s v="Jeans"/>
    <n v="87"/>
    <n v="83.5"/>
    <n v="7264.5"/>
    <x v="66"/>
    <d v="2025-03-10T00:00:00"/>
    <x v="0"/>
    <x v="3"/>
    <n v="4"/>
    <s v="California"/>
    <s v="Los Angeles County"/>
    <n v="2"/>
    <x v="9"/>
    <s v="Unknown"/>
  </r>
  <r>
    <s v="TX501823"/>
    <s v="Jewelry"/>
    <n v="12"/>
    <n v="52.4"/>
    <n v="628.79999999999995"/>
    <x v="66"/>
    <d v="2025-03-08T00:00:00"/>
    <x v="1"/>
    <x v="2"/>
    <n v="4"/>
    <s v="California"/>
    <s v="Los Angeles County"/>
    <n v="0"/>
    <x v="9"/>
    <s v="Male"/>
  </r>
  <r>
    <s v="TX501824"/>
    <s v="Casual Dresses"/>
    <n v="3"/>
    <n v="69.5"/>
    <n v="208.5"/>
    <x v="66"/>
    <d v="2025-03-09T00:00:00"/>
    <x v="3"/>
    <x v="4"/>
    <n v="4"/>
    <s v="California"/>
    <s v="Los Angeles County"/>
    <n v="1"/>
    <x v="9"/>
    <s v="Other"/>
  </r>
  <r>
    <s v="TX501825"/>
    <s v="Shorts"/>
    <n v="1"/>
    <n v="15.5"/>
    <n v="15.5"/>
    <x v="66"/>
    <d v="2025-03-10T00:00:00"/>
    <x v="1"/>
    <x v="0"/>
    <n v="4"/>
    <s v="California"/>
    <s v="Los Angeles County"/>
    <n v="2"/>
    <x v="9"/>
    <s v="Male"/>
  </r>
  <r>
    <s v="TX501826"/>
    <s v="Graphic Tees"/>
    <n v="4"/>
    <n v="35.200000000000003"/>
    <n v="140.80000000000001"/>
    <x v="66"/>
    <d v="2025-03-09T00:00:00"/>
    <x v="2"/>
    <x v="2"/>
    <n v="5"/>
    <s v="California"/>
    <s v="Los Angeles County"/>
    <n v="1"/>
    <x v="9"/>
    <s v="Female"/>
  </r>
  <r>
    <s v="TX501827"/>
    <s v="T-Shirts"/>
    <n v="6"/>
    <n v="34.6"/>
    <n v="207.60000000000002"/>
    <x v="66"/>
    <d v="2025-03-09T00:00:00"/>
    <x v="0"/>
    <x v="0"/>
    <n v="3"/>
    <s v="California"/>
    <s v="Los Angeles County"/>
    <n v="1"/>
    <x v="9"/>
    <s v="Unknown"/>
  </r>
  <r>
    <s v="TX501828"/>
    <s v="Graphic Tees"/>
    <n v="1"/>
    <n v="21.3"/>
    <n v="21.3"/>
    <x v="67"/>
    <d v="2025-03-10T00:00:00"/>
    <x v="1"/>
    <x v="2"/>
    <n v="3"/>
    <s v="California"/>
    <s v="Los Angeles County"/>
    <n v="1"/>
    <x v="10"/>
    <s v="Male"/>
  </r>
  <r>
    <s v="TX501829"/>
    <s v="Jeans"/>
    <n v="2"/>
    <n v="136.5"/>
    <n v="273"/>
    <x v="67"/>
    <d v="2025-03-15T00:00:00"/>
    <x v="2"/>
    <x v="0"/>
    <n v="4"/>
    <s v="California"/>
    <s v="Madera County"/>
    <n v="6"/>
    <x v="10"/>
    <s v="Female"/>
  </r>
  <r>
    <s v="TX501830"/>
    <s v="Sundresses"/>
    <n v="7"/>
    <n v="30.7"/>
    <n v="214.9"/>
    <x v="67"/>
    <d v="2025-03-10T00:00:00"/>
    <x v="1"/>
    <x v="2"/>
    <n v="5"/>
    <s v="California"/>
    <s v="Orange County"/>
    <n v="1"/>
    <x v="10"/>
    <s v="Male"/>
  </r>
  <r>
    <s v="TX501831"/>
    <s v="Tank Tops"/>
    <n v="2"/>
    <n v="61.6"/>
    <n v="123.2"/>
    <x v="67"/>
    <d v="2025-03-10T00:00:00"/>
    <x v="2"/>
    <x v="2"/>
    <n v="5"/>
    <s v="California"/>
    <s v="Riverside County"/>
    <n v="1"/>
    <x v="10"/>
    <s v="Female"/>
  </r>
  <r>
    <s v="TX501832"/>
    <s v="Jeans"/>
    <n v="4"/>
    <n v="54.3"/>
    <n v="217.2"/>
    <x v="67"/>
    <d v="2025-03-11T00:00:00"/>
    <x v="0"/>
    <x v="4"/>
    <n v="4"/>
    <s v="California"/>
    <s v="San Bernardino County"/>
    <n v="2"/>
    <x v="10"/>
    <s v="Unknown"/>
  </r>
  <r>
    <s v="TX501833"/>
    <s v="Tank Tops"/>
    <n v="2"/>
    <n v="44.1"/>
    <n v="88.2"/>
    <x v="67"/>
    <d v="2025-03-21T00:00:00"/>
    <x v="2"/>
    <x v="0"/>
    <n v="5"/>
    <s v="California"/>
    <s v="San Diego County"/>
    <n v="12"/>
    <x v="10"/>
    <s v="Female"/>
  </r>
  <r>
    <s v="TX501834"/>
    <s v="T-Shirts"/>
    <n v="4"/>
    <n v="43.5"/>
    <n v="174"/>
    <x v="67"/>
    <d v="2025-03-15T00:00:00"/>
    <x v="1"/>
    <x v="3"/>
    <n v="4"/>
    <s v="California"/>
    <s v="San Diego County"/>
    <n v="6"/>
    <x v="10"/>
    <s v="Male"/>
  </r>
  <r>
    <s v="TX501835"/>
    <s v="T-Shirts"/>
    <n v="3"/>
    <n v="48.2"/>
    <n v="144.60000000000002"/>
    <x v="67"/>
    <d v="2025-03-13T00:00:00"/>
    <x v="1"/>
    <x v="3"/>
    <n v="3"/>
    <s v="California"/>
    <s v="San Diego County"/>
    <n v="4"/>
    <x v="10"/>
    <s v="Male"/>
  </r>
  <r>
    <s v="TX501836"/>
    <s v="Jewelry"/>
    <n v="1"/>
    <n v="13.7"/>
    <n v="13.7"/>
    <x v="67"/>
    <d v="2025-03-10T00:00:00"/>
    <x v="2"/>
    <x v="2"/>
    <n v="5"/>
    <s v="California"/>
    <s v="San Diego County"/>
    <n v="1"/>
    <x v="10"/>
    <s v="Female"/>
  </r>
  <r>
    <s v="TX501837"/>
    <s v="Sneakers"/>
    <n v="2"/>
    <n v="110.5"/>
    <n v="221"/>
    <x v="67"/>
    <d v="2025-03-10T00:00:00"/>
    <x v="2"/>
    <x v="0"/>
    <n v="3"/>
    <s v="California"/>
    <s v="San Diego County"/>
    <n v="1"/>
    <x v="10"/>
    <s v="Female"/>
  </r>
  <r>
    <s v="TX501838"/>
    <s v="T-Shirts"/>
    <n v="3"/>
    <n v="26"/>
    <n v="78"/>
    <x v="67"/>
    <d v="2025-03-14T00:00:00"/>
    <x v="2"/>
    <x v="1"/>
    <n v="3"/>
    <s v="California"/>
    <s v="San Diego County"/>
    <n v="5"/>
    <x v="10"/>
    <s v="Female"/>
  </r>
  <r>
    <s v="TX501839"/>
    <s v="Sneakers"/>
    <n v="10"/>
    <n v="140.69999999999999"/>
    <n v="1407"/>
    <x v="67"/>
    <d v="2025-03-15T00:00:00"/>
    <x v="1"/>
    <x v="3"/>
    <n v="3"/>
    <s v="California"/>
    <s v="San Diego County"/>
    <n v="6"/>
    <x v="10"/>
    <s v="Male"/>
  </r>
  <r>
    <s v="TX501840"/>
    <s v="Pajama Sets"/>
    <n v="2"/>
    <n v="41.7"/>
    <n v="83.4"/>
    <x v="67"/>
    <d v="2025-03-17T00:00:00"/>
    <x v="2"/>
    <x v="0"/>
    <n v="2"/>
    <s v="California"/>
    <s v="San Diego County"/>
    <n v="8"/>
    <x v="10"/>
    <s v="Female"/>
  </r>
  <r>
    <s v="TX501841"/>
    <s v="Sneakers"/>
    <n v="2"/>
    <n v="135.1"/>
    <n v="270.2"/>
    <x v="67"/>
    <d v="2025-03-10T00:00:00"/>
    <x v="1"/>
    <x v="0"/>
    <n v="5"/>
    <s v="California"/>
    <s v="San Francisco"/>
    <n v="1"/>
    <x v="10"/>
    <s v="Male"/>
  </r>
  <r>
    <s v="TX501842"/>
    <s v="Casual Dresses"/>
    <n v="22"/>
    <n v="95.5"/>
    <n v="2101"/>
    <x v="67"/>
    <d v="2025-03-10T00:00:00"/>
    <x v="2"/>
    <x v="4"/>
    <n v="2"/>
    <s v="California"/>
    <s v="San Joaquin County"/>
    <n v="1"/>
    <x v="10"/>
    <s v="Female"/>
  </r>
  <r>
    <s v="TX501843"/>
    <s v="Crop Tops"/>
    <n v="1"/>
    <n v="25.5"/>
    <n v="25.5"/>
    <x v="67"/>
    <d v="2025-03-12T00:00:00"/>
    <x v="0"/>
    <x v="2"/>
    <n v="5"/>
    <s v="California"/>
    <s v="Santa Clara County"/>
    <n v="3"/>
    <x v="10"/>
    <s v="Unknown"/>
  </r>
  <r>
    <s v="TX501844"/>
    <s v="Tank Tops"/>
    <n v="1"/>
    <n v="42.6"/>
    <n v="42.6"/>
    <x v="67"/>
    <d v="2025-03-13T00:00:00"/>
    <x v="2"/>
    <x v="0"/>
    <n v="4"/>
    <s v="California"/>
    <s v="Santa Clara County"/>
    <n v="4"/>
    <x v="10"/>
    <s v="Female"/>
  </r>
  <r>
    <s v="TX501845"/>
    <s v="T-Shirts"/>
    <n v="15"/>
    <n v="32.4"/>
    <n v="486"/>
    <x v="67"/>
    <d v="2025-03-10T00:00:00"/>
    <x v="1"/>
    <x v="1"/>
    <n v="3"/>
    <s v="California"/>
    <s v="Santa Clara County"/>
    <n v="1"/>
    <x v="10"/>
    <s v="Male"/>
  </r>
  <r>
    <s v="TX501846"/>
    <s v="Graphic Tees"/>
    <n v="4"/>
    <n v="20.2"/>
    <n v="80.8"/>
    <x v="67"/>
    <d v="2025-03-10T00:00:00"/>
    <x v="3"/>
    <x v="2"/>
    <n v="4"/>
    <s v="California"/>
    <s v="Santa Clara County"/>
    <n v="1"/>
    <x v="10"/>
    <s v="Other"/>
  </r>
  <r>
    <s v="TX501847"/>
    <s v="Sunglasses"/>
    <n v="3"/>
    <n v="52.5"/>
    <n v="157.5"/>
    <x v="67"/>
    <d v="2025-03-14T00:00:00"/>
    <x v="2"/>
    <x v="4"/>
    <n v="4"/>
    <s v="California"/>
    <s v="Sonoma County"/>
    <n v="5"/>
    <x v="10"/>
    <s v="Female"/>
  </r>
  <r>
    <s v="TX501848"/>
    <s v="Sneakers"/>
    <n v="5"/>
    <n v="59.9"/>
    <n v="299.5"/>
    <x v="67"/>
    <d v="2025-03-11T00:00:00"/>
    <x v="2"/>
    <x v="2"/>
    <n v="4"/>
    <s v="California"/>
    <s v="Stanislaus County"/>
    <n v="2"/>
    <x v="10"/>
    <s v="Female"/>
  </r>
  <r>
    <s v="TX501849"/>
    <s v="Graphic Tees"/>
    <n v="2"/>
    <n v="53.2"/>
    <n v="106.4"/>
    <x v="67"/>
    <d v="2025-03-10T00:00:00"/>
    <x v="2"/>
    <x v="1"/>
    <n v="1"/>
    <s v="California"/>
    <s v="Tulare County"/>
    <n v="1"/>
    <x v="10"/>
    <s v="Female"/>
  </r>
  <r>
    <s v="TX501850"/>
    <s v="Sneakers"/>
    <n v="2"/>
    <n v="60"/>
    <n v="120"/>
    <x v="67"/>
    <d v="2025-03-15T00:00:00"/>
    <x v="1"/>
    <x v="1"/>
    <n v="5"/>
    <s v="California"/>
    <s v="Tulare County"/>
    <n v="6"/>
    <x v="10"/>
    <s v="Male"/>
  </r>
  <r>
    <s v="TX501851"/>
    <s v="T-Shirts"/>
    <n v="3"/>
    <n v="29.3"/>
    <n v="87.9"/>
    <x v="67"/>
    <d v="2025-03-10T00:00:00"/>
    <x v="2"/>
    <x v="4"/>
    <n v="4"/>
    <s v="California"/>
    <s v="Ventura County"/>
    <n v="1"/>
    <x v="10"/>
    <s v="Female"/>
  </r>
  <r>
    <s v="TX501852"/>
    <s v="Casual Dresses"/>
    <n v="2"/>
    <n v="55.4"/>
    <n v="110.8"/>
    <x v="67"/>
    <d v="2025-03-10T00:00:00"/>
    <x v="2"/>
    <x v="0"/>
    <n v="5"/>
    <s v="California"/>
    <s v="Alameda County"/>
    <n v="1"/>
    <x v="10"/>
    <s v="Female"/>
  </r>
  <r>
    <s v="TX501853"/>
    <s v="Shorts"/>
    <n v="5"/>
    <n v="20.100000000000001"/>
    <n v="100.5"/>
    <x v="67"/>
    <d v="2025-03-11T00:00:00"/>
    <x v="2"/>
    <x v="1"/>
    <n v="5"/>
    <s v="California"/>
    <s v="Alameda County"/>
    <n v="2"/>
    <x v="10"/>
    <s v="Female"/>
  </r>
  <r>
    <s v="TX501854"/>
    <s v="Baseball Caps"/>
    <n v="5"/>
    <n v="24"/>
    <n v="120"/>
    <x v="67"/>
    <d v="2025-03-12T00:00:00"/>
    <x v="1"/>
    <x v="2"/>
    <n v="4"/>
    <s v="California"/>
    <s v="Contra Costa County"/>
    <n v="3"/>
    <x v="10"/>
    <s v="Male"/>
  </r>
  <r>
    <s v="TX501855"/>
    <s v="T-Shirts"/>
    <n v="2"/>
    <n v="30.6"/>
    <n v="61.2"/>
    <x v="68"/>
    <d v="2025-03-12T00:00:00"/>
    <x v="2"/>
    <x v="0"/>
    <n v="4"/>
    <s v="California"/>
    <s v="Contra Costa County"/>
    <n v="2"/>
    <x v="10"/>
    <s v="Female"/>
  </r>
  <r>
    <s v="TX501856"/>
    <s v="Bikinis"/>
    <n v="5"/>
    <n v="33"/>
    <n v="165"/>
    <x v="68"/>
    <d v="2025-03-11T00:00:00"/>
    <x v="1"/>
    <x v="1"/>
    <n v="3"/>
    <s v="California"/>
    <s v="Glenn County"/>
    <n v="1"/>
    <x v="10"/>
    <s v="Male"/>
  </r>
  <r>
    <s v="TX501857"/>
    <s v="Pajama Sets"/>
    <n v="9"/>
    <n v="42.1"/>
    <n v="378.90000000000003"/>
    <x v="68"/>
    <d v="2025-03-16T00:00:00"/>
    <x v="2"/>
    <x v="2"/>
    <n v="4"/>
    <s v="California"/>
    <s v="Humboldt County"/>
    <n v="6"/>
    <x v="10"/>
    <s v="Female"/>
  </r>
  <r>
    <s v="TX501858"/>
    <s v="Jeans"/>
    <n v="7"/>
    <n v="77.7"/>
    <n v="543.9"/>
    <x v="68"/>
    <d v="2025-03-15T00:00:00"/>
    <x v="2"/>
    <x v="1"/>
    <n v="5"/>
    <s v="California"/>
    <s v="Lake County"/>
    <n v="5"/>
    <x v="10"/>
    <s v="Female"/>
  </r>
  <r>
    <s v="TX501859"/>
    <s v="Pajama Sets"/>
    <n v="6"/>
    <n v="22.7"/>
    <n v="136.19999999999999"/>
    <x v="68"/>
    <d v="2025-03-13T00:00:00"/>
    <x v="2"/>
    <x v="2"/>
    <n v="4"/>
    <s v="California"/>
    <s v="Los Angeles County"/>
    <n v="3"/>
    <x v="10"/>
    <s v="Female"/>
  </r>
  <r>
    <s v="TX501860"/>
    <s v="Sneakers"/>
    <n v="2"/>
    <n v="133"/>
    <n v="266"/>
    <x v="68"/>
    <d v="2025-03-10T00:00:00"/>
    <x v="1"/>
    <x v="2"/>
    <n v="5"/>
    <s v="California"/>
    <s v="Los Angeles County"/>
    <n v="0"/>
    <x v="10"/>
    <s v="Male"/>
  </r>
  <r>
    <s v="TX501861"/>
    <s v="Shorts"/>
    <n v="2"/>
    <n v="23.3"/>
    <n v="46.6"/>
    <x v="68"/>
    <d v="2025-03-11T00:00:00"/>
    <x v="1"/>
    <x v="1"/>
    <n v="5"/>
    <s v="California"/>
    <s v="Los Angeles County"/>
    <n v="1"/>
    <x v="10"/>
    <s v="Male"/>
  </r>
  <r>
    <s v="TX501862"/>
    <s v="T-Shirts"/>
    <n v="3"/>
    <n v="20.7"/>
    <n v="62.099999999999994"/>
    <x v="68"/>
    <d v="2025-03-12T00:00:00"/>
    <x v="3"/>
    <x v="0"/>
    <n v="5"/>
    <s v="California"/>
    <s v="Los Angeles County"/>
    <n v="2"/>
    <x v="10"/>
    <s v="Other"/>
  </r>
  <r>
    <s v="TX501863"/>
    <s v="Casual Dresses"/>
    <n v="2"/>
    <n v="47"/>
    <n v="94"/>
    <x v="68"/>
    <d v="2025-03-11T00:00:00"/>
    <x v="1"/>
    <x v="1"/>
    <n v="5"/>
    <s v="California"/>
    <s v="Los Angeles County"/>
    <n v="1"/>
    <x v="10"/>
    <s v="Male"/>
  </r>
  <r>
    <s v="TX501864"/>
    <s v="Casual Dresses"/>
    <n v="3"/>
    <n v="38.200000000000003"/>
    <n v="114.60000000000001"/>
    <x v="68"/>
    <d v="2025-03-12T00:00:00"/>
    <x v="2"/>
    <x v="2"/>
    <n v="2"/>
    <s v="California"/>
    <s v="Los Angeles County"/>
    <n v="2"/>
    <x v="10"/>
    <s v="Female"/>
  </r>
  <r>
    <s v="TX501865"/>
    <s v="Sundresses"/>
    <n v="1"/>
    <n v="39.1"/>
    <n v="39.1"/>
    <x v="68"/>
    <d v="2025-03-12T00:00:00"/>
    <x v="2"/>
    <x v="0"/>
    <n v="4"/>
    <s v="California"/>
    <s v="Los Angeles County"/>
    <n v="2"/>
    <x v="10"/>
    <s v="Female"/>
  </r>
  <r>
    <s v="TX501866"/>
    <s v="Hoodies &amp; Sweatshirts"/>
    <n v="25"/>
    <n v="55.6"/>
    <n v="1390"/>
    <x v="68"/>
    <d v="2025-03-12T00:00:00"/>
    <x v="1"/>
    <x v="0"/>
    <n v="5"/>
    <s v="California"/>
    <s v="Los Angeles County"/>
    <n v="2"/>
    <x v="10"/>
    <s v="Male"/>
  </r>
  <r>
    <s v="TX501867"/>
    <s v="Crop Tops"/>
    <n v="1"/>
    <n v="43.1"/>
    <n v="43.1"/>
    <x v="68"/>
    <d v="2025-03-10T00:00:00"/>
    <x v="3"/>
    <x v="1"/>
    <n v="5"/>
    <s v="California"/>
    <s v="Los Angeles County"/>
    <n v="0"/>
    <x v="10"/>
    <s v="Other"/>
  </r>
  <r>
    <s v="TX501868"/>
    <s v="Jeans"/>
    <n v="4"/>
    <n v="48.1"/>
    <n v="192.4"/>
    <x v="68"/>
    <d v="2025-03-11T00:00:00"/>
    <x v="2"/>
    <x v="4"/>
    <n v="5"/>
    <s v="California"/>
    <s v="Los Angeles County"/>
    <n v="1"/>
    <x v="10"/>
    <s v="Female"/>
  </r>
  <r>
    <s v="TX501869"/>
    <s v="Graphic Tees"/>
    <n v="1"/>
    <n v="42"/>
    <n v="42"/>
    <x v="68"/>
    <d v="2025-03-11T00:00:00"/>
    <x v="3"/>
    <x v="0"/>
    <n v="4"/>
    <s v="California"/>
    <s v="Los Angeles County"/>
    <n v="1"/>
    <x v="10"/>
    <s v="Other"/>
  </r>
  <r>
    <s v="TX501870"/>
    <s v="T-Shirts"/>
    <n v="5"/>
    <n v="18.3"/>
    <n v="91.5"/>
    <x v="68"/>
    <d v="2025-03-10T00:00:00"/>
    <x v="2"/>
    <x v="2"/>
    <n v="4"/>
    <s v="California"/>
    <s v="Los Angeles County"/>
    <n v="0"/>
    <x v="10"/>
    <s v="Female"/>
  </r>
  <r>
    <s v="TX501871"/>
    <s v="Bikinis"/>
    <n v="4"/>
    <n v="45.3"/>
    <n v="181.2"/>
    <x v="68"/>
    <d v="2025-03-13T00:00:00"/>
    <x v="2"/>
    <x v="0"/>
    <n v="5"/>
    <s v="California"/>
    <s v="Los Angeles County"/>
    <n v="3"/>
    <x v="10"/>
    <s v="Female"/>
  </r>
  <r>
    <s v="TX501872"/>
    <s v="Shorts"/>
    <n v="2"/>
    <n v="27.6"/>
    <n v="55.2"/>
    <x v="68"/>
    <d v="2025-03-12T00:00:00"/>
    <x v="1"/>
    <x v="0"/>
    <n v="5"/>
    <s v="California"/>
    <s v="Madera County"/>
    <n v="2"/>
    <x v="10"/>
    <s v="Male"/>
  </r>
  <r>
    <s v="TX501873"/>
    <s v="Graphic Tees"/>
    <n v="5"/>
    <n v="26.9"/>
    <n v="134.5"/>
    <x v="68"/>
    <d v="2025-03-11T00:00:00"/>
    <x v="2"/>
    <x v="2"/>
    <n v="4"/>
    <s v="California"/>
    <s v="Orange County"/>
    <n v="1"/>
    <x v="10"/>
    <s v="Female"/>
  </r>
  <r>
    <s v="TX501874"/>
    <s v="Sneakers"/>
    <n v="9"/>
    <n v="82.4"/>
    <n v="741.6"/>
    <x v="68"/>
    <d v="2025-03-12T00:00:00"/>
    <x v="3"/>
    <x v="2"/>
    <n v="4"/>
    <s v="California"/>
    <s v="Placer County"/>
    <n v="2"/>
    <x v="10"/>
    <s v="Other"/>
  </r>
  <r>
    <s v="TX501875"/>
    <s v="Jeans"/>
    <n v="1"/>
    <n v="103.7"/>
    <n v="103.7"/>
    <x v="68"/>
    <d v="2025-03-12T00:00:00"/>
    <x v="2"/>
    <x v="1"/>
    <n v="4"/>
    <s v="California"/>
    <s v="Placer County"/>
    <n v="2"/>
    <x v="10"/>
    <s v="Female"/>
  </r>
  <r>
    <s v="TX501876"/>
    <s v="Sneakers"/>
    <n v="2"/>
    <n v="58.8"/>
    <n v="117.6"/>
    <x v="68"/>
    <d v="2025-03-15T00:00:00"/>
    <x v="2"/>
    <x v="1"/>
    <n v="5"/>
    <s v="California"/>
    <s v="Sacramento County"/>
    <n v="5"/>
    <x v="10"/>
    <s v="Female"/>
  </r>
  <r>
    <s v="TX501877"/>
    <s v="Tote Bags"/>
    <n v="1"/>
    <n v="31.5"/>
    <n v="31.5"/>
    <x v="68"/>
    <d v="2025-03-11T00:00:00"/>
    <x v="2"/>
    <x v="1"/>
    <n v="3"/>
    <s v="California"/>
    <s v="Sacramento County"/>
    <n v="1"/>
    <x v="10"/>
    <s v="Female"/>
  </r>
  <r>
    <s v="TX501878"/>
    <s v="Hoodies &amp; Sweatshirts"/>
    <n v="5"/>
    <n v="36.799999999999997"/>
    <n v="184"/>
    <x v="68"/>
    <d v="2025-03-12T00:00:00"/>
    <x v="2"/>
    <x v="0"/>
    <n v="4"/>
    <s v="California"/>
    <s v="San Diego County"/>
    <n v="2"/>
    <x v="10"/>
    <s v="Female"/>
  </r>
  <r>
    <s v="TX501879"/>
    <s v="Workout Tops"/>
    <n v="1"/>
    <n v="84.4"/>
    <n v="84.4"/>
    <x v="68"/>
    <d v="2025-03-11T00:00:00"/>
    <x v="2"/>
    <x v="0"/>
    <n v="4"/>
    <s v="California"/>
    <s v="San Diego County"/>
    <n v="1"/>
    <x v="10"/>
    <s v="Female"/>
  </r>
  <r>
    <s v="TX501880"/>
    <s v="Baseball Caps"/>
    <n v="1"/>
    <n v="44.7"/>
    <n v="44.7"/>
    <x v="68"/>
    <d v="2025-03-11T00:00:00"/>
    <x v="1"/>
    <x v="0"/>
    <n v="3"/>
    <s v="California"/>
    <s v="San Diego County"/>
    <n v="1"/>
    <x v="10"/>
    <s v="Male"/>
  </r>
  <r>
    <s v="TX501881"/>
    <s v="Sundresses"/>
    <n v="8"/>
    <n v="39.4"/>
    <n v="315.2"/>
    <x v="68"/>
    <d v="2025-03-11T00:00:00"/>
    <x v="2"/>
    <x v="1"/>
    <n v="5"/>
    <s v="California"/>
    <s v="San Diego County"/>
    <n v="1"/>
    <x v="10"/>
    <s v="Female"/>
  </r>
  <r>
    <s v="TX501882"/>
    <s v="Maxi Dresses"/>
    <n v="4"/>
    <n v="34.9"/>
    <n v="139.6"/>
    <x v="68"/>
    <d v="2025-03-12T00:00:00"/>
    <x v="2"/>
    <x v="0"/>
    <n v="5"/>
    <s v="California"/>
    <s v="San Diego County"/>
    <n v="2"/>
    <x v="10"/>
    <s v="Female"/>
  </r>
  <r>
    <s v="TX501883"/>
    <s v="Tank Tops"/>
    <n v="3"/>
    <n v="62.3"/>
    <n v="186.89999999999998"/>
    <x v="68"/>
    <d v="2025-03-12T00:00:00"/>
    <x v="1"/>
    <x v="4"/>
    <n v="5"/>
    <s v="California"/>
    <s v="San Diego County"/>
    <n v="2"/>
    <x v="10"/>
    <s v="Male"/>
  </r>
  <r>
    <s v="TX501884"/>
    <s v="T-Shirts"/>
    <n v="4"/>
    <n v="21.1"/>
    <n v="84.4"/>
    <x v="68"/>
    <d v="2025-03-13T00:00:00"/>
    <x v="1"/>
    <x v="3"/>
    <n v="4"/>
    <s v="California"/>
    <s v="San Diego County"/>
    <n v="3"/>
    <x v="10"/>
    <s v="Male"/>
  </r>
  <r>
    <s v="TX501885"/>
    <s v="T-Shirts"/>
    <n v="3"/>
    <n v="33.200000000000003"/>
    <n v="99.600000000000009"/>
    <x v="68"/>
    <d v="2025-03-24T00:00:00"/>
    <x v="0"/>
    <x v="0"/>
    <n v="2"/>
    <s v="California"/>
    <s v="San Diego County"/>
    <n v="14"/>
    <x v="10"/>
    <s v="Unknown"/>
  </r>
  <r>
    <s v="TX501886"/>
    <s v="Tank Tops"/>
    <n v="4"/>
    <n v="74.5"/>
    <n v="298"/>
    <x v="68"/>
    <d v="2025-03-11T00:00:00"/>
    <x v="1"/>
    <x v="4"/>
    <n v="4"/>
    <s v="California"/>
    <s v="San Diego County"/>
    <n v="1"/>
    <x v="10"/>
    <s v="Male"/>
  </r>
  <r>
    <s v="TX501887"/>
    <s v="Bikinis"/>
    <n v="12"/>
    <n v="68.599999999999994"/>
    <n v="823.19999999999993"/>
    <x v="68"/>
    <d v="2025-03-13T00:00:00"/>
    <x v="2"/>
    <x v="0"/>
    <n v="5"/>
    <s v="California"/>
    <s v="San Diego County"/>
    <n v="3"/>
    <x v="10"/>
    <s v="Female"/>
  </r>
  <r>
    <s v="TX501888"/>
    <s v="Sandals"/>
    <n v="14"/>
    <n v="36.4"/>
    <n v="509.59999999999997"/>
    <x v="68"/>
    <d v="2025-03-12T00:00:00"/>
    <x v="2"/>
    <x v="0"/>
    <n v="3"/>
    <s v="California"/>
    <s v="San Mateo County"/>
    <n v="2"/>
    <x v="10"/>
    <s v="Female"/>
  </r>
  <r>
    <s v="TX501889"/>
    <s v="Sunglasses"/>
    <n v="5"/>
    <n v="67.599999999999994"/>
    <n v="338"/>
    <x v="69"/>
    <d v="2025-03-14T00:00:00"/>
    <x v="2"/>
    <x v="4"/>
    <n v="3"/>
    <s v="California"/>
    <s v="San Mateo County"/>
    <n v="3"/>
    <x v="10"/>
    <s v="Female"/>
  </r>
  <r>
    <s v="TX501890"/>
    <s v="Crop Tops"/>
    <n v="1"/>
    <n v="46.3"/>
    <n v="46.3"/>
    <x v="69"/>
    <d v="2025-03-12T00:00:00"/>
    <x v="1"/>
    <x v="2"/>
    <n v="4"/>
    <s v="California"/>
    <s v="San Mateo County"/>
    <n v="1"/>
    <x v="10"/>
    <s v="Male"/>
  </r>
  <r>
    <s v="TX501891"/>
    <s v="Tank Tops"/>
    <n v="3"/>
    <n v="124.2"/>
    <n v="372.6"/>
    <x v="69"/>
    <d v="2025-03-13T00:00:00"/>
    <x v="2"/>
    <x v="1"/>
    <n v="5"/>
    <s v="California"/>
    <s v="Santa Clara County"/>
    <n v="2"/>
    <x v="10"/>
    <s v="Female"/>
  </r>
  <r>
    <s v="TX501892"/>
    <s v="Bikinis"/>
    <n v="2"/>
    <n v="37"/>
    <n v="74"/>
    <x v="69"/>
    <d v="2025-03-17T00:00:00"/>
    <x v="1"/>
    <x v="0"/>
    <n v="4"/>
    <s v="California"/>
    <s v="Santa Clara County"/>
    <n v="6"/>
    <x v="10"/>
    <s v="Male"/>
  </r>
  <r>
    <s v="TX501893"/>
    <s v="Sandals"/>
    <n v="1"/>
    <n v="41.8"/>
    <n v="41.8"/>
    <x v="69"/>
    <d v="2025-03-12T00:00:00"/>
    <x v="1"/>
    <x v="2"/>
    <n v="4"/>
    <s v="California"/>
    <s v="Sutter County"/>
    <n v="1"/>
    <x v="10"/>
    <s v="Male"/>
  </r>
  <r>
    <s v="TX501894"/>
    <s v="Sundresses"/>
    <n v="2"/>
    <n v="57.2"/>
    <n v="114.4"/>
    <x v="69"/>
    <d v="2025-03-13T00:00:00"/>
    <x v="1"/>
    <x v="2"/>
    <n v="3"/>
    <s v="California"/>
    <s v="Tulare County"/>
    <n v="2"/>
    <x v="10"/>
    <s v="Male"/>
  </r>
  <r>
    <s v="TX501895"/>
    <s v="Jeans"/>
    <n v="2"/>
    <n v="47.1"/>
    <n v="94.2"/>
    <x v="69"/>
    <d v="2025-03-13T00:00:00"/>
    <x v="2"/>
    <x v="0"/>
    <n v="2"/>
    <s v="California"/>
    <s v="Tulare County"/>
    <n v="2"/>
    <x v="10"/>
    <s v="Female"/>
  </r>
  <r>
    <s v="TX501896"/>
    <s v="Sandals"/>
    <n v="3"/>
    <n v="86.4"/>
    <n v="259.20000000000005"/>
    <x v="69"/>
    <d v="2025-03-12T00:00:00"/>
    <x v="1"/>
    <x v="2"/>
    <n v="3"/>
    <s v="California"/>
    <s v="Tuolumne County"/>
    <n v="1"/>
    <x v="10"/>
    <s v="Male"/>
  </r>
  <r>
    <s v="TX501897"/>
    <s v="Jeans"/>
    <n v="5"/>
    <n v="105"/>
    <n v="525"/>
    <x v="69"/>
    <d v="2025-03-14T00:00:00"/>
    <x v="1"/>
    <x v="0"/>
    <n v="4"/>
    <s v="California"/>
    <s v="Ventura County"/>
    <n v="3"/>
    <x v="10"/>
    <s v="Male"/>
  </r>
  <r>
    <s v="TX501898"/>
    <s v="Leggings"/>
    <n v="1"/>
    <n v="33"/>
    <n v="33"/>
    <x v="69"/>
    <d v="2025-03-14T00:00:00"/>
    <x v="1"/>
    <x v="4"/>
    <n v="4"/>
    <s v="California"/>
    <s v="Alameda County"/>
    <n v="3"/>
    <x v="10"/>
    <s v="Male"/>
  </r>
  <r>
    <s v="TX501899"/>
    <s v="Jeans"/>
    <n v="5"/>
    <n v="106.6"/>
    <n v="533"/>
    <x v="69"/>
    <d v="2025-03-24T00:00:00"/>
    <x v="2"/>
    <x v="2"/>
    <n v="4"/>
    <s v="California"/>
    <s v="Contra Costa County"/>
    <n v="13"/>
    <x v="10"/>
    <s v="Female"/>
  </r>
  <r>
    <s v="TX501900"/>
    <s v="Bikinis"/>
    <n v="32"/>
    <n v="26.8"/>
    <n v="857.6"/>
    <x v="69"/>
    <d v="2025-03-12T00:00:00"/>
    <x v="2"/>
    <x v="2"/>
    <n v="4"/>
    <s v="California"/>
    <s v="Contra Costa County"/>
    <n v="1"/>
    <x v="10"/>
    <s v="Female"/>
  </r>
  <r>
    <s v="TX501901"/>
    <s v="Pajama Sets"/>
    <n v="5"/>
    <n v="25.8"/>
    <n v="129"/>
    <x v="69"/>
    <d v="2025-03-11T00:00:00"/>
    <x v="2"/>
    <x v="1"/>
    <n v="5"/>
    <s v="California"/>
    <s v="Los Angeles County"/>
    <n v="0"/>
    <x v="10"/>
    <s v="Female"/>
  </r>
  <r>
    <s v="TX501902"/>
    <s v="Sneakers"/>
    <n v="3"/>
    <n v="217"/>
    <n v="651"/>
    <x v="69"/>
    <d v="2025-03-12T00:00:00"/>
    <x v="2"/>
    <x v="1"/>
    <n v="3"/>
    <s v="California"/>
    <s v="Los Angeles County"/>
    <n v="1"/>
    <x v="10"/>
    <s v="Female"/>
  </r>
  <r>
    <s v="TX501903"/>
    <s v="Sneakers"/>
    <n v="2"/>
    <n v="97.3"/>
    <n v="194.6"/>
    <x v="69"/>
    <d v="2025-03-12T00:00:00"/>
    <x v="1"/>
    <x v="2"/>
    <n v="2"/>
    <s v="California"/>
    <s v="Los Angeles County"/>
    <n v="1"/>
    <x v="10"/>
    <s v="Male"/>
  </r>
  <r>
    <s v="TX501904"/>
    <s v="Tank Tops"/>
    <n v="1"/>
    <n v="49.8"/>
    <n v="49.8"/>
    <x v="69"/>
    <d v="2025-03-12T00:00:00"/>
    <x v="2"/>
    <x v="0"/>
    <n v="4"/>
    <s v="California"/>
    <s v="Los Angeles County"/>
    <n v="1"/>
    <x v="10"/>
    <s v="Female"/>
  </r>
  <r>
    <s v="TX501905"/>
    <s v="Casual Dresses"/>
    <n v="5"/>
    <n v="32.6"/>
    <n v="163"/>
    <x v="69"/>
    <d v="2025-03-12T00:00:00"/>
    <x v="2"/>
    <x v="0"/>
    <n v="4"/>
    <s v="California"/>
    <s v="Los Angeles County"/>
    <n v="1"/>
    <x v="10"/>
    <s v="Female"/>
  </r>
  <r>
    <s v="TX501906"/>
    <s v="Sundresses"/>
    <n v="2"/>
    <n v="40.1"/>
    <n v="80.2"/>
    <x v="69"/>
    <d v="2025-03-14T00:00:00"/>
    <x v="1"/>
    <x v="1"/>
    <n v="5"/>
    <s v="California"/>
    <s v="Los Angeles County"/>
    <n v="3"/>
    <x v="10"/>
    <s v="Male"/>
  </r>
  <r>
    <s v="TX501907"/>
    <s v="Bikinis"/>
    <n v="2"/>
    <n v="49.4"/>
    <n v="98.8"/>
    <x v="69"/>
    <d v="2025-03-13T00:00:00"/>
    <x v="1"/>
    <x v="1"/>
    <n v="4"/>
    <s v="California"/>
    <s v="Los Angeles County"/>
    <n v="2"/>
    <x v="10"/>
    <s v="Male"/>
  </r>
  <r>
    <s v="TX501908"/>
    <s v="Sneakers"/>
    <n v="1"/>
    <n v="67.3"/>
    <n v="67.3"/>
    <x v="69"/>
    <d v="2025-03-12T00:00:00"/>
    <x v="2"/>
    <x v="0"/>
    <n v="5"/>
    <s v="California"/>
    <s v="Los Angeles County"/>
    <n v="1"/>
    <x v="10"/>
    <s v="Female"/>
  </r>
  <r>
    <s v="TX501909"/>
    <s v="Leggings"/>
    <n v="4"/>
    <n v="44.5"/>
    <n v="178"/>
    <x v="69"/>
    <d v="2025-03-14T00:00:00"/>
    <x v="0"/>
    <x v="1"/>
    <n v="4"/>
    <s v="California"/>
    <s v="Los Angeles County"/>
    <n v="3"/>
    <x v="10"/>
    <s v="Unknown"/>
  </r>
  <r>
    <s v="TX501910"/>
    <s v="Jeans"/>
    <n v="11"/>
    <n v="111.1"/>
    <n v="1222.0999999999999"/>
    <x v="69"/>
    <d v="2025-03-12T00:00:00"/>
    <x v="2"/>
    <x v="4"/>
    <n v="4"/>
    <s v="California"/>
    <s v="Los Angeles County"/>
    <n v="1"/>
    <x v="10"/>
    <s v="Female"/>
  </r>
  <r>
    <s v="TX501911"/>
    <s v="T-Shirts"/>
    <n v="3"/>
    <n v="19.7"/>
    <n v="59.099999999999994"/>
    <x v="69"/>
    <d v="2025-03-12T00:00:00"/>
    <x v="2"/>
    <x v="4"/>
    <n v="2"/>
    <s v="California"/>
    <s v="Los Angeles County"/>
    <n v="1"/>
    <x v="10"/>
    <s v="Female"/>
  </r>
  <r>
    <s v="TX501912"/>
    <s v="Tank Tops"/>
    <n v="1"/>
    <n v="40.299999999999997"/>
    <n v="40.299999999999997"/>
    <x v="69"/>
    <d v="2025-03-12T00:00:00"/>
    <x v="3"/>
    <x v="1"/>
    <n v="4"/>
    <s v="California"/>
    <s v="Los Angeles County"/>
    <n v="1"/>
    <x v="10"/>
    <s v="Other"/>
  </r>
  <r>
    <s v="TX501913"/>
    <s v="Jeans"/>
    <n v="2"/>
    <n v="108.8"/>
    <n v="217.6"/>
    <x v="69"/>
    <d v="2025-03-16T00:00:00"/>
    <x v="1"/>
    <x v="0"/>
    <n v="5"/>
    <s v="California"/>
    <s v="Sacramento County"/>
    <n v="5"/>
    <x v="10"/>
    <s v="Male"/>
  </r>
  <r>
    <s v="TX501914"/>
    <s v="T-Shirts"/>
    <n v="3"/>
    <n v="48.2"/>
    <n v="144.60000000000002"/>
    <x v="69"/>
    <d v="2025-03-16T00:00:00"/>
    <x v="2"/>
    <x v="4"/>
    <n v="4"/>
    <s v="California"/>
    <s v="San Bernardino County"/>
    <n v="5"/>
    <x v="10"/>
    <s v="Female"/>
  </r>
  <r>
    <s v="TX501915"/>
    <s v="Sneakers"/>
    <n v="3"/>
    <n v="104.7"/>
    <n v="314.10000000000002"/>
    <x v="69"/>
    <d v="2025-03-13T00:00:00"/>
    <x v="2"/>
    <x v="0"/>
    <n v="3"/>
    <s v="California"/>
    <s v="San Bernardino County"/>
    <n v="2"/>
    <x v="10"/>
    <s v="Female"/>
  </r>
  <r>
    <s v="TX501916"/>
    <s v="Tank Tops"/>
    <n v="2"/>
    <n v="80.599999999999994"/>
    <n v="161.19999999999999"/>
    <x v="69"/>
    <d v="2025-03-11T00:00:00"/>
    <x v="2"/>
    <x v="1"/>
    <n v="4"/>
    <s v="California"/>
    <s v="San Diego County"/>
    <n v="0"/>
    <x v="10"/>
    <s v="Female"/>
  </r>
  <r>
    <s v="TX501917"/>
    <s v="Jeans"/>
    <n v="1"/>
    <n v="65.5"/>
    <n v="65.5"/>
    <x v="69"/>
    <d v="2025-03-13T00:00:00"/>
    <x v="3"/>
    <x v="1"/>
    <n v="4"/>
    <s v="California"/>
    <s v="San Diego County"/>
    <n v="2"/>
    <x v="10"/>
    <s v="Other"/>
  </r>
  <r>
    <s v="TX501918"/>
    <s v="Sundresses"/>
    <n v="3"/>
    <n v="61.4"/>
    <n v="184.2"/>
    <x v="69"/>
    <d v="2025-03-13T00:00:00"/>
    <x v="2"/>
    <x v="4"/>
    <n v="5"/>
    <s v="California"/>
    <s v="San Diego County"/>
    <n v="2"/>
    <x v="10"/>
    <s v="Female"/>
  </r>
  <r>
    <s v="TX501919"/>
    <s v="Shorts"/>
    <n v="1"/>
    <n v="12.5"/>
    <n v="12.5"/>
    <x v="70"/>
    <d v="2025-03-15T00:00:00"/>
    <x v="2"/>
    <x v="0"/>
    <n v="3"/>
    <s v="California"/>
    <s v="San Diego County"/>
    <n v="3"/>
    <x v="10"/>
    <s v="Female"/>
  </r>
  <r>
    <s v="TX501920"/>
    <s v="Graphic Tees"/>
    <n v="4"/>
    <n v="35.1"/>
    <n v="140.4"/>
    <x v="70"/>
    <d v="2025-03-13T00:00:00"/>
    <x v="1"/>
    <x v="2"/>
    <n v="3"/>
    <s v="California"/>
    <s v="San Francisco"/>
    <n v="1"/>
    <x v="10"/>
    <s v="Male"/>
  </r>
  <r>
    <s v="TX501921"/>
    <s v="Sandals"/>
    <n v="2"/>
    <n v="55.7"/>
    <n v="111.4"/>
    <x v="70"/>
    <d v="2025-03-13T00:00:00"/>
    <x v="1"/>
    <x v="0"/>
    <n v="3"/>
    <s v="California"/>
    <s v="San Joaquin County"/>
    <n v="1"/>
    <x v="10"/>
    <s v="Male"/>
  </r>
  <r>
    <s v="TX501922"/>
    <s v="Hoodies &amp; Sweatshirts"/>
    <n v="2"/>
    <n v="57.7"/>
    <n v="115.4"/>
    <x v="70"/>
    <d v="2025-03-14T00:00:00"/>
    <x v="1"/>
    <x v="4"/>
    <n v="3"/>
    <s v="California"/>
    <s v="San Mateo County"/>
    <n v="2"/>
    <x v="10"/>
    <s v="Male"/>
  </r>
  <r>
    <s v="TX501923"/>
    <s v="Sneakers"/>
    <n v="6"/>
    <n v="85.7"/>
    <n v="514.20000000000005"/>
    <x v="70"/>
    <d v="2025-03-13T00:00:00"/>
    <x v="1"/>
    <x v="3"/>
    <n v="5"/>
    <s v="California"/>
    <s v="San Mateo County"/>
    <n v="1"/>
    <x v="10"/>
    <s v="Male"/>
  </r>
  <r>
    <s v="TX501924"/>
    <s v="Sneakers"/>
    <n v="3"/>
    <n v="86.9"/>
    <n v="260.70000000000005"/>
    <x v="70"/>
    <d v="2025-03-14T00:00:00"/>
    <x v="2"/>
    <x v="1"/>
    <n v="4"/>
    <s v="California"/>
    <s v="Santa Clara County"/>
    <n v="2"/>
    <x v="10"/>
    <s v="Female"/>
  </r>
  <r>
    <s v="TX501925"/>
    <s v="Leggings"/>
    <n v="2"/>
    <n v="46.4"/>
    <n v="92.8"/>
    <x v="70"/>
    <d v="2025-03-15T00:00:00"/>
    <x v="2"/>
    <x v="4"/>
    <n v="4"/>
    <s v="California"/>
    <s v="Santa Clara County"/>
    <n v="3"/>
    <x v="10"/>
    <s v="Female"/>
  </r>
  <r>
    <s v="TX501926"/>
    <s v="Sandals"/>
    <n v="3"/>
    <n v="25.4"/>
    <n v="76.199999999999989"/>
    <x v="70"/>
    <d v="2025-03-12T00:00:00"/>
    <x v="2"/>
    <x v="2"/>
    <n v="5"/>
    <s v="California"/>
    <s v="Sonoma County"/>
    <n v="0"/>
    <x v="10"/>
    <s v="Female"/>
  </r>
  <r>
    <s v="TX501927"/>
    <s v="Bikinis"/>
    <n v="3"/>
    <n v="47.8"/>
    <n v="143.39999999999998"/>
    <x v="70"/>
    <d v="2025-03-12T00:00:00"/>
    <x v="0"/>
    <x v="2"/>
    <n v="5"/>
    <s v="California"/>
    <s v="Stanislaus County"/>
    <n v="0"/>
    <x v="10"/>
    <s v="Unknown"/>
  </r>
  <r>
    <s v="TX501928"/>
    <s v="T-Shirts"/>
    <n v="19"/>
    <n v="18.399999999999999"/>
    <n v="349.59999999999997"/>
    <x v="70"/>
    <d v="2025-03-14T00:00:00"/>
    <x v="3"/>
    <x v="2"/>
    <n v="4"/>
    <s v="California"/>
    <s v="Tulare County"/>
    <n v="2"/>
    <x v="10"/>
    <s v="Other"/>
  </r>
  <r>
    <s v="TX501929"/>
    <s v="Casual Dresses"/>
    <n v="3"/>
    <n v="65.5"/>
    <n v="196.5"/>
    <x v="70"/>
    <d v="2025-03-20T00:00:00"/>
    <x v="2"/>
    <x v="0"/>
    <n v="4"/>
    <s v="California"/>
    <s v="Alameda County"/>
    <n v="8"/>
    <x v="10"/>
    <s v="Female"/>
  </r>
  <r>
    <s v="TX501930"/>
    <s v="Bikinis"/>
    <n v="2"/>
    <n v="50.6"/>
    <n v="101.2"/>
    <x v="70"/>
    <d v="2025-03-15T00:00:00"/>
    <x v="1"/>
    <x v="2"/>
    <n v="2"/>
    <s v="California"/>
    <s v="Alameda County"/>
    <n v="3"/>
    <x v="10"/>
    <s v="Male"/>
  </r>
  <r>
    <s v="TX501931"/>
    <s v="Workout Tops"/>
    <n v="5"/>
    <n v="69"/>
    <n v="345"/>
    <x v="70"/>
    <d v="2025-03-16T00:00:00"/>
    <x v="1"/>
    <x v="3"/>
    <n v="4"/>
    <s v="California"/>
    <s v="Alameda County"/>
    <n v="4"/>
    <x v="10"/>
    <s v="Male"/>
  </r>
  <r>
    <s v="TX501932"/>
    <s v="Sundresses"/>
    <n v="8"/>
    <n v="51.1"/>
    <n v="408.8"/>
    <x v="70"/>
    <d v="2025-03-14T00:00:00"/>
    <x v="2"/>
    <x v="0"/>
    <n v="4"/>
    <s v="California"/>
    <s v="Contra Costa County"/>
    <n v="2"/>
    <x v="10"/>
    <s v="Female"/>
  </r>
  <r>
    <s v="TX501933"/>
    <s v="Sundresses"/>
    <n v="1"/>
    <n v="36.1"/>
    <n v="36.1"/>
    <x v="70"/>
    <d v="2025-03-13T00:00:00"/>
    <x v="2"/>
    <x v="0"/>
    <n v="5"/>
    <s v="California"/>
    <s v="Kings County"/>
    <n v="1"/>
    <x v="10"/>
    <s v="Female"/>
  </r>
  <r>
    <s v="TX501934"/>
    <s v="Baseball Caps"/>
    <n v="1"/>
    <n v="18.7"/>
    <n v="18.7"/>
    <x v="70"/>
    <d v="2025-03-13T00:00:00"/>
    <x v="1"/>
    <x v="0"/>
    <n v="4"/>
    <s v="California"/>
    <s v="Los Angeles County"/>
    <n v="1"/>
    <x v="10"/>
    <s v="Male"/>
  </r>
  <r>
    <s v="TX501935"/>
    <s v="Pajama Sets"/>
    <n v="1"/>
    <n v="30.1"/>
    <n v="30.1"/>
    <x v="70"/>
    <d v="2025-03-15T00:00:00"/>
    <x v="2"/>
    <x v="3"/>
    <n v="3"/>
    <s v="California"/>
    <s v="Los Angeles County"/>
    <n v="3"/>
    <x v="10"/>
    <s v="Female"/>
  </r>
  <r>
    <s v="TX501936"/>
    <s v="T-Shirts"/>
    <n v="1"/>
    <n v="16.3"/>
    <n v="16.3"/>
    <x v="70"/>
    <d v="2025-03-13T00:00:00"/>
    <x v="1"/>
    <x v="3"/>
    <n v="4"/>
    <s v="California"/>
    <s v="Los Angeles County"/>
    <n v="1"/>
    <x v="10"/>
    <s v="Male"/>
  </r>
  <r>
    <s v="TX501937"/>
    <s v="Tank Tops"/>
    <n v="3"/>
    <n v="63.8"/>
    <n v="191.39999999999998"/>
    <x v="70"/>
    <d v="2025-03-17T00:00:00"/>
    <x v="2"/>
    <x v="2"/>
    <n v="3"/>
    <s v="California"/>
    <s v="Los Angeles County"/>
    <n v="5"/>
    <x v="10"/>
    <s v="Female"/>
  </r>
  <r>
    <s v="TX501938"/>
    <s v="Tank Tops"/>
    <n v="7"/>
    <n v="73.900000000000006"/>
    <n v="517.30000000000007"/>
    <x v="70"/>
    <d v="2025-03-12T00:00:00"/>
    <x v="2"/>
    <x v="0"/>
    <n v="3"/>
    <s v="California"/>
    <s v="Los Angeles County"/>
    <n v="0"/>
    <x v="10"/>
    <s v="Female"/>
  </r>
  <r>
    <s v="TX501939"/>
    <s v="Shorts"/>
    <n v="2"/>
    <n v="20.2"/>
    <n v="40.4"/>
    <x v="70"/>
    <d v="2025-03-13T00:00:00"/>
    <x v="1"/>
    <x v="0"/>
    <n v="3"/>
    <s v="California"/>
    <s v="Los Angeles County"/>
    <n v="1"/>
    <x v="10"/>
    <s v="Male"/>
  </r>
  <r>
    <s v="TX501940"/>
    <s v="Maxi Dresses"/>
    <n v="11"/>
    <n v="29.5"/>
    <n v="324.5"/>
    <x v="70"/>
    <d v="2025-03-13T00:00:00"/>
    <x v="1"/>
    <x v="0"/>
    <n v="4"/>
    <s v="California"/>
    <s v="Los Angeles County"/>
    <n v="1"/>
    <x v="10"/>
    <s v="Male"/>
  </r>
  <r>
    <s v="TX501941"/>
    <s v="Crop Tops"/>
    <n v="7"/>
    <n v="37.9"/>
    <n v="265.3"/>
    <x v="70"/>
    <d v="2025-03-13T00:00:00"/>
    <x v="1"/>
    <x v="1"/>
    <n v="4"/>
    <s v="California"/>
    <s v="Los Angeles County"/>
    <n v="1"/>
    <x v="10"/>
    <s v="Male"/>
  </r>
  <r>
    <s v="TX501942"/>
    <s v="Sneakers"/>
    <n v="1"/>
    <n v="56.5"/>
    <n v="56.5"/>
    <x v="70"/>
    <d v="2025-03-13T00:00:00"/>
    <x v="2"/>
    <x v="2"/>
    <n v="3"/>
    <s v="California"/>
    <s v="Los Angeles County"/>
    <n v="1"/>
    <x v="10"/>
    <s v="Female"/>
  </r>
  <r>
    <s v="TX501943"/>
    <s v="Sneakers"/>
    <n v="2"/>
    <n v="66.900000000000006"/>
    <n v="133.80000000000001"/>
    <x v="70"/>
    <d v="2025-03-18T00:00:00"/>
    <x v="1"/>
    <x v="1"/>
    <n v="2"/>
    <s v="California"/>
    <s v="Orange County"/>
    <n v="6"/>
    <x v="10"/>
    <s v="Male"/>
  </r>
  <r>
    <s v="TX501944"/>
    <s v="Sneakers"/>
    <n v="5"/>
    <n v="51.9"/>
    <n v="259.5"/>
    <x v="70"/>
    <d v="2025-03-15T00:00:00"/>
    <x v="1"/>
    <x v="1"/>
    <n v="4"/>
    <s v="California"/>
    <s v="San Bernardino County"/>
    <n v="3"/>
    <x v="10"/>
    <s v="Male"/>
  </r>
  <r>
    <s v="TX501945"/>
    <s v="Sneakers"/>
    <n v="2"/>
    <n v="75.599999999999994"/>
    <n v="151.19999999999999"/>
    <x v="70"/>
    <d v="2025-03-15T00:00:00"/>
    <x v="1"/>
    <x v="1"/>
    <n v="4"/>
    <s v="California"/>
    <s v="San Diego County"/>
    <n v="3"/>
    <x v="10"/>
    <s v="Male"/>
  </r>
  <r>
    <s v="TX501946"/>
    <s v="Casual Dresses"/>
    <n v="6"/>
    <n v="47.3"/>
    <n v="283.79999999999995"/>
    <x v="70"/>
    <d v="2025-03-23T00:00:00"/>
    <x v="1"/>
    <x v="0"/>
    <n v="4"/>
    <s v="California"/>
    <s v="San Diego County"/>
    <n v="11"/>
    <x v="10"/>
    <s v="Male"/>
  </r>
  <r>
    <s v="TX501947"/>
    <s v="Graphic Tees"/>
    <n v="1"/>
    <n v="20.6"/>
    <n v="20.6"/>
    <x v="70"/>
    <d v="2025-03-13T00:00:00"/>
    <x v="0"/>
    <x v="0"/>
    <n v="3"/>
    <s v="California"/>
    <s v="San Diego County"/>
    <n v="1"/>
    <x v="10"/>
    <s v="Unknown"/>
  </r>
  <r>
    <s v="TX501948"/>
    <s v="Jeans"/>
    <n v="3"/>
    <n v="49.7"/>
    <n v="149.10000000000002"/>
    <x v="70"/>
    <d v="2025-03-14T00:00:00"/>
    <x v="1"/>
    <x v="0"/>
    <n v="3"/>
    <s v="California"/>
    <s v="San Diego County"/>
    <n v="2"/>
    <x v="10"/>
    <s v="Male"/>
  </r>
  <r>
    <s v="TX501949"/>
    <s v="Workout Tops"/>
    <n v="1"/>
    <n v="37.9"/>
    <n v="37.9"/>
    <x v="70"/>
    <d v="2025-03-14T00:00:00"/>
    <x v="2"/>
    <x v="0"/>
    <n v="4"/>
    <s v="California"/>
    <s v="San Diego County"/>
    <n v="2"/>
    <x v="10"/>
    <s v="Female"/>
  </r>
  <r>
    <s v="TX501950"/>
    <s v="Tote Bags"/>
    <n v="15"/>
    <n v="32"/>
    <n v="480"/>
    <x v="70"/>
    <d v="2025-03-14T00:00:00"/>
    <x v="2"/>
    <x v="4"/>
    <n v="4"/>
    <s v="California"/>
    <s v="Santa Clara County"/>
    <n v="2"/>
    <x v="10"/>
    <s v="Female"/>
  </r>
  <r>
    <s v="TX501951"/>
    <s v="Bikinis"/>
    <n v="18"/>
    <n v="38.5"/>
    <n v="693"/>
    <x v="71"/>
    <d v="2025-03-14T00:00:00"/>
    <x v="1"/>
    <x v="0"/>
    <n v="5"/>
    <s v="California"/>
    <s v="Santa Clara County"/>
    <n v="1"/>
    <x v="10"/>
    <s v="Male"/>
  </r>
  <r>
    <s v="TX501952"/>
    <s v="Shorts"/>
    <n v="4"/>
    <n v="11.7"/>
    <n v="46.8"/>
    <x v="71"/>
    <d v="2025-03-15T00:00:00"/>
    <x v="2"/>
    <x v="1"/>
    <n v="4"/>
    <s v="California"/>
    <s v="Tulare County"/>
    <n v="2"/>
    <x v="10"/>
    <s v="Female"/>
  </r>
  <r>
    <s v="TX501953"/>
    <s v="Workout Tops"/>
    <n v="6"/>
    <n v="83.8"/>
    <n v="502.79999999999995"/>
    <x v="71"/>
    <d v="2025-03-14T00:00:00"/>
    <x v="1"/>
    <x v="0"/>
    <n v="4"/>
    <s v="California"/>
    <s v="Alameda County"/>
    <n v="1"/>
    <x v="10"/>
    <s v="Male"/>
  </r>
  <r>
    <s v="TX501954"/>
    <s v="Shorts"/>
    <n v="7"/>
    <n v="14"/>
    <n v="98"/>
    <x v="71"/>
    <d v="2025-03-16T00:00:00"/>
    <x v="1"/>
    <x v="0"/>
    <n v="3"/>
    <s v="California"/>
    <s v="Kern County"/>
    <n v="3"/>
    <x v="10"/>
    <s v="Male"/>
  </r>
  <r>
    <s v="TX501955"/>
    <s v="Sunglasses"/>
    <n v="4"/>
    <n v="77.3"/>
    <n v="309.2"/>
    <x v="71"/>
    <d v="2025-03-15T00:00:00"/>
    <x v="2"/>
    <x v="4"/>
    <n v="5"/>
    <s v="California"/>
    <s v="Los Angeles County"/>
    <n v="2"/>
    <x v="10"/>
    <s v="Female"/>
  </r>
  <r>
    <s v="TX501956"/>
    <s v="Sneakers"/>
    <n v="2"/>
    <n v="76.900000000000006"/>
    <n v="153.80000000000001"/>
    <x v="71"/>
    <d v="2025-03-17T00:00:00"/>
    <x v="2"/>
    <x v="0"/>
    <n v="3"/>
    <s v="California"/>
    <s v="Los Angeles County"/>
    <n v="4"/>
    <x v="10"/>
    <s v="Female"/>
  </r>
  <r>
    <s v="TX501957"/>
    <s v="Tank Tops"/>
    <n v="1"/>
    <n v="48"/>
    <n v="48"/>
    <x v="71"/>
    <d v="2025-03-15T00:00:00"/>
    <x v="2"/>
    <x v="1"/>
    <n v="5"/>
    <s v="California"/>
    <s v="Los Angeles County"/>
    <n v="2"/>
    <x v="10"/>
    <s v="Female"/>
  </r>
  <r>
    <s v="TX501958"/>
    <s v="Sneakers"/>
    <n v="1"/>
    <n v="94.5"/>
    <n v="94.5"/>
    <x v="71"/>
    <d v="2025-03-16T00:00:00"/>
    <x v="1"/>
    <x v="1"/>
    <n v="3"/>
    <s v="California"/>
    <s v="Los Angeles County"/>
    <n v="3"/>
    <x v="10"/>
    <s v="Male"/>
  </r>
  <r>
    <s v="TX501959"/>
    <s v="Bikinis"/>
    <n v="3"/>
    <n v="58.4"/>
    <n v="175.2"/>
    <x v="71"/>
    <d v="2025-03-15T00:00:00"/>
    <x v="2"/>
    <x v="1"/>
    <n v="5"/>
    <s v="California"/>
    <s v="Los Angeles County"/>
    <n v="2"/>
    <x v="10"/>
    <s v="Female"/>
  </r>
  <r>
    <s v="TX501960"/>
    <s v="Hoodies &amp; Sweatshirts"/>
    <n v="13"/>
    <n v="42.2"/>
    <n v="548.6"/>
    <x v="71"/>
    <d v="2025-03-13T00:00:00"/>
    <x v="1"/>
    <x v="0"/>
    <n v="4"/>
    <s v="California"/>
    <s v="Orange County"/>
    <n v="0"/>
    <x v="10"/>
    <s v="Male"/>
  </r>
  <r>
    <s v="TX501961"/>
    <s v="Jeans"/>
    <n v="2"/>
    <n v="152.19999999999999"/>
    <n v="304.39999999999998"/>
    <x v="71"/>
    <d v="2025-03-14T00:00:00"/>
    <x v="1"/>
    <x v="4"/>
    <n v="3"/>
    <s v="California"/>
    <s v="Orange County"/>
    <n v="1"/>
    <x v="10"/>
    <s v="Male"/>
  </r>
  <r>
    <s v="TX501962"/>
    <s v="Jeans"/>
    <n v="24"/>
    <n v="72"/>
    <n v="1728"/>
    <x v="71"/>
    <d v="2025-03-14T00:00:00"/>
    <x v="1"/>
    <x v="0"/>
    <n v="3"/>
    <s v="California"/>
    <s v="Sacramento County"/>
    <n v="1"/>
    <x v="10"/>
    <s v="Male"/>
  </r>
  <r>
    <s v="TX501963"/>
    <s v="Tank Tops"/>
    <n v="23"/>
    <n v="70.900000000000006"/>
    <n v="1630.7"/>
    <x v="71"/>
    <d v="2025-03-14T00:00:00"/>
    <x v="2"/>
    <x v="2"/>
    <n v="4"/>
    <s v="California"/>
    <s v="San Diego County"/>
    <n v="1"/>
    <x v="10"/>
    <s v="Female"/>
  </r>
  <r>
    <s v="TX501964"/>
    <s v="Sneakers"/>
    <n v="2"/>
    <n v="53.7"/>
    <n v="107.4"/>
    <x v="71"/>
    <d v="2025-03-14T00:00:00"/>
    <x v="1"/>
    <x v="2"/>
    <n v="5"/>
    <s v="California"/>
    <s v="San Diego County"/>
    <n v="1"/>
    <x v="10"/>
    <s v="Male"/>
  </r>
  <r>
    <s v="TX501965"/>
    <s v="Sundresses"/>
    <n v="4"/>
    <n v="42.9"/>
    <n v="171.6"/>
    <x v="71"/>
    <d v="2025-03-14T00:00:00"/>
    <x v="2"/>
    <x v="2"/>
    <n v="2"/>
    <s v="California"/>
    <s v="San Mateo County"/>
    <n v="1"/>
    <x v="10"/>
    <s v="Female"/>
  </r>
  <r>
    <s v="TX501966"/>
    <s v="Sneakers"/>
    <n v="7"/>
    <n v="107.5"/>
    <n v="752.5"/>
    <x v="71"/>
    <d v="2025-03-14T00:00:00"/>
    <x v="1"/>
    <x v="1"/>
    <n v="4"/>
    <s v="California"/>
    <s v="Santa Clara County"/>
    <n v="1"/>
    <x v="10"/>
    <s v="Male"/>
  </r>
  <r>
    <s v="TX501967"/>
    <s v="Pajama Sets"/>
    <n v="16"/>
    <n v="21.5"/>
    <n v="344"/>
    <x v="71"/>
    <d v="2025-03-14T00:00:00"/>
    <x v="1"/>
    <x v="1"/>
    <n v="3"/>
    <s v="California"/>
    <s v="Santa Cruz County"/>
    <n v="1"/>
    <x v="10"/>
    <s v="Male"/>
  </r>
  <r>
    <s v="TX501968"/>
    <s v="Workout Tops"/>
    <n v="5"/>
    <n v="85.3"/>
    <n v="426.5"/>
    <x v="71"/>
    <d v="2025-03-15T00:00:00"/>
    <x v="2"/>
    <x v="3"/>
    <n v="4"/>
    <s v="California"/>
    <s v="Sonoma County"/>
    <n v="2"/>
    <x v="10"/>
    <s v="Female"/>
  </r>
  <r>
    <s v="TX501969"/>
    <s v="Hoodies &amp; Sweatshirts"/>
    <n v="5"/>
    <n v="80.8"/>
    <n v="404"/>
    <x v="71"/>
    <d v="2025-03-21T00:00:00"/>
    <x v="3"/>
    <x v="1"/>
    <n v="3"/>
    <s v="California"/>
    <s v="Stanislaus County"/>
    <n v="8"/>
    <x v="10"/>
    <s v="Other"/>
  </r>
  <r>
    <s v="TX501970"/>
    <s v="Sneakers"/>
    <n v="3"/>
    <n v="123.1"/>
    <n v="369.29999999999995"/>
    <x v="71"/>
    <d v="2025-03-15T00:00:00"/>
    <x v="0"/>
    <x v="2"/>
    <n v="4"/>
    <s v="California"/>
    <s v="Alameda County"/>
    <n v="2"/>
    <x v="10"/>
    <s v="Unknown"/>
  </r>
  <r>
    <s v="TX501971"/>
    <s v="T-Shirts"/>
    <n v="2"/>
    <n v="36.9"/>
    <n v="73.8"/>
    <x v="71"/>
    <d v="2025-03-15T00:00:00"/>
    <x v="2"/>
    <x v="2"/>
    <n v="2"/>
    <s v="California"/>
    <s v="Butte County"/>
    <n v="2"/>
    <x v="10"/>
    <s v="Female"/>
  </r>
  <r>
    <s v="TX501972"/>
    <s v="Maxi Dresses"/>
    <n v="5"/>
    <n v="40"/>
    <n v="200"/>
    <x v="71"/>
    <d v="2025-03-14T00:00:00"/>
    <x v="1"/>
    <x v="0"/>
    <n v="4"/>
    <s v="California"/>
    <s v="Contra Costa County"/>
    <n v="1"/>
    <x v="10"/>
    <s v="Male"/>
  </r>
  <r>
    <s v="TX501973"/>
    <s v="Jeans"/>
    <n v="3"/>
    <n v="55.5"/>
    <n v="166.5"/>
    <x v="71"/>
    <d v="2025-03-14T00:00:00"/>
    <x v="1"/>
    <x v="4"/>
    <n v="5"/>
    <s v="California"/>
    <s v="Contra Costa County"/>
    <n v="1"/>
    <x v="10"/>
    <s v="Male"/>
  </r>
  <r>
    <s v="TX501974"/>
    <s v="Shorts"/>
    <n v="4"/>
    <n v="20.5"/>
    <n v="82"/>
    <x v="71"/>
    <d v="2025-03-17T00:00:00"/>
    <x v="2"/>
    <x v="4"/>
    <n v="4"/>
    <s v="California"/>
    <s v="Contra Costa County"/>
    <n v="4"/>
    <x v="10"/>
    <s v="Female"/>
  </r>
  <r>
    <s v="TX501975"/>
    <s v="Leggings"/>
    <n v="4"/>
    <n v="50.1"/>
    <n v="200.4"/>
    <x v="71"/>
    <d v="2025-03-14T00:00:00"/>
    <x v="2"/>
    <x v="4"/>
    <n v="4"/>
    <s v="California"/>
    <s v="Contra Costa County"/>
    <n v="1"/>
    <x v="10"/>
    <s v="Female"/>
  </r>
  <r>
    <s v="TX501976"/>
    <s v="Sundresses"/>
    <n v="1"/>
    <n v="35.9"/>
    <n v="35.9"/>
    <x v="71"/>
    <d v="2025-03-15T00:00:00"/>
    <x v="1"/>
    <x v="1"/>
    <n v="5"/>
    <s v="California"/>
    <s v="Contra Costa County"/>
    <n v="2"/>
    <x v="10"/>
    <s v="Male"/>
  </r>
  <r>
    <s v="TX501977"/>
    <s v="Tote Bags"/>
    <n v="4"/>
    <n v="29.4"/>
    <n v="117.6"/>
    <x v="72"/>
    <d v="2025-03-15T00:00:00"/>
    <x v="1"/>
    <x v="2"/>
    <n v="5"/>
    <s v="California"/>
    <s v="Imperial County"/>
    <n v="1"/>
    <x v="10"/>
    <s v="Male"/>
  </r>
  <r>
    <s v="TX501978"/>
    <s v="T-Shirts"/>
    <n v="5"/>
    <n v="29.1"/>
    <n v="145.5"/>
    <x v="72"/>
    <d v="2025-03-22T00:00:00"/>
    <x v="3"/>
    <x v="2"/>
    <n v="3"/>
    <s v="California"/>
    <s v="Imperial County"/>
    <n v="8"/>
    <x v="10"/>
    <s v="Other"/>
  </r>
  <r>
    <s v="TX501979"/>
    <s v="T-Shirts"/>
    <n v="3"/>
    <n v="33.5"/>
    <n v="100.5"/>
    <x v="72"/>
    <d v="2025-03-26T00:00:00"/>
    <x v="1"/>
    <x v="0"/>
    <n v="5"/>
    <s v="California"/>
    <s v="Kern County"/>
    <n v="12"/>
    <x v="10"/>
    <s v="Male"/>
  </r>
  <r>
    <s v="TX501980"/>
    <s v="Graphic Tees"/>
    <n v="10"/>
    <n v="36"/>
    <n v="360"/>
    <x v="72"/>
    <d v="2025-03-14T00:00:00"/>
    <x v="1"/>
    <x v="3"/>
    <n v="5"/>
    <s v="California"/>
    <s v="Los Angeles County"/>
    <n v="0"/>
    <x v="10"/>
    <s v="Male"/>
  </r>
  <r>
    <s v="TX501981"/>
    <s v="Sunglasses"/>
    <n v="3"/>
    <n v="57.3"/>
    <n v="171.89999999999998"/>
    <x v="72"/>
    <d v="2025-03-18T00:00:00"/>
    <x v="2"/>
    <x v="0"/>
    <n v="5"/>
    <s v="California"/>
    <s v="Los Angeles County"/>
    <n v="4"/>
    <x v="10"/>
    <s v="Female"/>
  </r>
  <r>
    <s v="TX501982"/>
    <s v="Tank Tops"/>
    <n v="1"/>
    <n v="81.400000000000006"/>
    <n v="81.400000000000006"/>
    <x v="72"/>
    <d v="2025-03-15T00:00:00"/>
    <x v="2"/>
    <x v="2"/>
    <n v="5"/>
    <s v="California"/>
    <s v="Los Angeles County"/>
    <n v="1"/>
    <x v="10"/>
    <s v="Female"/>
  </r>
  <r>
    <s v="TX501983"/>
    <s v="Bikinis"/>
    <n v="2"/>
    <n v="35.299999999999997"/>
    <n v="70.599999999999994"/>
    <x v="72"/>
    <d v="2025-03-18T00:00:00"/>
    <x v="1"/>
    <x v="0"/>
    <n v="5"/>
    <s v="California"/>
    <s v="Los Angeles County"/>
    <n v="4"/>
    <x v="10"/>
    <s v="Male"/>
  </r>
  <r>
    <s v="TX501984"/>
    <s v="Workout Tops"/>
    <n v="1"/>
    <n v="36.1"/>
    <n v="36.1"/>
    <x v="72"/>
    <d v="2025-03-15T00:00:00"/>
    <x v="2"/>
    <x v="4"/>
    <n v="4"/>
    <s v="California"/>
    <s v="Los Angeles County"/>
    <n v="1"/>
    <x v="10"/>
    <s v="Female"/>
  </r>
  <r>
    <s v="TX501985"/>
    <s v="Tank Tops"/>
    <n v="2"/>
    <n v="36.700000000000003"/>
    <n v="73.400000000000006"/>
    <x v="72"/>
    <d v="2025-03-16T00:00:00"/>
    <x v="2"/>
    <x v="0"/>
    <n v="5"/>
    <s v="California"/>
    <s v="Los Angeles County"/>
    <n v="2"/>
    <x v="10"/>
    <s v="Female"/>
  </r>
  <r>
    <s v="TX501986"/>
    <s v="Bikinis"/>
    <n v="1"/>
    <n v="20.9"/>
    <n v="20.9"/>
    <x v="72"/>
    <d v="2025-03-16T00:00:00"/>
    <x v="2"/>
    <x v="0"/>
    <n v="2"/>
    <s v="California"/>
    <s v="Los Angeles County"/>
    <n v="2"/>
    <x v="10"/>
    <s v="Female"/>
  </r>
  <r>
    <s v="TX501987"/>
    <s v="Casual Dresses"/>
    <n v="3"/>
    <n v="58.8"/>
    <n v="176.39999999999998"/>
    <x v="72"/>
    <d v="2025-03-18T00:00:00"/>
    <x v="1"/>
    <x v="0"/>
    <n v="5"/>
    <s v="California"/>
    <s v="Orange County"/>
    <n v="4"/>
    <x v="10"/>
    <s v="Male"/>
  </r>
  <r>
    <s v="TX501988"/>
    <s v="Sneakers"/>
    <n v="3"/>
    <n v="97.6"/>
    <n v="292.79999999999995"/>
    <x v="73"/>
    <d v="2025-03-17T00:00:00"/>
    <x v="0"/>
    <x v="0"/>
    <n v="4"/>
    <s v="California"/>
    <s v="Sacramento County"/>
    <n v="2"/>
    <x v="10"/>
    <s v="Unknown"/>
  </r>
  <r>
    <s v="TX501989"/>
    <s v="Tank Tops"/>
    <n v="2"/>
    <n v="58.7"/>
    <n v="117.4"/>
    <x v="73"/>
    <d v="2025-03-18T00:00:00"/>
    <x v="2"/>
    <x v="0"/>
    <n v="3"/>
    <s v="California"/>
    <s v="Sacramento County"/>
    <n v="3"/>
    <x v="10"/>
    <s v="Female"/>
  </r>
  <r>
    <s v="TX501990"/>
    <s v="Jeans"/>
    <n v="5"/>
    <n v="71.900000000000006"/>
    <n v="359.5"/>
    <x v="73"/>
    <d v="2025-03-16T00:00:00"/>
    <x v="0"/>
    <x v="0"/>
    <n v="3"/>
    <s v="California"/>
    <s v="Sacramento County"/>
    <n v="1"/>
    <x v="10"/>
    <s v="Unknown"/>
  </r>
  <r>
    <s v="TX501991"/>
    <s v="Tank Tops"/>
    <n v="2"/>
    <n v="62.4"/>
    <n v="124.8"/>
    <x v="73"/>
    <d v="2025-03-17T00:00:00"/>
    <x v="0"/>
    <x v="0"/>
    <n v="3"/>
    <s v="California"/>
    <s v="San Diego County"/>
    <n v="2"/>
    <x v="10"/>
    <s v="Unknown"/>
  </r>
  <r>
    <s v="TX501992"/>
    <s v="Jeans"/>
    <n v="16"/>
    <n v="53.8"/>
    <n v="860.8"/>
    <x v="73"/>
    <d v="2025-03-16T00:00:00"/>
    <x v="2"/>
    <x v="1"/>
    <n v="4"/>
    <s v="California"/>
    <s v="San Diego County"/>
    <n v="1"/>
    <x v="10"/>
    <s v="Female"/>
  </r>
  <r>
    <s v="TX501993"/>
    <s v="Sundresses"/>
    <n v="1"/>
    <n v="43.8"/>
    <n v="43.8"/>
    <x v="73"/>
    <d v="2025-03-22T00:00:00"/>
    <x v="2"/>
    <x v="0"/>
    <n v="5"/>
    <s v="California"/>
    <s v="San Diego County"/>
    <n v="7"/>
    <x v="10"/>
    <s v="Female"/>
  </r>
  <r>
    <s v="TX501994"/>
    <s v="Sandals"/>
    <n v="3"/>
    <n v="53.6"/>
    <n v="160.80000000000001"/>
    <x v="73"/>
    <d v="2025-03-16T00:00:00"/>
    <x v="1"/>
    <x v="3"/>
    <n v="4"/>
    <s v="California"/>
    <s v="San Diego County"/>
    <n v="1"/>
    <x v="10"/>
    <s v="Male"/>
  </r>
  <r>
    <s v="TX501995"/>
    <s v="Casual Dresses"/>
    <n v="2"/>
    <n v="84.3"/>
    <n v="168.6"/>
    <x v="73"/>
    <d v="2025-03-18T00:00:00"/>
    <x v="1"/>
    <x v="4"/>
    <n v="3"/>
    <s v="California"/>
    <s v="San Diego County"/>
    <n v="3"/>
    <x v="10"/>
    <s v="Male"/>
  </r>
  <r>
    <s v="TX501996"/>
    <s v="Jeans"/>
    <n v="9"/>
    <n v="117.9"/>
    <n v="1061.1000000000001"/>
    <x v="73"/>
    <d v="2025-03-16T00:00:00"/>
    <x v="2"/>
    <x v="1"/>
    <n v="5"/>
    <s v="California"/>
    <s v="San Diego County"/>
    <n v="1"/>
    <x v="10"/>
    <s v="Female"/>
  </r>
  <r>
    <s v="TX501997"/>
    <s v="Graphic Tees"/>
    <n v="8"/>
    <n v="30"/>
    <n v="240"/>
    <x v="73"/>
    <d v="2025-03-16T00:00:00"/>
    <x v="2"/>
    <x v="1"/>
    <n v="4"/>
    <s v="California"/>
    <s v="San Joaquin County"/>
    <n v="1"/>
    <x v="10"/>
    <s v="Female"/>
  </r>
  <r>
    <s v="TX501998"/>
    <s v="Baseball Caps"/>
    <n v="3"/>
    <n v="37.299999999999997"/>
    <n v="111.89999999999999"/>
    <x v="73"/>
    <d v="2025-03-16T00:00:00"/>
    <x v="1"/>
    <x v="2"/>
    <n v="4"/>
    <s v="California"/>
    <s v="San Mateo County"/>
    <n v="1"/>
    <x v="10"/>
    <s v="Male"/>
  </r>
  <r>
    <s v="TX501999"/>
    <s v="Graphic Tees"/>
    <n v="9"/>
    <n v="25.1"/>
    <n v="225.9"/>
    <x v="73"/>
    <d v="2025-03-17T00:00:00"/>
    <x v="1"/>
    <x v="1"/>
    <n v="5"/>
    <s v="California"/>
    <s v="Santa Clara County"/>
    <n v="2"/>
    <x v="10"/>
    <s v="Male"/>
  </r>
  <r>
    <s v="TX502000"/>
    <s v="T-Shirts"/>
    <n v="11"/>
    <n v="36"/>
    <n v="396"/>
    <x v="73"/>
    <d v="2025-03-25T00:00:00"/>
    <x v="1"/>
    <x v="1"/>
    <n v="4"/>
    <s v="California"/>
    <s v="Sonoma County"/>
    <n v="10"/>
    <x v="10"/>
    <s v="Male"/>
  </r>
  <r>
    <s v="TX502001"/>
    <s v="Sunglasses"/>
    <n v="3"/>
    <n v="48.5"/>
    <n v="145.5"/>
    <x v="73"/>
    <d v="2025-03-19T00:00:00"/>
    <x v="2"/>
    <x v="1"/>
    <n v="4"/>
    <s v="California"/>
    <s v="Stanislaus County"/>
    <n v="4"/>
    <x v="10"/>
    <s v="Female"/>
  </r>
  <r>
    <s v="TX502002"/>
    <s v="Pajama Sets"/>
    <n v="6"/>
    <n v="21.1"/>
    <n v="126.60000000000001"/>
    <x v="73"/>
    <d v="2025-03-16T00:00:00"/>
    <x v="1"/>
    <x v="1"/>
    <n v="5"/>
    <s v="California"/>
    <s v="Alameda County"/>
    <n v="1"/>
    <x v="10"/>
    <s v="Male"/>
  </r>
  <r>
    <s v="TX502003"/>
    <s v="Crop Tops"/>
    <n v="14"/>
    <n v="43.2"/>
    <n v="604.80000000000007"/>
    <x v="73"/>
    <d v="2025-03-16T00:00:00"/>
    <x v="3"/>
    <x v="0"/>
    <n v="3"/>
    <s v="California"/>
    <s v="Alameda County"/>
    <n v="1"/>
    <x v="10"/>
    <s v="Other"/>
  </r>
  <r>
    <s v="TX502004"/>
    <s v="Sundresses"/>
    <n v="2"/>
    <n v="21.1"/>
    <n v="42.2"/>
    <x v="73"/>
    <d v="2025-03-16T00:00:00"/>
    <x v="0"/>
    <x v="3"/>
    <n v="3"/>
    <s v="California"/>
    <s v="Alameda County"/>
    <n v="1"/>
    <x v="10"/>
    <s v="Unknown"/>
  </r>
  <r>
    <s v="TX502005"/>
    <s v="Jeans"/>
    <n v="4"/>
    <n v="41.3"/>
    <n v="165.2"/>
    <x v="73"/>
    <d v="2025-03-17T00:00:00"/>
    <x v="2"/>
    <x v="3"/>
    <n v="5"/>
    <s v="California"/>
    <s v="Contra Costa County"/>
    <n v="2"/>
    <x v="10"/>
    <s v="Female"/>
  </r>
  <r>
    <s v="TX502006"/>
    <s v="T-Shirts"/>
    <n v="2"/>
    <n v="15.3"/>
    <n v="30.6"/>
    <x v="73"/>
    <d v="2025-03-18T00:00:00"/>
    <x v="0"/>
    <x v="2"/>
    <n v="5"/>
    <s v="California"/>
    <s v="Contra Costa County"/>
    <n v="3"/>
    <x v="10"/>
    <s v="Unknown"/>
  </r>
  <r>
    <s v="TX502007"/>
    <s v="Tank Tops"/>
    <n v="1"/>
    <n v="54.6"/>
    <n v="54.6"/>
    <x v="73"/>
    <d v="2025-03-17T00:00:00"/>
    <x v="1"/>
    <x v="1"/>
    <n v="3"/>
    <s v="California"/>
    <s v="Fresno County"/>
    <n v="2"/>
    <x v="10"/>
    <s v="Male"/>
  </r>
  <r>
    <s v="TX502008"/>
    <s v="T-Shirts"/>
    <n v="1"/>
    <n v="15.9"/>
    <n v="15.9"/>
    <x v="73"/>
    <d v="2025-03-16T00:00:00"/>
    <x v="1"/>
    <x v="0"/>
    <n v="3"/>
    <s v="California"/>
    <s v="Kern County"/>
    <n v="1"/>
    <x v="10"/>
    <s v="Male"/>
  </r>
  <r>
    <s v="TX502009"/>
    <s v="Sundresses"/>
    <n v="1"/>
    <n v="50.2"/>
    <n v="50.2"/>
    <x v="73"/>
    <d v="2025-03-17T00:00:00"/>
    <x v="2"/>
    <x v="3"/>
    <n v="5"/>
    <s v="California"/>
    <s v="Kings County"/>
    <n v="2"/>
    <x v="10"/>
    <s v="Female"/>
  </r>
  <r>
    <s v="TX502010"/>
    <s v="Maxi Dresses"/>
    <n v="4"/>
    <n v="85.1"/>
    <n v="340.4"/>
    <x v="73"/>
    <d v="2025-03-16T00:00:00"/>
    <x v="2"/>
    <x v="3"/>
    <n v="2"/>
    <s v="California"/>
    <s v="Kings County"/>
    <n v="1"/>
    <x v="10"/>
    <s v="Female"/>
  </r>
  <r>
    <s v="TX502011"/>
    <s v="Maxi Dresses"/>
    <n v="2"/>
    <n v="41.4"/>
    <n v="82.8"/>
    <x v="73"/>
    <d v="2025-03-16T00:00:00"/>
    <x v="2"/>
    <x v="0"/>
    <n v="5"/>
    <s v="California"/>
    <s v="Los Angeles County"/>
    <n v="1"/>
    <x v="10"/>
    <s v="Female"/>
  </r>
  <r>
    <s v="TX502012"/>
    <s v="Graphic Tees"/>
    <n v="7"/>
    <n v="32.700000000000003"/>
    <n v="228.90000000000003"/>
    <x v="73"/>
    <d v="2025-03-16T00:00:00"/>
    <x v="2"/>
    <x v="2"/>
    <n v="3"/>
    <s v="California"/>
    <s v="Los Angeles County"/>
    <n v="1"/>
    <x v="10"/>
    <s v="Female"/>
  </r>
  <r>
    <s v="TX502013"/>
    <s v="Graphic Tees"/>
    <n v="2"/>
    <n v="41.6"/>
    <n v="83.2"/>
    <x v="73"/>
    <d v="2025-03-17T00:00:00"/>
    <x v="1"/>
    <x v="4"/>
    <n v="3"/>
    <s v="California"/>
    <s v="Los Angeles County"/>
    <n v="2"/>
    <x v="10"/>
    <s v="Male"/>
  </r>
  <r>
    <s v="TX502014"/>
    <s v="Sandals"/>
    <n v="4"/>
    <n v="64.8"/>
    <n v="259.2"/>
    <x v="73"/>
    <d v="2025-03-16T00:00:00"/>
    <x v="0"/>
    <x v="2"/>
    <n v="4"/>
    <s v="California"/>
    <s v="Los Angeles County"/>
    <n v="1"/>
    <x v="10"/>
    <s v="Unknown"/>
  </r>
  <r>
    <s v="TX502015"/>
    <s v="Crop Tops"/>
    <n v="2"/>
    <n v="33.6"/>
    <n v="67.2"/>
    <x v="73"/>
    <d v="2025-03-16T00:00:00"/>
    <x v="1"/>
    <x v="0"/>
    <n v="5"/>
    <s v="California"/>
    <s v="Los Angeles County"/>
    <n v="1"/>
    <x v="10"/>
    <s v="Male"/>
  </r>
  <r>
    <s v="TX502016"/>
    <s v="Jeans"/>
    <n v="3"/>
    <n v="100.7"/>
    <n v="302.10000000000002"/>
    <x v="73"/>
    <d v="2025-03-16T00:00:00"/>
    <x v="0"/>
    <x v="1"/>
    <n v="4"/>
    <s v="California"/>
    <s v="Los Angeles County"/>
    <n v="1"/>
    <x v="10"/>
    <s v="Unknown"/>
  </r>
  <r>
    <s v="TX502017"/>
    <s v="Graphic Tees"/>
    <n v="2"/>
    <n v="49.3"/>
    <n v="98.6"/>
    <x v="74"/>
    <d v="2025-03-18T00:00:00"/>
    <x v="2"/>
    <x v="4"/>
    <n v="5"/>
    <s v="California"/>
    <s v="Los Angeles County"/>
    <n v="2"/>
    <x v="11"/>
    <s v="Female"/>
  </r>
  <r>
    <s v="TX502018"/>
    <s v="Sneakers"/>
    <n v="6"/>
    <n v="97"/>
    <n v="582"/>
    <x v="74"/>
    <d v="2025-03-19T00:00:00"/>
    <x v="1"/>
    <x v="2"/>
    <n v="5"/>
    <s v="California"/>
    <s v="Los Angeles County"/>
    <n v="3"/>
    <x v="11"/>
    <s v="Male"/>
  </r>
  <r>
    <s v="TX502019"/>
    <s v="Shorts"/>
    <n v="6"/>
    <n v="25.2"/>
    <n v="151.19999999999999"/>
    <x v="74"/>
    <d v="2025-03-19T00:00:00"/>
    <x v="2"/>
    <x v="4"/>
    <n v="5"/>
    <s v="California"/>
    <s v="Los Angeles County"/>
    <n v="3"/>
    <x v="11"/>
    <s v="Female"/>
  </r>
  <r>
    <s v="TX502020"/>
    <s v="Shorts"/>
    <n v="11"/>
    <n v="12.2"/>
    <n v="134.19999999999999"/>
    <x v="74"/>
    <d v="2025-03-17T00:00:00"/>
    <x v="0"/>
    <x v="0"/>
    <n v="3"/>
    <s v="California"/>
    <s v="Los Angeles County"/>
    <n v="1"/>
    <x v="11"/>
    <s v="Unknown"/>
  </r>
  <r>
    <s v="TX502021"/>
    <s v="T-Shirts"/>
    <n v="7"/>
    <n v="38.799999999999997"/>
    <n v="271.59999999999997"/>
    <x v="74"/>
    <d v="2025-03-18T00:00:00"/>
    <x v="2"/>
    <x v="1"/>
    <n v="3"/>
    <s v="California"/>
    <s v="Riverside County"/>
    <n v="2"/>
    <x v="11"/>
    <s v="Female"/>
  </r>
  <r>
    <s v="TX502022"/>
    <s v="Sneakers"/>
    <n v="4"/>
    <n v="53.2"/>
    <n v="212.8"/>
    <x v="74"/>
    <d v="2025-03-17T00:00:00"/>
    <x v="1"/>
    <x v="0"/>
    <n v="5"/>
    <s v="California"/>
    <s v="San Diego County"/>
    <n v="1"/>
    <x v="11"/>
    <s v="Male"/>
  </r>
  <r>
    <s v="TX502023"/>
    <s v="Jeans"/>
    <n v="7"/>
    <n v="151"/>
    <n v="1057"/>
    <x v="74"/>
    <d v="2025-03-17T00:00:00"/>
    <x v="3"/>
    <x v="1"/>
    <n v="3"/>
    <s v="California"/>
    <s v="San Diego County"/>
    <n v="1"/>
    <x v="11"/>
    <s v="Other"/>
  </r>
  <r>
    <s v="TX502024"/>
    <s v="Tank Tops"/>
    <n v="2"/>
    <n v="37.1"/>
    <n v="74.2"/>
    <x v="74"/>
    <d v="2025-03-17T00:00:00"/>
    <x v="2"/>
    <x v="4"/>
    <n v="4"/>
    <s v="California"/>
    <s v="San Diego County"/>
    <n v="1"/>
    <x v="11"/>
    <s v="Female"/>
  </r>
  <r>
    <s v="TX502025"/>
    <s v="Sandals"/>
    <n v="2"/>
    <n v="38.9"/>
    <n v="77.8"/>
    <x v="74"/>
    <d v="2025-03-17T00:00:00"/>
    <x v="1"/>
    <x v="4"/>
    <n v="4"/>
    <s v="California"/>
    <s v="San Diego County"/>
    <n v="1"/>
    <x v="11"/>
    <s v="Male"/>
  </r>
  <r>
    <s v="TX502026"/>
    <s v="Bikinis"/>
    <n v="2"/>
    <n v="35.200000000000003"/>
    <n v="70.400000000000006"/>
    <x v="74"/>
    <d v="2025-03-17T00:00:00"/>
    <x v="1"/>
    <x v="0"/>
    <n v="5"/>
    <s v="California"/>
    <s v="San Francisco"/>
    <n v="1"/>
    <x v="11"/>
    <s v="Male"/>
  </r>
  <r>
    <s v="TX502027"/>
    <s v="Shorts"/>
    <n v="2"/>
    <n v="22.3"/>
    <n v="44.6"/>
    <x v="74"/>
    <d v="2025-03-18T00:00:00"/>
    <x v="2"/>
    <x v="1"/>
    <n v="4"/>
    <s v="California"/>
    <s v="San Mateo County"/>
    <n v="2"/>
    <x v="11"/>
    <s v="Female"/>
  </r>
  <r>
    <s v="TX502028"/>
    <s v="Sundresses"/>
    <n v="1"/>
    <n v="43.3"/>
    <n v="43.3"/>
    <x v="74"/>
    <d v="2025-03-19T00:00:00"/>
    <x v="2"/>
    <x v="0"/>
    <n v="5"/>
    <s v="California"/>
    <s v="Santa Clara County"/>
    <n v="3"/>
    <x v="11"/>
    <s v="Female"/>
  </r>
  <r>
    <s v="TX502029"/>
    <s v="Jeans"/>
    <n v="6"/>
    <n v="75.900000000000006"/>
    <n v="455.40000000000003"/>
    <x v="74"/>
    <d v="2025-03-22T00:00:00"/>
    <x v="1"/>
    <x v="0"/>
    <n v="4"/>
    <s v="California"/>
    <s v="Santa Clara County"/>
    <n v="6"/>
    <x v="11"/>
    <s v="Male"/>
  </r>
  <r>
    <s v="TX502030"/>
    <s v="Jeans"/>
    <n v="3"/>
    <n v="78.7"/>
    <n v="236.10000000000002"/>
    <x v="74"/>
    <d v="2025-03-20T00:00:00"/>
    <x v="2"/>
    <x v="2"/>
    <n v="3"/>
    <s v="California"/>
    <s v="Santa Clara County"/>
    <n v="4"/>
    <x v="11"/>
    <s v="Female"/>
  </r>
  <r>
    <s v="TX502031"/>
    <s v="Tank Tops"/>
    <n v="1"/>
    <n v="66.3"/>
    <n v="66.3"/>
    <x v="74"/>
    <d v="2025-03-20T00:00:00"/>
    <x v="2"/>
    <x v="0"/>
    <n v="5"/>
    <s v="California"/>
    <s v="Stanislaus County"/>
    <n v="4"/>
    <x v="11"/>
    <s v="Female"/>
  </r>
  <r>
    <s v="TX502032"/>
    <s v="T-Shirts"/>
    <n v="2"/>
    <n v="33.6"/>
    <n v="67.2"/>
    <x v="74"/>
    <d v="2025-03-16T00:00:00"/>
    <x v="1"/>
    <x v="0"/>
    <n v="3"/>
    <s v="California"/>
    <s v="Stanislaus County"/>
    <n v="0"/>
    <x v="11"/>
    <s v="Male"/>
  </r>
  <r>
    <s v="TX502033"/>
    <s v="Sneakers"/>
    <n v="7"/>
    <n v="61.4"/>
    <n v="429.8"/>
    <x v="74"/>
    <d v="2025-03-17T00:00:00"/>
    <x v="1"/>
    <x v="4"/>
    <n v="4"/>
    <s v="California"/>
    <s v="Stanislaus County"/>
    <n v="1"/>
    <x v="11"/>
    <s v="Male"/>
  </r>
  <r>
    <s v="TX502034"/>
    <s v="T-Shirts"/>
    <n v="2"/>
    <n v="17.5"/>
    <n v="35"/>
    <x v="74"/>
    <d v="2025-03-19T00:00:00"/>
    <x v="2"/>
    <x v="0"/>
    <n v="4"/>
    <s v="California"/>
    <s v="Alameda County"/>
    <n v="3"/>
    <x v="11"/>
    <s v="Female"/>
  </r>
  <r>
    <s v="TX502035"/>
    <s v="T-Shirts"/>
    <n v="2"/>
    <n v="32.5"/>
    <n v="65"/>
    <x v="74"/>
    <d v="2025-03-19T00:00:00"/>
    <x v="2"/>
    <x v="1"/>
    <n v="4"/>
    <s v="California"/>
    <s v="Alameda County"/>
    <n v="3"/>
    <x v="11"/>
    <s v="Female"/>
  </r>
  <r>
    <s v="TX502036"/>
    <s v="Graphic Tees"/>
    <n v="1"/>
    <n v="34.6"/>
    <n v="34.6"/>
    <x v="74"/>
    <d v="2025-03-17T00:00:00"/>
    <x v="2"/>
    <x v="4"/>
    <n v="4"/>
    <s v="California"/>
    <s v="Alameda County"/>
    <n v="1"/>
    <x v="11"/>
    <s v="Female"/>
  </r>
  <r>
    <s v="TX502037"/>
    <s v="Sneakers"/>
    <n v="1"/>
    <n v="75.900000000000006"/>
    <n v="75.900000000000006"/>
    <x v="74"/>
    <d v="2025-03-16T00:00:00"/>
    <x v="1"/>
    <x v="1"/>
    <n v="5"/>
    <s v="California"/>
    <s v="Alameda County"/>
    <n v="0"/>
    <x v="11"/>
    <s v="Male"/>
  </r>
  <r>
    <s v="TX502038"/>
    <s v="Tank Tops"/>
    <n v="3"/>
    <n v="42.1"/>
    <n v="126.30000000000001"/>
    <x v="74"/>
    <d v="2025-03-19T00:00:00"/>
    <x v="1"/>
    <x v="1"/>
    <n v="3"/>
    <s v="California"/>
    <s v="Alameda County"/>
    <n v="3"/>
    <x v="11"/>
    <s v="Male"/>
  </r>
  <r>
    <s v="TX502039"/>
    <s v="Hoodies &amp; Sweatshirts"/>
    <n v="3"/>
    <n v="65.3"/>
    <n v="195.89999999999998"/>
    <x v="74"/>
    <d v="2025-03-23T00:00:00"/>
    <x v="1"/>
    <x v="0"/>
    <n v="4"/>
    <s v="California"/>
    <s v="Contra Costa County"/>
    <n v="7"/>
    <x v="11"/>
    <s v="Male"/>
  </r>
  <r>
    <s v="TX502040"/>
    <s v="Crop Tops"/>
    <n v="1"/>
    <n v="20.6"/>
    <n v="20.6"/>
    <x v="74"/>
    <d v="2025-03-19T00:00:00"/>
    <x v="1"/>
    <x v="3"/>
    <n v="4"/>
    <s v="California"/>
    <s v="El Dorado County"/>
    <n v="3"/>
    <x v="11"/>
    <s v="Male"/>
  </r>
  <r>
    <s v="TX502041"/>
    <s v="T-Shirts"/>
    <n v="7"/>
    <n v="16.5"/>
    <n v="115.5"/>
    <x v="74"/>
    <d v="2025-03-17T00:00:00"/>
    <x v="1"/>
    <x v="1"/>
    <n v="3"/>
    <s v="California"/>
    <s v="Fresno County"/>
    <n v="1"/>
    <x v="11"/>
    <s v="Male"/>
  </r>
  <r>
    <s v="TX502042"/>
    <s v="Sunglasses"/>
    <n v="10"/>
    <n v="36.200000000000003"/>
    <n v="362"/>
    <x v="74"/>
    <d v="2025-03-18T00:00:00"/>
    <x v="1"/>
    <x v="0"/>
    <n v="5"/>
    <s v="California"/>
    <s v="Fresno County"/>
    <n v="2"/>
    <x v="11"/>
    <s v="Male"/>
  </r>
  <r>
    <s v="TX502043"/>
    <s v="Jeans"/>
    <n v="1"/>
    <n v="53.2"/>
    <n v="53.2"/>
    <x v="74"/>
    <d v="2025-03-17T00:00:00"/>
    <x v="2"/>
    <x v="0"/>
    <n v="3"/>
    <s v="California"/>
    <s v="Kern County"/>
    <n v="1"/>
    <x v="11"/>
    <s v="Female"/>
  </r>
  <r>
    <s v="TX502044"/>
    <s v="Sneakers"/>
    <n v="14"/>
    <n v="176"/>
    <n v="2464"/>
    <x v="74"/>
    <d v="2025-03-17T00:00:00"/>
    <x v="2"/>
    <x v="0"/>
    <n v="3"/>
    <s v="California"/>
    <s v="Los Angeles County"/>
    <n v="1"/>
    <x v="11"/>
    <s v="Female"/>
  </r>
  <r>
    <s v="TX502045"/>
    <s v="Tank Tops"/>
    <n v="1"/>
    <n v="52.4"/>
    <n v="52.4"/>
    <x v="74"/>
    <d v="2025-03-17T00:00:00"/>
    <x v="1"/>
    <x v="1"/>
    <n v="4"/>
    <s v="California"/>
    <s v="Los Angeles County"/>
    <n v="1"/>
    <x v="11"/>
    <s v="Male"/>
  </r>
  <r>
    <s v="TX502046"/>
    <s v="Bikinis"/>
    <n v="3"/>
    <n v="48.2"/>
    <n v="144.60000000000002"/>
    <x v="74"/>
    <d v="2025-03-17T00:00:00"/>
    <x v="2"/>
    <x v="1"/>
    <n v="5"/>
    <s v="California"/>
    <s v="Los Angeles County"/>
    <n v="1"/>
    <x v="11"/>
    <s v="Female"/>
  </r>
  <r>
    <s v="TX502047"/>
    <s v="Crop Tops"/>
    <n v="1"/>
    <n v="51.6"/>
    <n v="51.6"/>
    <x v="74"/>
    <d v="2025-03-20T00:00:00"/>
    <x v="2"/>
    <x v="2"/>
    <n v="3"/>
    <s v="California"/>
    <s v="Los Angeles County"/>
    <n v="4"/>
    <x v="11"/>
    <s v="Female"/>
  </r>
  <r>
    <s v="TX502048"/>
    <s v="Shorts"/>
    <n v="4"/>
    <n v="33.700000000000003"/>
    <n v="134.80000000000001"/>
    <x v="75"/>
    <d v="2025-03-18T00:00:00"/>
    <x v="1"/>
    <x v="0"/>
    <n v="4"/>
    <s v="California"/>
    <s v="Los Angeles County"/>
    <n v="1"/>
    <x v="11"/>
    <s v="Male"/>
  </r>
  <r>
    <s v="TX502049"/>
    <s v="Graphic Tees"/>
    <n v="10"/>
    <n v="36.299999999999997"/>
    <n v="363"/>
    <x v="75"/>
    <d v="2025-03-19T00:00:00"/>
    <x v="2"/>
    <x v="4"/>
    <n v="3"/>
    <s v="California"/>
    <s v="Los Angeles County"/>
    <n v="2"/>
    <x v="11"/>
    <s v="Female"/>
  </r>
  <r>
    <s v="TX502050"/>
    <s v="T-Shirts"/>
    <n v="1"/>
    <n v="23.4"/>
    <n v="23.4"/>
    <x v="75"/>
    <d v="2025-03-22T00:00:00"/>
    <x v="2"/>
    <x v="1"/>
    <n v="5"/>
    <s v="California"/>
    <s v="Los Angeles County"/>
    <n v="5"/>
    <x v="11"/>
    <s v="Female"/>
  </r>
  <r>
    <s v="TX502051"/>
    <s v="Crop Tops"/>
    <n v="8"/>
    <n v="56.6"/>
    <n v="452.8"/>
    <x v="75"/>
    <d v="2025-03-19T00:00:00"/>
    <x v="2"/>
    <x v="1"/>
    <n v="4"/>
    <s v="California"/>
    <s v="Los Angeles County"/>
    <n v="2"/>
    <x v="11"/>
    <s v="Female"/>
  </r>
  <r>
    <s v="TX502052"/>
    <s v="Crop Tops"/>
    <n v="2"/>
    <n v="26.8"/>
    <n v="53.6"/>
    <x v="75"/>
    <d v="2025-03-18T00:00:00"/>
    <x v="1"/>
    <x v="0"/>
    <n v="4"/>
    <s v="California"/>
    <s v="Nevada County"/>
    <n v="1"/>
    <x v="11"/>
    <s v="Male"/>
  </r>
  <r>
    <s v="TX502053"/>
    <s v="Shorts"/>
    <n v="3"/>
    <n v="11.3"/>
    <n v="33.900000000000006"/>
    <x v="75"/>
    <d v="2025-03-19T00:00:00"/>
    <x v="1"/>
    <x v="2"/>
    <n v="4"/>
    <s v="California"/>
    <s v="Orange County"/>
    <n v="2"/>
    <x v="11"/>
    <s v="Male"/>
  </r>
  <r>
    <s v="TX502054"/>
    <s v="Jeans"/>
    <n v="3"/>
    <n v="60.1"/>
    <n v="180.3"/>
    <x v="75"/>
    <d v="2025-03-20T00:00:00"/>
    <x v="2"/>
    <x v="0"/>
    <n v="4"/>
    <s v="California"/>
    <s v="San Bernardino County"/>
    <n v="3"/>
    <x v="11"/>
    <s v="Female"/>
  </r>
  <r>
    <s v="TX502055"/>
    <s v="Shorts"/>
    <n v="11"/>
    <n v="27.7"/>
    <n v="304.7"/>
    <x v="75"/>
    <d v="2025-03-22T00:00:00"/>
    <x v="2"/>
    <x v="0"/>
    <n v="4"/>
    <s v="California"/>
    <s v="San Diego County"/>
    <n v="5"/>
    <x v="11"/>
    <s v="Female"/>
  </r>
  <r>
    <s v="TX502056"/>
    <s v="Crop Tops"/>
    <n v="1"/>
    <n v="71.400000000000006"/>
    <n v="71.400000000000006"/>
    <x v="75"/>
    <d v="2025-03-20T00:00:00"/>
    <x v="1"/>
    <x v="0"/>
    <n v="5"/>
    <s v="California"/>
    <s v="San Diego County"/>
    <n v="3"/>
    <x v="11"/>
    <s v="Male"/>
  </r>
  <r>
    <s v="TX502057"/>
    <s v="Sneakers"/>
    <n v="2"/>
    <n v="66.7"/>
    <n v="133.4"/>
    <x v="75"/>
    <d v="2025-03-18T00:00:00"/>
    <x v="2"/>
    <x v="0"/>
    <n v="5"/>
    <s v="California"/>
    <s v="San Diego County"/>
    <n v="1"/>
    <x v="11"/>
    <s v="Female"/>
  </r>
  <r>
    <s v="TX502058"/>
    <s v="Tote Bags"/>
    <n v="5"/>
    <n v="39.1"/>
    <n v="195.5"/>
    <x v="75"/>
    <d v="2025-03-18T00:00:00"/>
    <x v="2"/>
    <x v="0"/>
    <n v="4"/>
    <s v="California"/>
    <s v="San Diego County"/>
    <n v="1"/>
    <x v="11"/>
    <s v="Female"/>
  </r>
  <r>
    <s v="TX502059"/>
    <s v="T-Shirts"/>
    <n v="4"/>
    <n v="24.9"/>
    <n v="99.6"/>
    <x v="75"/>
    <d v="2025-03-22T00:00:00"/>
    <x v="1"/>
    <x v="1"/>
    <n v="5"/>
    <s v="California"/>
    <s v="San Diego County"/>
    <n v="5"/>
    <x v="11"/>
    <s v="Male"/>
  </r>
  <r>
    <s v="TX502060"/>
    <s v="Sandals"/>
    <n v="5"/>
    <n v="29.2"/>
    <n v="146"/>
    <x v="75"/>
    <d v="2025-03-18T00:00:00"/>
    <x v="1"/>
    <x v="0"/>
    <n v="5"/>
    <s v="California"/>
    <s v="San Francisco"/>
    <n v="1"/>
    <x v="11"/>
    <s v="Male"/>
  </r>
  <r>
    <s v="TX502061"/>
    <s v="Tote Bags"/>
    <n v="14"/>
    <n v="28.3"/>
    <n v="396.2"/>
    <x v="75"/>
    <d v="2025-03-19T00:00:00"/>
    <x v="2"/>
    <x v="1"/>
    <n v="4"/>
    <s v="California"/>
    <s v="Santa Clara County"/>
    <n v="2"/>
    <x v="11"/>
    <s v="Female"/>
  </r>
  <r>
    <s v="TX502062"/>
    <s v="Sundresses"/>
    <n v="3"/>
    <n v="37.799999999999997"/>
    <n v="113.39999999999999"/>
    <x v="75"/>
    <d v="2025-03-18T00:00:00"/>
    <x v="2"/>
    <x v="0"/>
    <n v="3"/>
    <s v="California"/>
    <s v="Santa Clara County"/>
    <n v="1"/>
    <x v="11"/>
    <s v="Female"/>
  </r>
  <r>
    <s v="TX502063"/>
    <s v="Baseball Caps"/>
    <n v="7"/>
    <n v="28.1"/>
    <n v="196.70000000000002"/>
    <x v="75"/>
    <d v="2025-03-23T00:00:00"/>
    <x v="2"/>
    <x v="2"/>
    <n v="4"/>
    <s v="California"/>
    <s v="Santa Clara County"/>
    <n v="6"/>
    <x v="11"/>
    <s v="Female"/>
  </r>
  <r>
    <s v="TX502064"/>
    <s v="Tank Tops"/>
    <n v="3"/>
    <n v="59.7"/>
    <n v="179.10000000000002"/>
    <x v="75"/>
    <d v="2025-03-19T00:00:00"/>
    <x v="2"/>
    <x v="2"/>
    <n v="4"/>
    <s v="California"/>
    <s v="Santa Clara County"/>
    <n v="2"/>
    <x v="11"/>
    <s v="Female"/>
  </r>
  <r>
    <s v="TX502065"/>
    <s v="Sunglasses"/>
    <n v="1"/>
    <n v="71.900000000000006"/>
    <n v="71.900000000000006"/>
    <x v="75"/>
    <d v="2025-03-18T00:00:00"/>
    <x v="1"/>
    <x v="1"/>
    <n v="3"/>
    <s v="California"/>
    <s v="Santa Clara County"/>
    <n v="1"/>
    <x v="11"/>
    <s v="Male"/>
  </r>
  <r>
    <s v="TX502066"/>
    <s v="Tank Tops"/>
    <n v="2"/>
    <n v="56.9"/>
    <n v="113.8"/>
    <x v="75"/>
    <d v="2025-03-18T00:00:00"/>
    <x v="1"/>
    <x v="2"/>
    <n v="4"/>
    <s v="California"/>
    <s v="Ventura County"/>
    <n v="1"/>
    <x v="11"/>
    <s v="Male"/>
  </r>
  <r>
    <s v="TX502067"/>
    <s v="T-Shirts"/>
    <n v="2"/>
    <n v="15.8"/>
    <n v="31.6"/>
    <x v="75"/>
    <d v="2025-03-20T00:00:00"/>
    <x v="2"/>
    <x v="2"/>
    <n v="3"/>
    <s v="California"/>
    <s v="Contra Costa County"/>
    <n v="3"/>
    <x v="11"/>
    <s v="Female"/>
  </r>
  <r>
    <s v="TX502068"/>
    <s v="Maxi Dresses"/>
    <n v="4"/>
    <n v="61.7"/>
    <n v="246.8"/>
    <x v="75"/>
    <d v="2025-03-19T00:00:00"/>
    <x v="2"/>
    <x v="2"/>
    <n v="4"/>
    <s v="California"/>
    <s v="Kern County"/>
    <n v="2"/>
    <x v="11"/>
    <s v="Female"/>
  </r>
  <r>
    <s v="TX502069"/>
    <s v="Sneakers"/>
    <n v="10"/>
    <n v="105.2"/>
    <n v="1052"/>
    <x v="75"/>
    <d v="2025-03-19T00:00:00"/>
    <x v="1"/>
    <x v="1"/>
    <n v="2"/>
    <s v="California"/>
    <s v="Los Angeles County"/>
    <n v="2"/>
    <x v="11"/>
    <s v="Male"/>
  </r>
  <r>
    <s v="TX502070"/>
    <s v="Shorts"/>
    <n v="2"/>
    <n v="17"/>
    <n v="34"/>
    <x v="75"/>
    <d v="2025-03-19T00:00:00"/>
    <x v="2"/>
    <x v="2"/>
    <n v="4"/>
    <s v="California"/>
    <s v="Los Angeles County"/>
    <n v="2"/>
    <x v="11"/>
    <s v="Female"/>
  </r>
  <r>
    <s v="TX502071"/>
    <s v="Jeans"/>
    <n v="3"/>
    <n v="84.1"/>
    <n v="252.29999999999998"/>
    <x v="75"/>
    <d v="2025-03-18T00:00:00"/>
    <x v="1"/>
    <x v="2"/>
    <n v="4"/>
    <s v="California"/>
    <s v="Los Angeles County"/>
    <n v="1"/>
    <x v="11"/>
    <s v="Male"/>
  </r>
  <r>
    <s v="TX502072"/>
    <s v="Workout Tops"/>
    <n v="4"/>
    <n v="59.5"/>
    <n v="238"/>
    <x v="75"/>
    <d v="2025-03-22T00:00:00"/>
    <x v="1"/>
    <x v="0"/>
    <n v="5"/>
    <s v="California"/>
    <s v="Los Angeles County"/>
    <n v="5"/>
    <x v="11"/>
    <s v="Male"/>
  </r>
  <r>
    <s v="TX502073"/>
    <s v="T-Shirts"/>
    <n v="2"/>
    <n v="57.5"/>
    <n v="115"/>
    <x v="75"/>
    <d v="2025-03-19T00:00:00"/>
    <x v="1"/>
    <x v="1"/>
    <n v="5"/>
    <s v="California"/>
    <s v="Los Angeles County"/>
    <n v="2"/>
    <x v="11"/>
    <s v="Male"/>
  </r>
  <r>
    <s v="TX502074"/>
    <s v="T-Shirts"/>
    <n v="1"/>
    <n v="34.299999999999997"/>
    <n v="34.299999999999997"/>
    <x v="75"/>
    <d v="2025-03-18T00:00:00"/>
    <x v="2"/>
    <x v="4"/>
    <n v="5"/>
    <s v="California"/>
    <s v="Los Angeles County"/>
    <n v="1"/>
    <x v="11"/>
    <s v="Female"/>
  </r>
  <r>
    <s v="TX502075"/>
    <s v="Sandals"/>
    <n v="2"/>
    <n v="27.8"/>
    <n v="55.6"/>
    <x v="76"/>
    <d v="2025-03-20T00:00:00"/>
    <x v="2"/>
    <x v="0"/>
    <n v="4"/>
    <s v="California"/>
    <s v="Los Angeles County"/>
    <n v="2"/>
    <x v="11"/>
    <s v="Female"/>
  </r>
  <r>
    <s v="TX502076"/>
    <s v="Casual Dresses"/>
    <n v="2"/>
    <n v="85"/>
    <n v="170"/>
    <x v="76"/>
    <d v="2025-03-18T00:00:00"/>
    <x v="1"/>
    <x v="2"/>
    <n v="5"/>
    <s v="California"/>
    <s v="Los Angeles County"/>
    <n v="0"/>
    <x v="11"/>
    <s v="Male"/>
  </r>
  <r>
    <s v="TX502077"/>
    <s v="Jeans"/>
    <n v="2"/>
    <n v="95"/>
    <n v="190"/>
    <x v="76"/>
    <d v="2025-03-20T00:00:00"/>
    <x v="2"/>
    <x v="0"/>
    <n v="4"/>
    <s v="California"/>
    <s v="Los Angeles County"/>
    <n v="2"/>
    <x v="11"/>
    <s v="Female"/>
  </r>
  <r>
    <s v="TX502078"/>
    <s v="Sunglasses"/>
    <n v="2"/>
    <n v="32"/>
    <n v="64"/>
    <x v="76"/>
    <d v="2025-03-20T00:00:00"/>
    <x v="1"/>
    <x v="0"/>
    <n v="3"/>
    <s v="California"/>
    <s v="Los Angeles County"/>
    <n v="2"/>
    <x v="11"/>
    <s v="Male"/>
  </r>
  <r>
    <s v="TX502079"/>
    <s v="Sneakers"/>
    <n v="2"/>
    <n v="65.2"/>
    <n v="130.4"/>
    <x v="76"/>
    <d v="2025-03-19T00:00:00"/>
    <x v="2"/>
    <x v="1"/>
    <n v="4"/>
    <s v="California"/>
    <s v="Los Angeles County"/>
    <n v="1"/>
    <x v="11"/>
    <s v="Female"/>
  </r>
  <r>
    <s v="TX502080"/>
    <s v="Pajama Sets"/>
    <n v="4"/>
    <n v="22"/>
    <n v="88"/>
    <x v="76"/>
    <d v="2025-03-19T00:00:00"/>
    <x v="1"/>
    <x v="1"/>
    <n v="5"/>
    <s v="California"/>
    <s v="Los Angeles County"/>
    <n v="1"/>
    <x v="11"/>
    <s v="Male"/>
  </r>
  <r>
    <s v="TX502081"/>
    <s v="Crop Tops"/>
    <n v="3"/>
    <n v="69.400000000000006"/>
    <n v="208.20000000000002"/>
    <x v="76"/>
    <d v="2025-03-21T00:00:00"/>
    <x v="1"/>
    <x v="1"/>
    <n v="5"/>
    <s v="California"/>
    <s v="Los Angeles County"/>
    <n v="3"/>
    <x v="11"/>
    <s v="Male"/>
  </r>
  <r>
    <s v="TX502082"/>
    <s v="Bikinis"/>
    <n v="6"/>
    <n v="31.5"/>
    <n v="189"/>
    <x v="76"/>
    <d v="2025-03-20T00:00:00"/>
    <x v="2"/>
    <x v="0"/>
    <n v="5"/>
    <s v="California"/>
    <s v="Los Angeles County"/>
    <n v="2"/>
    <x v="11"/>
    <s v="Female"/>
  </r>
  <r>
    <s v="TX502083"/>
    <s v="Jeans"/>
    <n v="1"/>
    <n v="45.8"/>
    <n v="45.8"/>
    <x v="76"/>
    <d v="2025-03-22T00:00:00"/>
    <x v="3"/>
    <x v="0"/>
    <n v="4"/>
    <s v="California"/>
    <s v="Los Angeles County"/>
    <n v="4"/>
    <x v="11"/>
    <s v="Other"/>
  </r>
  <r>
    <s v="TX502084"/>
    <s v="Jewelry"/>
    <n v="4"/>
    <n v="12.8"/>
    <n v="51.2"/>
    <x v="76"/>
    <d v="2025-03-25T00:00:00"/>
    <x v="2"/>
    <x v="1"/>
    <n v="3"/>
    <s v="California"/>
    <s v="Placer County"/>
    <n v="7"/>
    <x v="11"/>
    <s v="Female"/>
  </r>
  <r>
    <s v="TX502085"/>
    <s v="Sandals"/>
    <n v="3"/>
    <n v="115.3"/>
    <n v="345.9"/>
    <x v="76"/>
    <d v="2025-03-19T00:00:00"/>
    <x v="2"/>
    <x v="2"/>
    <n v="5"/>
    <s v="California"/>
    <s v="Sacramento County"/>
    <n v="1"/>
    <x v="11"/>
    <s v="Female"/>
  </r>
  <r>
    <s v="TX502086"/>
    <s v="Sandals"/>
    <n v="2"/>
    <n v="85"/>
    <n v="170"/>
    <x v="76"/>
    <d v="2025-03-20T00:00:00"/>
    <x v="2"/>
    <x v="1"/>
    <n v="4"/>
    <s v="California"/>
    <s v="San Bernardino County"/>
    <n v="2"/>
    <x v="11"/>
    <s v="Female"/>
  </r>
  <r>
    <s v="TX502087"/>
    <s v="T-Shirts"/>
    <n v="3"/>
    <n v="56.6"/>
    <n v="169.8"/>
    <x v="76"/>
    <d v="2025-03-19T00:00:00"/>
    <x v="2"/>
    <x v="1"/>
    <n v="5"/>
    <s v="California"/>
    <s v="San Bernardino County"/>
    <n v="1"/>
    <x v="11"/>
    <s v="Female"/>
  </r>
  <r>
    <s v="TX502088"/>
    <s v="Crop Tops"/>
    <n v="27"/>
    <n v="46.3"/>
    <n v="1250.0999999999999"/>
    <x v="76"/>
    <d v="2025-03-21T00:00:00"/>
    <x v="1"/>
    <x v="0"/>
    <n v="4"/>
    <s v="California"/>
    <s v="San Bernardino County"/>
    <n v="3"/>
    <x v="11"/>
    <s v="Male"/>
  </r>
  <r>
    <s v="TX502089"/>
    <s v="Baseball Caps"/>
    <n v="4"/>
    <n v="23"/>
    <n v="92"/>
    <x v="76"/>
    <d v="2025-03-22T00:00:00"/>
    <x v="1"/>
    <x v="3"/>
    <n v="5"/>
    <s v="California"/>
    <s v="San Bernardino County"/>
    <n v="4"/>
    <x v="11"/>
    <s v="Male"/>
  </r>
  <r>
    <s v="TX502090"/>
    <s v="T-Shirts"/>
    <n v="6"/>
    <n v="42.1"/>
    <n v="252.60000000000002"/>
    <x v="76"/>
    <d v="2025-03-20T00:00:00"/>
    <x v="1"/>
    <x v="4"/>
    <n v="4"/>
    <s v="California"/>
    <s v="San Diego County"/>
    <n v="2"/>
    <x v="11"/>
    <s v="Male"/>
  </r>
  <r>
    <s v="TX502091"/>
    <s v="Sandals"/>
    <n v="7"/>
    <n v="57.4"/>
    <n v="401.8"/>
    <x v="76"/>
    <d v="2025-03-22T00:00:00"/>
    <x v="2"/>
    <x v="1"/>
    <n v="2"/>
    <s v="California"/>
    <s v="San Diego County"/>
    <n v="4"/>
    <x v="11"/>
    <s v="Female"/>
  </r>
  <r>
    <s v="TX502092"/>
    <s v="Shorts"/>
    <n v="6"/>
    <n v="13.2"/>
    <n v="79.199999999999989"/>
    <x v="76"/>
    <d v="2025-03-22T00:00:00"/>
    <x v="1"/>
    <x v="2"/>
    <n v="4"/>
    <s v="California"/>
    <s v="San Diego County"/>
    <n v="4"/>
    <x v="11"/>
    <s v="Male"/>
  </r>
  <r>
    <s v="TX502093"/>
    <s v="Jeans"/>
    <n v="3"/>
    <n v="52.3"/>
    <n v="156.89999999999998"/>
    <x v="76"/>
    <d v="2025-03-19T00:00:00"/>
    <x v="1"/>
    <x v="1"/>
    <n v="4"/>
    <s v="California"/>
    <s v="San Diego County"/>
    <n v="1"/>
    <x v="11"/>
    <s v="Male"/>
  </r>
  <r>
    <s v="TX502094"/>
    <s v="T-Shirts"/>
    <n v="2"/>
    <n v="15.7"/>
    <n v="31.4"/>
    <x v="76"/>
    <d v="2025-03-21T00:00:00"/>
    <x v="1"/>
    <x v="1"/>
    <n v="5"/>
    <s v="California"/>
    <s v="San Diego County"/>
    <n v="3"/>
    <x v="11"/>
    <s v="Male"/>
  </r>
  <r>
    <s v="TX502095"/>
    <s v="Hoodies &amp; Sweatshirts"/>
    <n v="3"/>
    <n v="35"/>
    <n v="105"/>
    <x v="76"/>
    <d v="2025-03-21T00:00:00"/>
    <x v="2"/>
    <x v="1"/>
    <n v="5"/>
    <s v="California"/>
    <s v="San Mateo County"/>
    <n v="3"/>
    <x v="11"/>
    <s v="Female"/>
  </r>
  <r>
    <s v="TX502096"/>
    <s v="Graphic Tees"/>
    <n v="3"/>
    <n v="26.6"/>
    <n v="79.800000000000011"/>
    <x v="76"/>
    <d v="2025-03-18T00:00:00"/>
    <x v="1"/>
    <x v="1"/>
    <n v="5"/>
    <s v="California"/>
    <s v="Santa Clara County"/>
    <n v="0"/>
    <x v="11"/>
    <s v="Male"/>
  </r>
  <r>
    <s v="TX502097"/>
    <s v="Graphic Tees"/>
    <n v="8"/>
    <n v="47.9"/>
    <n v="383.2"/>
    <x v="77"/>
    <d v="2025-03-20T00:00:00"/>
    <x v="2"/>
    <x v="3"/>
    <n v="5"/>
    <s v="California"/>
    <s v="Tulare County"/>
    <n v="1"/>
    <x v="11"/>
    <s v="Female"/>
  </r>
  <r>
    <s v="TX502098"/>
    <s v="Sandals"/>
    <n v="1"/>
    <n v="80.099999999999994"/>
    <n v="80.099999999999994"/>
    <x v="77"/>
    <d v="2025-03-20T00:00:00"/>
    <x v="1"/>
    <x v="2"/>
    <n v="4"/>
    <s v="California"/>
    <s v="Alameda County"/>
    <n v="1"/>
    <x v="11"/>
    <s v="Male"/>
  </r>
  <r>
    <s v="TX502099"/>
    <s v="Jeans"/>
    <n v="5"/>
    <n v="50.4"/>
    <n v="252"/>
    <x v="77"/>
    <d v="2025-03-20T00:00:00"/>
    <x v="1"/>
    <x v="1"/>
    <n v="5"/>
    <s v="California"/>
    <s v="Alameda County"/>
    <n v="1"/>
    <x v="11"/>
    <s v="Male"/>
  </r>
  <r>
    <s v="TX502100"/>
    <s v="Bikinis"/>
    <n v="7"/>
    <n v="43.3"/>
    <n v="303.09999999999997"/>
    <x v="77"/>
    <d v="2025-03-20T00:00:00"/>
    <x v="1"/>
    <x v="2"/>
    <n v="4"/>
    <s v="California"/>
    <s v="Alameda County"/>
    <n v="1"/>
    <x v="11"/>
    <s v="Male"/>
  </r>
  <r>
    <s v="TX502101"/>
    <s v="Bikinis"/>
    <n v="4"/>
    <n v="57.5"/>
    <n v="230"/>
    <x v="77"/>
    <d v="2025-03-20T00:00:00"/>
    <x v="2"/>
    <x v="1"/>
    <n v="5"/>
    <s v="California"/>
    <s v="Contra Costa County"/>
    <n v="1"/>
    <x v="11"/>
    <s v="Female"/>
  </r>
  <r>
    <s v="TX502102"/>
    <s v="Sundresses"/>
    <n v="13"/>
    <n v="24.8"/>
    <n v="322.40000000000003"/>
    <x v="77"/>
    <d v="2025-03-20T00:00:00"/>
    <x v="1"/>
    <x v="0"/>
    <n v="4"/>
    <s v="California"/>
    <s v="Del Norte County"/>
    <n v="1"/>
    <x v="11"/>
    <s v="Male"/>
  </r>
  <r>
    <s v="TX502103"/>
    <s v="Sneakers"/>
    <n v="9"/>
    <n v="85.7"/>
    <n v="771.30000000000007"/>
    <x v="77"/>
    <d v="2025-03-20T00:00:00"/>
    <x v="2"/>
    <x v="0"/>
    <n v="4"/>
    <s v="California"/>
    <s v="El Dorado County"/>
    <n v="1"/>
    <x v="11"/>
    <s v="Female"/>
  </r>
  <r>
    <s v="TX502104"/>
    <s v="Hoodies &amp; Sweatshirts"/>
    <n v="1"/>
    <n v="47.1"/>
    <n v="47.1"/>
    <x v="77"/>
    <d v="2025-03-21T00:00:00"/>
    <x v="2"/>
    <x v="0"/>
    <n v="4"/>
    <s v="California"/>
    <s v="Fresno County"/>
    <n v="2"/>
    <x v="11"/>
    <s v="Female"/>
  </r>
  <r>
    <s v="TX502105"/>
    <s v="Sandals"/>
    <n v="10"/>
    <n v="83.2"/>
    <n v="832"/>
    <x v="77"/>
    <d v="2025-03-23T00:00:00"/>
    <x v="2"/>
    <x v="0"/>
    <n v="4"/>
    <s v="California"/>
    <s v="Imperial County"/>
    <n v="4"/>
    <x v="11"/>
    <s v="Female"/>
  </r>
  <r>
    <s v="TX502106"/>
    <s v="Sneakers"/>
    <n v="3"/>
    <n v="157"/>
    <n v="471"/>
    <x v="77"/>
    <d v="2025-03-21T00:00:00"/>
    <x v="2"/>
    <x v="0"/>
    <n v="5"/>
    <s v="California"/>
    <s v="Kern County"/>
    <n v="2"/>
    <x v="11"/>
    <s v="Female"/>
  </r>
  <r>
    <s v="TX502107"/>
    <s v="Sunglasses"/>
    <n v="4"/>
    <n v="33.700000000000003"/>
    <n v="134.80000000000001"/>
    <x v="77"/>
    <d v="2025-03-20T00:00:00"/>
    <x v="1"/>
    <x v="2"/>
    <n v="5"/>
    <s v="California"/>
    <s v="Kern County"/>
    <n v="1"/>
    <x v="11"/>
    <s v="Male"/>
  </r>
  <r>
    <s v="TX502108"/>
    <s v="Sneakers"/>
    <n v="3"/>
    <n v="60.8"/>
    <n v="182.39999999999998"/>
    <x v="77"/>
    <d v="2025-03-23T00:00:00"/>
    <x v="2"/>
    <x v="1"/>
    <n v="3"/>
    <s v="California"/>
    <s v="Los Angeles County"/>
    <n v="4"/>
    <x v="11"/>
    <s v="Female"/>
  </r>
  <r>
    <s v="TX502109"/>
    <s v="Hoodies &amp; Sweatshirts"/>
    <n v="1"/>
    <n v="57.6"/>
    <n v="57.6"/>
    <x v="77"/>
    <d v="2025-03-20T00:00:00"/>
    <x v="1"/>
    <x v="1"/>
    <n v="2"/>
    <s v="California"/>
    <s v="Los Angeles County"/>
    <n v="1"/>
    <x v="11"/>
    <s v="Male"/>
  </r>
  <r>
    <s v="TX502110"/>
    <s v="Bikinis"/>
    <n v="1"/>
    <n v="32"/>
    <n v="32"/>
    <x v="77"/>
    <d v="2025-03-21T00:00:00"/>
    <x v="1"/>
    <x v="0"/>
    <n v="4"/>
    <s v="California"/>
    <s v="Los Angeles County"/>
    <n v="2"/>
    <x v="11"/>
    <s v="Male"/>
  </r>
  <r>
    <s v="TX502111"/>
    <s v="Bikinis"/>
    <n v="4"/>
    <n v="23.5"/>
    <n v="94"/>
    <x v="77"/>
    <d v="2025-03-20T00:00:00"/>
    <x v="2"/>
    <x v="0"/>
    <n v="5"/>
    <s v="California"/>
    <s v="Los Angeles County"/>
    <n v="1"/>
    <x v="11"/>
    <s v="Female"/>
  </r>
  <r>
    <s v="TX502112"/>
    <s v="Casual Dresses"/>
    <n v="3"/>
    <n v="44.8"/>
    <n v="134.39999999999998"/>
    <x v="77"/>
    <d v="2025-03-20T00:00:00"/>
    <x v="3"/>
    <x v="4"/>
    <n v="4"/>
    <s v="California"/>
    <s v="Los Angeles County"/>
    <n v="1"/>
    <x v="11"/>
    <s v="Other"/>
  </r>
  <r>
    <s v="TX502113"/>
    <s v="Shorts"/>
    <n v="8"/>
    <n v="11.7"/>
    <n v="93.6"/>
    <x v="77"/>
    <d v="2025-03-20T00:00:00"/>
    <x v="1"/>
    <x v="2"/>
    <n v="5"/>
    <s v="California"/>
    <s v="Los Angeles County"/>
    <n v="1"/>
    <x v="11"/>
    <s v="Male"/>
  </r>
  <r>
    <s v="TX502114"/>
    <s v="Hoodies &amp; Sweatshirts"/>
    <n v="2"/>
    <n v="38.799999999999997"/>
    <n v="77.599999999999994"/>
    <x v="77"/>
    <d v="2025-03-22T00:00:00"/>
    <x v="2"/>
    <x v="2"/>
    <n v="4"/>
    <s v="California"/>
    <s v="Los Angeles County"/>
    <n v="3"/>
    <x v="11"/>
    <s v="Female"/>
  </r>
  <r>
    <s v="TX502115"/>
    <s v="Sandals"/>
    <n v="14"/>
    <n v="86.9"/>
    <n v="1216.6000000000001"/>
    <x v="77"/>
    <d v="2025-03-24T00:00:00"/>
    <x v="2"/>
    <x v="1"/>
    <n v="4"/>
    <s v="California"/>
    <s v="Los Angeles County"/>
    <n v="5"/>
    <x v="11"/>
    <s v="Female"/>
  </r>
  <r>
    <s v="TX502116"/>
    <s v="T-Shirts"/>
    <n v="1"/>
    <n v="18.3"/>
    <n v="18.3"/>
    <x v="77"/>
    <d v="2025-03-20T00:00:00"/>
    <x v="2"/>
    <x v="0"/>
    <n v="4"/>
    <s v="California"/>
    <s v="Los Angeles County"/>
    <n v="1"/>
    <x v="11"/>
    <s v="Female"/>
  </r>
  <r>
    <s v="TX502117"/>
    <s v="Sandals"/>
    <n v="1"/>
    <n v="47.5"/>
    <n v="47.5"/>
    <x v="77"/>
    <d v="2025-03-23T00:00:00"/>
    <x v="1"/>
    <x v="4"/>
    <n v="5"/>
    <s v="California"/>
    <s v="Los Angeles County"/>
    <n v="4"/>
    <x v="11"/>
    <s v="Male"/>
  </r>
  <r>
    <s v="TX502118"/>
    <s v="Tank Tops"/>
    <n v="2"/>
    <n v="78.599999999999994"/>
    <n v="157.19999999999999"/>
    <x v="77"/>
    <d v="2025-03-20T00:00:00"/>
    <x v="1"/>
    <x v="2"/>
    <n v="5"/>
    <s v="California"/>
    <s v="Los Angeles County"/>
    <n v="1"/>
    <x v="11"/>
    <s v="Male"/>
  </r>
  <r>
    <s v="TX502119"/>
    <s v="Jeans"/>
    <n v="4"/>
    <n v="87.3"/>
    <n v="349.2"/>
    <x v="77"/>
    <d v="2025-03-20T00:00:00"/>
    <x v="1"/>
    <x v="0"/>
    <n v="4"/>
    <s v="California"/>
    <s v="Los Angeles County"/>
    <n v="1"/>
    <x v="11"/>
    <s v="Male"/>
  </r>
  <r>
    <s v="TX502120"/>
    <s v="Sundresses"/>
    <n v="2"/>
    <n v="63.2"/>
    <n v="126.4"/>
    <x v="77"/>
    <d v="2025-03-19T00:00:00"/>
    <x v="1"/>
    <x v="4"/>
    <n v="3"/>
    <s v="California"/>
    <s v="Los Angeles County"/>
    <n v="0"/>
    <x v="11"/>
    <s v="Male"/>
  </r>
  <r>
    <s v="TX502121"/>
    <s v="Sandals"/>
    <n v="5"/>
    <n v="33.700000000000003"/>
    <n v="168.5"/>
    <x v="77"/>
    <d v="2025-03-20T00:00:00"/>
    <x v="2"/>
    <x v="0"/>
    <n v="4"/>
    <s v="California"/>
    <s v="Los Angeles County"/>
    <n v="1"/>
    <x v="11"/>
    <s v="Female"/>
  </r>
  <r>
    <s v="TX502122"/>
    <s v="Sneakers"/>
    <n v="3"/>
    <n v="107.4"/>
    <n v="322.20000000000005"/>
    <x v="77"/>
    <d v="2025-04-01T00:00:00"/>
    <x v="2"/>
    <x v="1"/>
    <n v="5"/>
    <s v="California"/>
    <s v="Los Angeles County"/>
    <n v="13"/>
    <x v="11"/>
    <s v="Female"/>
  </r>
  <r>
    <s v="TX502123"/>
    <s v="Graphic Tees"/>
    <n v="4"/>
    <n v="22.2"/>
    <n v="88.8"/>
    <x v="77"/>
    <d v="2025-03-20T00:00:00"/>
    <x v="0"/>
    <x v="1"/>
    <n v="5"/>
    <s v="California"/>
    <s v="Merced County"/>
    <n v="1"/>
    <x v="11"/>
    <s v="Unknown"/>
  </r>
  <r>
    <s v="TX502124"/>
    <s v="Leggings"/>
    <n v="3"/>
    <n v="52.8"/>
    <n v="158.39999999999998"/>
    <x v="77"/>
    <d v="2025-03-20T00:00:00"/>
    <x v="1"/>
    <x v="3"/>
    <n v="5"/>
    <s v="California"/>
    <s v="Merced County"/>
    <n v="1"/>
    <x v="11"/>
    <s v="Male"/>
  </r>
  <r>
    <s v="TX502125"/>
    <s v="T-Shirts"/>
    <n v="3"/>
    <n v="41.5"/>
    <n v="124.5"/>
    <x v="77"/>
    <d v="2025-03-22T00:00:00"/>
    <x v="2"/>
    <x v="0"/>
    <n v="4"/>
    <s v="California"/>
    <s v="Orange County"/>
    <n v="3"/>
    <x v="11"/>
    <s v="Female"/>
  </r>
  <r>
    <s v="TX502126"/>
    <s v="Casual Dresses"/>
    <n v="8"/>
    <n v="103.5"/>
    <n v="828"/>
    <x v="77"/>
    <d v="2025-03-22T00:00:00"/>
    <x v="2"/>
    <x v="0"/>
    <n v="5"/>
    <s v="California"/>
    <s v="Riverside County"/>
    <n v="3"/>
    <x v="11"/>
    <s v="Female"/>
  </r>
  <r>
    <s v="TX502127"/>
    <s v="Graphic Tees"/>
    <n v="14"/>
    <n v="37.5"/>
    <n v="525"/>
    <x v="77"/>
    <d v="2025-03-19T00:00:00"/>
    <x v="2"/>
    <x v="1"/>
    <n v="5"/>
    <s v="California"/>
    <s v="Sacramento County"/>
    <n v="0"/>
    <x v="11"/>
    <s v="Female"/>
  </r>
  <r>
    <s v="TX502128"/>
    <s v="Crop Tops"/>
    <n v="8"/>
    <n v="44.4"/>
    <n v="355.2"/>
    <x v="77"/>
    <d v="2025-03-25T00:00:00"/>
    <x v="2"/>
    <x v="3"/>
    <n v="5"/>
    <s v="California"/>
    <s v="San Bernardino County"/>
    <n v="6"/>
    <x v="11"/>
    <s v="Female"/>
  </r>
  <r>
    <s v="TX502129"/>
    <s v="T-Shirts"/>
    <n v="3"/>
    <n v="26.2"/>
    <n v="78.599999999999994"/>
    <x v="77"/>
    <d v="2025-03-20T00:00:00"/>
    <x v="1"/>
    <x v="0"/>
    <n v="4"/>
    <s v="California"/>
    <s v="San Diego County"/>
    <n v="1"/>
    <x v="11"/>
    <s v="Male"/>
  </r>
  <r>
    <s v="TX502130"/>
    <s v="Tank Tops"/>
    <n v="7"/>
    <n v="32.200000000000003"/>
    <n v="225.40000000000003"/>
    <x v="77"/>
    <d v="2025-03-20T00:00:00"/>
    <x v="2"/>
    <x v="1"/>
    <n v="5"/>
    <s v="California"/>
    <s v="San Diego County"/>
    <n v="1"/>
    <x v="11"/>
    <s v="Female"/>
  </r>
  <r>
    <s v="TX502131"/>
    <s v="T-Shirts"/>
    <n v="1"/>
    <n v="17.399999999999999"/>
    <n v="17.399999999999999"/>
    <x v="77"/>
    <d v="2025-03-23T00:00:00"/>
    <x v="0"/>
    <x v="2"/>
    <n v="3"/>
    <s v="California"/>
    <s v="San Diego County"/>
    <n v="4"/>
    <x v="11"/>
    <s v="Unknown"/>
  </r>
  <r>
    <s v="TX502132"/>
    <s v="T-Shirts"/>
    <n v="6"/>
    <n v="72.3"/>
    <n v="433.79999999999995"/>
    <x v="77"/>
    <d v="2025-03-22T00:00:00"/>
    <x v="2"/>
    <x v="0"/>
    <n v="4"/>
    <s v="California"/>
    <s v="San Diego County"/>
    <n v="3"/>
    <x v="11"/>
    <s v="Female"/>
  </r>
  <r>
    <s v="TX502133"/>
    <s v="T-Shirts"/>
    <n v="11"/>
    <n v="24.3"/>
    <n v="267.3"/>
    <x v="77"/>
    <d v="2025-03-20T00:00:00"/>
    <x v="1"/>
    <x v="0"/>
    <n v="4"/>
    <s v="California"/>
    <s v="San Diego County"/>
    <n v="1"/>
    <x v="11"/>
    <s v="Male"/>
  </r>
  <r>
    <s v="TX502134"/>
    <s v="Tote Bags"/>
    <n v="3"/>
    <n v="49.1"/>
    <n v="147.30000000000001"/>
    <x v="77"/>
    <d v="2025-03-25T00:00:00"/>
    <x v="1"/>
    <x v="2"/>
    <n v="2"/>
    <s v="California"/>
    <s v="San Diego County"/>
    <n v="6"/>
    <x v="11"/>
    <s v="Male"/>
  </r>
  <r>
    <s v="TX502135"/>
    <s v="Sneakers"/>
    <n v="10"/>
    <n v="234.7"/>
    <n v="2347"/>
    <x v="77"/>
    <d v="2025-03-20T00:00:00"/>
    <x v="1"/>
    <x v="3"/>
    <n v="3"/>
    <s v="California"/>
    <s v="San Diego County"/>
    <n v="1"/>
    <x v="11"/>
    <s v="Male"/>
  </r>
  <r>
    <s v="TX502136"/>
    <s v="Workout Tops"/>
    <n v="5"/>
    <n v="76.099999999999994"/>
    <n v="380.5"/>
    <x v="77"/>
    <d v="2025-03-21T00:00:00"/>
    <x v="1"/>
    <x v="1"/>
    <n v="3"/>
    <s v="California"/>
    <s v="San Francisco"/>
    <n v="2"/>
    <x v="11"/>
    <s v="Male"/>
  </r>
  <r>
    <s v="TX502137"/>
    <s v="Tank Tops"/>
    <n v="3"/>
    <n v="93.9"/>
    <n v="281.70000000000005"/>
    <x v="77"/>
    <d v="2025-03-20T00:00:00"/>
    <x v="1"/>
    <x v="1"/>
    <n v="2"/>
    <s v="California"/>
    <s v="Santa Clara County"/>
    <n v="1"/>
    <x v="11"/>
    <s v="Male"/>
  </r>
  <r>
    <s v="TX502138"/>
    <s v="Sneakers"/>
    <n v="4"/>
    <n v="187"/>
    <n v="748"/>
    <x v="78"/>
    <d v="2025-03-23T00:00:00"/>
    <x v="1"/>
    <x v="0"/>
    <n v="4"/>
    <s v="California"/>
    <s v="Santa Clara County"/>
    <n v="3"/>
    <x v="11"/>
    <s v="Male"/>
  </r>
  <r>
    <s v="TX502139"/>
    <s v="T-Shirts"/>
    <n v="2"/>
    <n v="18"/>
    <n v="36"/>
    <x v="78"/>
    <d v="2025-03-21T00:00:00"/>
    <x v="2"/>
    <x v="1"/>
    <n v="5"/>
    <s v="California"/>
    <s v="Shasta County"/>
    <n v="1"/>
    <x v="11"/>
    <s v="Female"/>
  </r>
  <r>
    <s v="TX502140"/>
    <s v="Graphic Tees"/>
    <n v="1"/>
    <n v="24.4"/>
    <n v="24.4"/>
    <x v="78"/>
    <d v="2025-03-21T00:00:00"/>
    <x v="2"/>
    <x v="4"/>
    <n v="5"/>
    <s v="California"/>
    <s v="Alameda County"/>
    <n v="1"/>
    <x v="11"/>
    <s v="Female"/>
  </r>
  <r>
    <s v="TX502141"/>
    <s v="Bikinis"/>
    <n v="2"/>
    <n v="38.799999999999997"/>
    <n v="77.599999999999994"/>
    <x v="78"/>
    <d v="2025-03-21T00:00:00"/>
    <x v="1"/>
    <x v="4"/>
    <n v="3"/>
    <s v="California"/>
    <s v="Los Angeles County"/>
    <n v="1"/>
    <x v="11"/>
    <s v="Male"/>
  </r>
  <r>
    <s v="TX502142"/>
    <s v="Workout Tops"/>
    <n v="1"/>
    <n v="59.7"/>
    <n v="59.7"/>
    <x v="78"/>
    <d v="2025-03-23T00:00:00"/>
    <x v="1"/>
    <x v="3"/>
    <n v="4"/>
    <s v="California"/>
    <s v="Los Angeles County"/>
    <n v="3"/>
    <x v="11"/>
    <s v="Male"/>
  </r>
  <r>
    <s v="TX502143"/>
    <s v="Hoodies &amp; Sweatshirts"/>
    <n v="1"/>
    <n v="31.2"/>
    <n v="31.2"/>
    <x v="78"/>
    <d v="2025-03-21T00:00:00"/>
    <x v="1"/>
    <x v="1"/>
    <n v="5"/>
    <s v="California"/>
    <s v="Los Angeles County"/>
    <n v="1"/>
    <x v="11"/>
    <s v="Male"/>
  </r>
  <r>
    <s v="TX502144"/>
    <s v="Shorts"/>
    <n v="1"/>
    <n v="16.8"/>
    <n v="16.8"/>
    <x v="78"/>
    <d v="2025-03-21T00:00:00"/>
    <x v="2"/>
    <x v="2"/>
    <n v="3"/>
    <s v="California"/>
    <s v="Los Angeles County"/>
    <n v="1"/>
    <x v="11"/>
    <s v="Female"/>
  </r>
  <r>
    <s v="TX502145"/>
    <s v="T-Shirts"/>
    <n v="1"/>
    <n v="46"/>
    <n v="46"/>
    <x v="78"/>
    <d v="2025-03-21T00:00:00"/>
    <x v="1"/>
    <x v="0"/>
    <n v="4"/>
    <s v="California"/>
    <s v="Los Angeles County"/>
    <n v="1"/>
    <x v="11"/>
    <s v="Male"/>
  </r>
  <r>
    <s v="TX502146"/>
    <s v="Sundresses"/>
    <n v="8"/>
    <n v="42.2"/>
    <n v="337.6"/>
    <x v="78"/>
    <d v="2025-03-23T00:00:00"/>
    <x v="2"/>
    <x v="3"/>
    <n v="5"/>
    <s v="California"/>
    <s v="Los Angeles County"/>
    <n v="3"/>
    <x v="11"/>
    <s v="Female"/>
  </r>
  <r>
    <s v="TX502147"/>
    <s v="Tank Tops"/>
    <n v="3"/>
    <n v="71.5"/>
    <n v="214.5"/>
    <x v="78"/>
    <d v="2025-04-03T00:00:00"/>
    <x v="2"/>
    <x v="0"/>
    <n v="4"/>
    <s v="California"/>
    <s v="Los Angeles County"/>
    <n v="14"/>
    <x v="11"/>
    <s v="Female"/>
  </r>
  <r>
    <s v="TX502148"/>
    <s v="Tank Tops"/>
    <n v="2"/>
    <n v="76.599999999999994"/>
    <n v="153.19999999999999"/>
    <x v="78"/>
    <d v="2025-03-20T00:00:00"/>
    <x v="1"/>
    <x v="0"/>
    <n v="5"/>
    <s v="California"/>
    <s v="Los Angeles County"/>
    <n v="0"/>
    <x v="11"/>
    <s v="Male"/>
  </r>
  <r>
    <s v="TX502149"/>
    <s v="Casual Dresses"/>
    <n v="2"/>
    <n v="87.3"/>
    <n v="174.6"/>
    <x v="78"/>
    <d v="2025-03-28T00:00:00"/>
    <x v="2"/>
    <x v="3"/>
    <n v="5"/>
    <s v="California"/>
    <s v="Los Angeles County"/>
    <n v="8"/>
    <x v="11"/>
    <s v="Female"/>
  </r>
  <r>
    <s v="TX502150"/>
    <s v="Tank Tops"/>
    <n v="1"/>
    <n v="63"/>
    <n v="63"/>
    <x v="78"/>
    <d v="2025-03-23T00:00:00"/>
    <x v="1"/>
    <x v="3"/>
    <n v="4"/>
    <s v="California"/>
    <s v="Los Angeles County"/>
    <n v="3"/>
    <x v="11"/>
    <s v="Male"/>
  </r>
  <r>
    <s v="TX502151"/>
    <s v="T-Shirts"/>
    <n v="2"/>
    <n v="41.7"/>
    <n v="83.4"/>
    <x v="78"/>
    <d v="2025-03-21T00:00:00"/>
    <x v="2"/>
    <x v="4"/>
    <n v="3"/>
    <s v="California"/>
    <s v="Marin County"/>
    <n v="1"/>
    <x v="11"/>
    <s v="Female"/>
  </r>
  <r>
    <s v="TX502152"/>
    <s v="Jeans"/>
    <n v="2"/>
    <n v="76.099999999999994"/>
    <n v="152.19999999999999"/>
    <x v="78"/>
    <d v="2025-03-20T00:00:00"/>
    <x v="2"/>
    <x v="4"/>
    <n v="5"/>
    <s v="California"/>
    <s v="Napa County"/>
    <n v="0"/>
    <x v="11"/>
    <s v="Female"/>
  </r>
  <r>
    <s v="TX502153"/>
    <s v="Tote Bags"/>
    <n v="2"/>
    <n v="28.5"/>
    <n v="57"/>
    <x v="78"/>
    <d v="2025-03-21T00:00:00"/>
    <x v="2"/>
    <x v="0"/>
    <n v="5"/>
    <s v="California"/>
    <s v="Nevada County"/>
    <n v="1"/>
    <x v="11"/>
    <s v="Female"/>
  </r>
  <r>
    <s v="TX502154"/>
    <s v="Shorts"/>
    <n v="4"/>
    <n v="32.1"/>
    <n v="128.4"/>
    <x v="78"/>
    <d v="2025-03-21T00:00:00"/>
    <x v="2"/>
    <x v="1"/>
    <n v="5"/>
    <s v="California"/>
    <s v="Orange County"/>
    <n v="1"/>
    <x v="11"/>
    <s v="Female"/>
  </r>
  <r>
    <s v="TX502155"/>
    <s v="Graphic Tees"/>
    <n v="3"/>
    <n v="39"/>
    <n v="117"/>
    <x v="78"/>
    <d v="2025-03-23T00:00:00"/>
    <x v="1"/>
    <x v="1"/>
    <n v="5"/>
    <s v="California"/>
    <s v="Orange County"/>
    <n v="3"/>
    <x v="11"/>
    <s v="Male"/>
  </r>
  <r>
    <s v="TX502156"/>
    <s v="Jeans"/>
    <n v="1"/>
    <n v="78.5"/>
    <n v="78.5"/>
    <x v="78"/>
    <d v="2025-03-21T00:00:00"/>
    <x v="1"/>
    <x v="1"/>
    <n v="4"/>
    <s v="California"/>
    <s v="Sacramento County"/>
    <n v="1"/>
    <x v="11"/>
    <s v="Male"/>
  </r>
  <r>
    <s v="TX502157"/>
    <s v="Graphic Tees"/>
    <n v="5"/>
    <n v="49.7"/>
    <n v="248.5"/>
    <x v="78"/>
    <d v="2025-03-22T00:00:00"/>
    <x v="2"/>
    <x v="0"/>
    <n v="4"/>
    <s v="California"/>
    <s v="Sacramento County"/>
    <n v="2"/>
    <x v="11"/>
    <s v="Female"/>
  </r>
  <r>
    <s v="TX502158"/>
    <s v="Tank Tops"/>
    <n v="4"/>
    <n v="68.400000000000006"/>
    <n v="273.60000000000002"/>
    <x v="78"/>
    <d v="2025-03-21T00:00:00"/>
    <x v="2"/>
    <x v="2"/>
    <n v="5"/>
    <s v="California"/>
    <s v="San Bernardino County"/>
    <n v="1"/>
    <x v="11"/>
    <s v="Female"/>
  </r>
  <r>
    <s v="TX502159"/>
    <s v="Workout Tops"/>
    <n v="2"/>
    <n v="72.900000000000006"/>
    <n v="145.80000000000001"/>
    <x v="78"/>
    <d v="2025-03-23T00:00:00"/>
    <x v="0"/>
    <x v="0"/>
    <n v="5"/>
    <s v="California"/>
    <s v="San Bernardino County"/>
    <n v="3"/>
    <x v="11"/>
    <s v="Unknown"/>
  </r>
  <r>
    <s v="TX502160"/>
    <s v="Sandals"/>
    <n v="13"/>
    <n v="30.3"/>
    <n v="393.90000000000003"/>
    <x v="78"/>
    <d v="2025-03-21T00:00:00"/>
    <x v="1"/>
    <x v="4"/>
    <n v="4"/>
    <s v="California"/>
    <s v="San Bernardino County"/>
    <n v="1"/>
    <x v="11"/>
    <s v="Male"/>
  </r>
  <r>
    <s v="TX502161"/>
    <s v="Jeans"/>
    <n v="11"/>
    <n v="57.9"/>
    <n v="636.9"/>
    <x v="78"/>
    <d v="2025-03-21T00:00:00"/>
    <x v="2"/>
    <x v="0"/>
    <n v="4"/>
    <s v="California"/>
    <s v="San Diego County"/>
    <n v="1"/>
    <x v="11"/>
    <s v="Female"/>
  </r>
  <r>
    <s v="TX502162"/>
    <s v="Tank Tops"/>
    <n v="1"/>
    <n v="96.7"/>
    <n v="96.7"/>
    <x v="78"/>
    <d v="2025-03-21T00:00:00"/>
    <x v="1"/>
    <x v="0"/>
    <n v="4"/>
    <s v="California"/>
    <s v="San Diego County"/>
    <n v="1"/>
    <x v="11"/>
    <s v="Male"/>
  </r>
  <r>
    <s v="TX502163"/>
    <s v="T-Shirts"/>
    <n v="12"/>
    <n v="27.6"/>
    <n v="331.20000000000005"/>
    <x v="78"/>
    <d v="2025-03-22T00:00:00"/>
    <x v="1"/>
    <x v="2"/>
    <n v="5"/>
    <s v="California"/>
    <s v="San Diego County"/>
    <n v="2"/>
    <x v="11"/>
    <s v="Male"/>
  </r>
  <r>
    <s v="TX502164"/>
    <s v="Jeans"/>
    <n v="4"/>
    <n v="64.7"/>
    <n v="258.8"/>
    <x v="78"/>
    <d v="2025-03-20T00:00:00"/>
    <x v="1"/>
    <x v="3"/>
    <n v="5"/>
    <s v="California"/>
    <s v="San Diego County"/>
    <n v="0"/>
    <x v="11"/>
    <s v="Male"/>
  </r>
  <r>
    <s v="TX502165"/>
    <s v="Bikinis"/>
    <n v="6"/>
    <n v="30.5"/>
    <n v="183"/>
    <x v="78"/>
    <d v="2025-03-21T00:00:00"/>
    <x v="1"/>
    <x v="4"/>
    <n v="4"/>
    <s v="California"/>
    <s v="San Diego County"/>
    <n v="1"/>
    <x v="11"/>
    <s v="Male"/>
  </r>
  <r>
    <s v="TX502166"/>
    <s v="Jeans"/>
    <n v="70"/>
    <n v="106"/>
    <n v="7420"/>
    <x v="79"/>
    <d v="2025-03-23T00:00:00"/>
    <x v="1"/>
    <x v="4"/>
    <n v="5"/>
    <s v="California"/>
    <s v="San Diego County"/>
    <n v="2"/>
    <x v="11"/>
    <s v="Male"/>
  </r>
  <r>
    <s v="TX502167"/>
    <s v="Casual Dresses"/>
    <n v="5"/>
    <n v="76.8"/>
    <n v="384"/>
    <x v="79"/>
    <d v="2025-03-27T00:00:00"/>
    <x v="0"/>
    <x v="1"/>
    <n v="3"/>
    <s v="California"/>
    <s v="Sonoma County"/>
    <n v="6"/>
    <x v="11"/>
    <s v="Unknown"/>
  </r>
  <r>
    <s v="TX502168"/>
    <s v="Jeans"/>
    <n v="2"/>
    <n v="80.400000000000006"/>
    <n v="160.80000000000001"/>
    <x v="79"/>
    <d v="2025-03-22T00:00:00"/>
    <x v="2"/>
    <x v="2"/>
    <n v="4"/>
    <s v="California"/>
    <s v="Ventura County"/>
    <n v="1"/>
    <x v="11"/>
    <s v="Female"/>
  </r>
  <r>
    <s v="TX502169"/>
    <s v="Jeans"/>
    <n v="4"/>
    <n v="69.099999999999994"/>
    <n v="276.39999999999998"/>
    <x v="79"/>
    <d v="2025-03-22T00:00:00"/>
    <x v="1"/>
    <x v="1"/>
    <n v="5"/>
    <s v="California"/>
    <s v="Alameda County"/>
    <n v="1"/>
    <x v="11"/>
    <s v="Male"/>
  </r>
  <r>
    <s v="TX502170"/>
    <s v="Leggings"/>
    <n v="2"/>
    <n v="76.400000000000006"/>
    <n v="152.80000000000001"/>
    <x v="79"/>
    <d v="2025-03-21T00:00:00"/>
    <x v="1"/>
    <x v="3"/>
    <n v="4"/>
    <s v="California"/>
    <s v="Alameda County"/>
    <n v="0"/>
    <x v="11"/>
    <s v="Male"/>
  </r>
  <r>
    <s v="TX502171"/>
    <s v="Sneakers"/>
    <n v="2"/>
    <n v="61.3"/>
    <n v="122.6"/>
    <x v="79"/>
    <d v="2025-03-22T00:00:00"/>
    <x v="2"/>
    <x v="1"/>
    <n v="3"/>
    <s v="California"/>
    <s v="Alameda County"/>
    <n v="1"/>
    <x v="11"/>
    <s v="Female"/>
  </r>
  <r>
    <s v="TX502172"/>
    <s v="Hoodies &amp; Sweatshirts"/>
    <n v="1"/>
    <n v="58"/>
    <n v="58"/>
    <x v="79"/>
    <d v="2025-03-22T00:00:00"/>
    <x v="1"/>
    <x v="3"/>
    <n v="3"/>
    <s v="California"/>
    <s v="Contra Costa County"/>
    <n v="1"/>
    <x v="11"/>
    <s v="Male"/>
  </r>
  <r>
    <s v="TX502173"/>
    <s v="Sneakers"/>
    <n v="8"/>
    <n v="102.3"/>
    <n v="818.4"/>
    <x v="79"/>
    <d v="2025-03-23T00:00:00"/>
    <x v="1"/>
    <x v="2"/>
    <n v="4"/>
    <s v="California"/>
    <s v="El Dorado County"/>
    <n v="2"/>
    <x v="11"/>
    <s v="Male"/>
  </r>
  <r>
    <s v="TX502174"/>
    <s v="Jewelry"/>
    <n v="2"/>
    <n v="13.8"/>
    <n v="27.6"/>
    <x v="79"/>
    <d v="2025-03-22T00:00:00"/>
    <x v="2"/>
    <x v="4"/>
    <n v="5"/>
    <s v="California"/>
    <s v="Fresno County"/>
    <n v="1"/>
    <x v="11"/>
    <s v="Female"/>
  </r>
  <r>
    <s v="TX502175"/>
    <s v="T-Shirts"/>
    <n v="3"/>
    <n v="33.299999999999997"/>
    <n v="99.899999999999991"/>
    <x v="79"/>
    <d v="2025-03-24T00:00:00"/>
    <x v="2"/>
    <x v="2"/>
    <n v="4"/>
    <s v="California"/>
    <s v="Kern County"/>
    <n v="3"/>
    <x v="11"/>
    <s v="Female"/>
  </r>
  <r>
    <s v="TX502176"/>
    <s v="Bikinis"/>
    <n v="1"/>
    <n v="27.4"/>
    <n v="27.4"/>
    <x v="79"/>
    <d v="2025-03-24T00:00:00"/>
    <x v="1"/>
    <x v="0"/>
    <n v="5"/>
    <s v="California"/>
    <s v="Kern County"/>
    <n v="3"/>
    <x v="11"/>
    <s v="Male"/>
  </r>
  <r>
    <s v="TX502177"/>
    <s v="Baseball Caps"/>
    <n v="2"/>
    <n v="25.6"/>
    <n v="51.2"/>
    <x v="79"/>
    <d v="2025-03-22T00:00:00"/>
    <x v="2"/>
    <x v="1"/>
    <n v="3"/>
    <s v="California"/>
    <s v="Los Angeles County"/>
    <n v="1"/>
    <x v="11"/>
    <s v="Female"/>
  </r>
  <r>
    <s v="TX502178"/>
    <s v="Tote Bags"/>
    <n v="1"/>
    <n v="58.4"/>
    <n v="58.4"/>
    <x v="79"/>
    <d v="2025-03-22T00:00:00"/>
    <x v="2"/>
    <x v="2"/>
    <n v="5"/>
    <s v="California"/>
    <s v="Los Angeles County"/>
    <n v="1"/>
    <x v="11"/>
    <s v="Female"/>
  </r>
  <r>
    <s v="TX502179"/>
    <s v="Maxi Dresses"/>
    <n v="30"/>
    <n v="27"/>
    <n v="810"/>
    <x v="79"/>
    <d v="2025-03-22T00:00:00"/>
    <x v="2"/>
    <x v="4"/>
    <n v="4"/>
    <s v="California"/>
    <s v="Los Angeles County"/>
    <n v="1"/>
    <x v="11"/>
    <s v="Female"/>
  </r>
  <r>
    <s v="TX502180"/>
    <s v="Shorts"/>
    <n v="4"/>
    <n v="14.2"/>
    <n v="56.8"/>
    <x v="79"/>
    <d v="2025-03-22T00:00:00"/>
    <x v="1"/>
    <x v="0"/>
    <n v="5"/>
    <s v="California"/>
    <s v="Los Angeles County"/>
    <n v="1"/>
    <x v="11"/>
    <s v="Male"/>
  </r>
  <r>
    <s v="TX502181"/>
    <s v="Hoodies &amp; Sweatshirts"/>
    <n v="2"/>
    <n v="68"/>
    <n v="136"/>
    <x v="79"/>
    <d v="2025-03-31T00:00:00"/>
    <x v="1"/>
    <x v="2"/>
    <n v="3"/>
    <s v="California"/>
    <s v="Los Angeles County"/>
    <n v="10"/>
    <x v="11"/>
    <s v="Male"/>
  </r>
  <r>
    <s v="TX502182"/>
    <s v="T-Shirts"/>
    <n v="1"/>
    <n v="30.7"/>
    <n v="30.7"/>
    <x v="79"/>
    <d v="2025-03-22T00:00:00"/>
    <x v="1"/>
    <x v="0"/>
    <n v="4"/>
    <s v="California"/>
    <s v="Los Angeles County"/>
    <n v="1"/>
    <x v="11"/>
    <s v="Male"/>
  </r>
  <r>
    <s v="TX502183"/>
    <s v="Pajama Sets"/>
    <n v="13"/>
    <n v="51.6"/>
    <n v="670.80000000000007"/>
    <x v="79"/>
    <d v="2025-03-24T00:00:00"/>
    <x v="3"/>
    <x v="1"/>
    <n v="5"/>
    <s v="California"/>
    <s v="Los Angeles County"/>
    <n v="3"/>
    <x v="11"/>
    <s v="Other"/>
  </r>
  <r>
    <s v="TX502184"/>
    <s v="T-Shirts"/>
    <n v="3"/>
    <n v="20.6"/>
    <n v="61.800000000000004"/>
    <x v="79"/>
    <d v="2025-03-25T00:00:00"/>
    <x v="2"/>
    <x v="4"/>
    <n v="5"/>
    <s v="California"/>
    <s v="Los Angeles County"/>
    <n v="4"/>
    <x v="11"/>
    <s v="Female"/>
  </r>
  <r>
    <s v="TX502185"/>
    <s v="T-Shirts"/>
    <n v="1"/>
    <n v="24.8"/>
    <n v="24.8"/>
    <x v="79"/>
    <d v="2025-03-22T00:00:00"/>
    <x v="1"/>
    <x v="4"/>
    <n v="4"/>
    <s v="California"/>
    <s v="Los Angeles County"/>
    <n v="1"/>
    <x v="11"/>
    <s v="Male"/>
  </r>
  <r>
    <s v="TX502186"/>
    <s v="Shorts"/>
    <n v="7"/>
    <n v="11.2"/>
    <n v="78.399999999999991"/>
    <x v="79"/>
    <d v="2025-03-24T00:00:00"/>
    <x v="1"/>
    <x v="1"/>
    <n v="4"/>
    <s v="California"/>
    <s v="Los Angeles County"/>
    <n v="3"/>
    <x v="11"/>
    <s v="Male"/>
  </r>
  <r>
    <s v="TX502187"/>
    <s v="Maxi Dresses"/>
    <n v="2"/>
    <n v="51.2"/>
    <n v="102.4"/>
    <x v="79"/>
    <d v="2025-03-22T00:00:00"/>
    <x v="2"/>
    <x v="1"/>
    <n v="5"/>
    <s v="California"/>
    <s v="Los Angeles County"/>
    <n v="1"/>
    <x v="11"/>
    <s v="Female"/>
  </r>
  <r>
    <s v="TX502188"/>
    <s v="Hoodies &amp; Sweatshirts"/>
    <n v="6"/>
    <n v="90.5"/>
    <n v="543"/>
    <x v="79"/>
    <d v="2025-03-22T00:00:00"/>
    <x v="2"/>
    <x v="1"/>
    <n v="2"/>
    <s v="California"/>
    <s v="Los Angeles County"/>
    <n v="1"/>
    <x v="11"/>
    <s v="Female"/>
  </r>
  <r>
    <s v="TX502189"/>
    <s v="Tank Tops"/>
    <n v="2"/>
    <n v="42.4"/>
    <n v="84.8"/>
    <x v="79"/>
    <d v="2025-03-22T00:00:00"/>
    <x v="1"/>
    <x v="1"/>
    <n v="5"/>
    <s v="California"/>
    <s v="Nevada County"/>
    <n v="1"/>
    <x v="11"/>
    <s v="Male"/>
  </r>
  <r>
    <s v="TX502190"/>
    <s v="Tank Tops"/>
    <n v="2"/>
    <n v="38.200000000000003"/>
    <n v="76.400000000000006"/>
    <x v="79"/>
    <d v="2025-03-22T00:00:00"/>
    <x v="1"/>
    <x v="0"/>
    <n v="4"/>
    <s v="California"/>
    <s v="Placer County"/>
    <n v="1"/>
    <x v="11"/>
    <s v="Male"/>
  </r>
  <r>
    <s v="TX502191"/>
    <s v="Sneakers"/>
    <n v="9"/>
    <n v="121.3"/>
    <n v="1091.7"/>
    <x v="79"/>
    <d v="2025-03-26T00:00:00"/>
    <x v="1"/>
    <x v="0"/>
    <n v="4"/>
    <s v="California"/>
    <s v="Sacramento County"/>
    <n v="5"/>
    <x v="11"/>
    <s v="Male"/>
  </r>
  <r>
    <s v="TX502192"/>
    <s v="Jeans"/>
    <n v="2"/>
    <n v="46.9"/>
    <n v="93.8"/>
    <x v="79"/>
    <d v="2025-03-28T00:00:00"/>
    <x v="1"/>
    <x v="0"/>
    <n v="4"/>
    <s v="California"/>
    <s v="San Diego County"/>
    <n v="7"/>
    <x v="11"/>
    <s v="Male"/>
  </r>
  <r>
    <s v="TX502193"/>
    <s v="Bikinis"/>
    <n v="1"/>
    <n v="55.3"/>
    <n v="55.3"/>
    <x v="79"/>
    <d v="2025-03-23T00:00:00"/>
    <x v="1"/>
    <x v="0"/>
    <n v="4"/>
    <s v="California"/>
    <s v="San Diego County"/>
    <n v="2"/>
    <x v="11"/>
    <s v="Male"/>
  </r>
  <r>
    <s v="TX502194"/>
    <s v="Sneakers"/>
    <n v="3"/>
    <n v="70.599999999999994"/>
    <n v="211.79999999999998"/>
    <x v="80"/>
    <d v="2025-03-22T00:00:00"/>
    <x v="2"/>
    <x v="0"/>
    <n v="3"/>
    <s v="California"/>
    <s v="San Diego County"/>
    <n v="0"/>
    <x v="11"/>
    <s v="Female"/>
  </r>
  <r>
    <s v="TX502195"/>
    <s v="Baseball Caps"/>
    <n v="4"/>
    <n v="26.1"/>
    <n v="104.4"/>
    <x v="80"/>
    <d v="2025-03-24T00:00:00"/>
    <x v="1"/>
    <x v="0"/>
    <n v="4"/>
    <s v="California"/>
    <s v="San Diego County"/>
    <n v="2"/>
    <x v="11"/>
    <s v="Male"/>
  </r>
  <r>
    <s v="TX502196"/>
    <s v="Sundresses"/>
    <n v="11"/>
    <n v="34.5"/>
    <n v="379.5"/>
    <x v="80"/>
    <d v="2025-03-26T00:00:00"/>
    <x v="1"/>
    <x v="2"/>
    <n v="4"/>
    <s v="California"/>
    <s v="San Francisco"/>
    <n v="4"/>
    <x v="11"/>
    <s v="Male"/>
  </r>
  <r>
    <s v="TX502197"/>
    <s v="Tank Tops"/>
    <n v="2"/>
    <n v="64.2"/>
    <n v="128.4"/>
    <x v="80"/>
    <d v="2025-03-23T00:00:00"/>
    <x v="2"/>
    <x v="0"/>
    <n v="3"/>
    <s v="California"/>
    <s v="San Francisco"/>
    <n v="1"/>
    <x v="11"/>
    <s v="Female"/>
  </r>
  <r>
    <s v="TX502198"/>
    <s v="Sneakers"/>
    <n v="4"/>
    <n v="145.69999999999999"/>
    <n v="582.79999999999995"/>
    <x v="80"/>
    <d v="2025-03-23T00:00:00"/>
    <x v="2"/>
    <x v="0"/>
    <n v="2"/>
    <s v="California"/>
    <s v="San Francisco"/>
    <n v="1"/>
    <x v="11"/>
    <s v="Female"/>
  </r>
  <r>
    <s v="TX502199"/>
    <s v="Casual Dresses"/>
    <n v="2"/>
    <n v="78.5"/>
    <n v="157"/>
    <x v="80"/>
    <d v="2025-03-23T00:00:00"/>
    <x v="1"/>
    <x v="2"/>
    <n v="4"/>
    <s v="California"/>
    <s v="San Joaquin County"/>
    <n v="1"/>
    <x v="11"/>
    <s v="Male"/>
  </r>
  <r>
    <s v="TX502200"/>
    <s v="Tank Tops"/>
    <n v="1"/>
    <n v="34.200000000000003"/>
    <n v="34.200000000000003"/>
    <x v="80"/>
    <d v="2025-03-24T00:00:00"/>
    <x v="1"/>
    <x v="0"/>
    <n v="4"/>
    <s v="California"/>
    <s v="San Mateo County"/>
    <n v="2"/>
    <x v="11"/>
    <s v="Male"/>
  </r>
  <r>
    <s v="TX502201"/>
    <s v="Jewelry"/>
    <n v="1"/>
    <n v="26.2"/>
    <n v="26.2"/>
    <x v="80"/>
    <d v="2025-03-23T00:00:00"/>
    <x v="1"/>
    <x v="2"/>
    <n v="4"/>
    <s v="California"/>
    <s v="San Mateo County"/>
    <n v="1"/>
    <x v="11"/>
    <s v="Male"/>
  </r>
  <r>
    <s v="TX502202"/>
    <s v="Jeans"/>
    <n v="4"/>
    <n v="53.2"/>
    <n v="212.8"/>
    <x v="80"/>
    <d v="2025-03-23T00:00:00"/>
    <x v="1"/>
    <x v="1"/>
    <n v="3"/>
    <s v="California"/>
    <s v="Santa Clara County"/>
    <n v="1"/>
    <x v="11"/>
    <s v="Male"/>
  </r>
  <r>
    <s v="TX502203"/>
    <s v="Tank Tops"/>
    <n v="1"/>
    <n v="35.4"/>
    <n v="35.4"/>
    <x v="80"/>
    <d v="2025-03-26T00:00:00"/>
    <x v="1"/>
    <x v="1"/>
    <n v="2"/>
    <s v="California"/>
    <s v="Sonoma County"/>
    <n v="4"/>
    <x v="11"/>
    <s v="Male"/>
  </r>
  <r>
    <s v="TX502204"/>
    <s v="Baseball Caps"/>
    <n v="2"/>
    <n v="21.3"/>
    <n v="42.6"/>
    <x v="80"/>
    <d v="2025-03-23T00:00:00"/>
    <x v="1"/>
    <x v="2"/>
    <n v="4"/>
    <s v="California"/>
    <s v="Tulare County"/>
    <n v="1"/>
    <x v="11"/>
    <s v="Male"/>
  </r>
  <r>
    <s v="TX502205"/>
    <s v="T-Shirts"/>
    <n v="4"/>
    <n v="32.9"/>
    <n v="131.6"/>
    <x v="80"/>
    <d v="2025-03-25T00:00:00"/>
    <x v="2"/>
    <x v="4"/>
    <n v="5"/>
    <s v="California"/>
    <s v="Alameda County"/>
    <n v="3"/>
    <x v="11"/>
    <s v="Female"/>
  </r>
  <r>
    <s v="TX502206"/>
    <s v="Sandals"/>
    <n v="15"/>
    <n v="85.5"/>
    <n v="1282.5"/>
    <x v="80"/>
    <d v="2025-03-24T00:00:00"/>
    <x v="2"/>
    <x v="3"/>
    <n v="3"/>
    <s v="California"/>
    <s v="Alameda County"/>
    <n v="2"/>
    <x v="11"/>
    <s v="Female"/>
  </r>
  <r>
    <s v="TX502207"/>
    <s v="Graphic Tees"/>
    <n v="1"/>
    <n v="26.8"/>
    <n v="26.8"/>
    <x v="80"/>
    <d v="2025-03-23T00:00:00"/>
    <x v="2"/>
    <x v="0"/>
    <n v="3"/>
    <s v="California"/>
    <s v="Fresno County"/>
    <n v="1"/>
    <x v="11"/>
    <s v="Female"/>
  </r>
  <r>
    <s v="TX502208"/>
    <s v="Sundresses"/>
    <n v="26"/>
    <n v="31.7"/>
    <n v="824.19999999999993"/>
    <x v="80"/>
    <d v="2025-03-22T00:00:00"/>
    <x v="2"/>
    <x v="3"/>
    <n v="4"/>
    <s v="California"/>
    <s v="Fresno County"/>
    <n v="0"/>
    <x v="11"/>
    <s v="Female"/>
  </r>
  <r>
    <s v="TX502209"/>
    <s v="Tank Tops"/>
    <n v="2"/>
    <n v="78.3"/>
    <n v="156.6"/>
    <x v="80"/>
    <d v="2025-03-24T00:00:00"/>
    <x v="2"/>
    <x v="1"/>
    <n v="3"/>
    <s v="California"/>
    <s v="Los Angeles County"/>
    <n v="2"/>
    <x v="11"/>
    <s v="Female"/>
  </r>
  <r>
    <s v="TX502210"/>
    <s v="Jeans"/>
    <n v="1"/>
    <n v="43.9"/>
    <n v="43.9"/>
    <x v="80"/>
    <d v="2025-03-23T00:00:00"/>
    <x v="1"/>
    <x v="0"/>
    <n v="4"/>
    <s v="California"/>
    <s v="Los Angeles County"/>
    <n v="1"/>
    <x v="11"/>
    <s v="Male"/>
  </r>
  <r>
    <s v="TX502211"/>
    <s v="Leggings"/>
    <n v="3"/>
    <n v="84"/>
    <n v="252"/>
    <x v="80"/>
    <d v="2025-03-24T00:00:00"/>
    <x v="0"/>
    <x v="3"/>
    <n v="5"/>
    <s v="California"/>
    <s v="Los Angeles County"/>
    <n v="2"/>
    <x v="11"/>
    <s v="Unknown"/>
  </r>
  <r>
    <s v="TX502212"/>
    <s v="Shorts"/>
    <n v="3"/>
    <n v="11.4"/>
    <n v="34.200000000000003"/>
    <x v="80"/>
    <d v="2025-03-23T00:00:00"/>
    <x v="1"/>
    <x v="4"/>
    <n v="4"/>
    <s v="California"/>
    <s v="Los Angeles County"/>
    <n v="1"/>
    <x v="11"/>
    <s v="Male"/>
  </r>
  <r>
    <s v="TX502213"/>
    <s v="Casual Dresses"/>
    <n v="8"/>
    <n v="47.5"/>
    <n v="380"/>
    <x v="80"/>
    <d v="2025-03-30T00:00:00"/>
    <x v="2"/>
    <x v="0"/>
    <n v="4"/>
    <s v="California"/>
    <s v="Los Angeles County"/>
    <n v="8"/>
    <x v="11"/>
    <s v="Female"/>
  </r>
  <r>
    <s v="TX502214"/>
    <s v="Sundresses"/>
    <n v="11"/>
    <n v="50.5"/>
    <n v="555.5"/>
    <x v="80"/>
    <d v="2025-03-24T00:00:00"/>
    <x v="1"/>
    <x v="2"/>
    <n v="4"/>
    <s v="California"/>
    <s v="Los Angeles County"/>
    <n v="2"/>
    <x v="11"/>
    <s v="Male"/>
  </r>
  <r>
    <s v="TX502215"/>
    <s v="Crop Tops"/>
    <n v="1"/>
    <n v="36.299999999999997"/>
    <n v="36.299999999999997"/>
    <x v="80"/>
    <d v="2025-03-25T00:00:00"/>
    <x v="3"/>
    <x v="0"/>
    <n v="3"/>
    <s v="California"/>
    <s v="San Diego County"/>
    <n v="3"/>
    <x v="11"/>
    <s v="Other"/>
  </r>
  <r>
    <s v="TX502216"/>
    <s v="T-Shirts"/>
    <n v="2"/>
    <n v="35.4"/>
    <n v="70.8"/>
    <x v="80"/>
    <d v="2025-03-23T00:00:00"/>
    <x v="2"/>
    <x v="0"/>
    <n v="4"/>
    <s v="California"/>
    <s v="San Francisco"/>
    <n v="1"/>
    <x v="11"/>
    <s v="Female"/>
  </r>
  <r>
    <s v="TX502217"/>
    <s v="Tank Tops"/>
    <n v="3"/>
    <n v="45.9"/>
    <n v="137.69999999999999"/>
    <x v="81"/>
    <d v="2025-03-24T00:00:00"/>
    <x v="1"/>
    <x v="3"/>
    <n v="4"/>
    <s v="California"/>
    <s v="San Mateo County"/>
    <n v="1"/>
    <x v="12"/>
    <s v="Male"/>
  </r>
  <r>
    <s v="TX502218"/>
    <s v="Jeans"/>
    <n v="10"/>
    <n v="41.2"/>
    <n v="412"/>
    <x v="81"/>
    <d v="2025-03-27T00:00:00"/>
    <x v="1"/>
    <x v="0"/>
    <n v="4"/>
    <s v="California"/>
    <s v="Santa Clara County"/>
    <n v="4"/>
    <x v="12"/>
    <s v="Male"/>
  </r>
  <r>
    <s v="TX502219"/>
    <s v="Pajama Sets"/>
    <n v="2"/>
    <n v="45.1"/>
    <n v="90.2"/>
    <x v="81"/>
    <d v="2025-03-24T00:00:00"/>
    <x v="1"/>
    <x v="1"/>
    <n v="3"/>
    <s v="California"/>
    <s v="Alameda County"/>
    <n v="1"/>
    <x v="12"/>
    <s v="Male"/>
  </r>
  <r>
    <s v="TX502220"/>
    <s v="Jeans"/>
    <n v="10"/>
    <n v="63.6"/>
    <n v="636"/>
    <x v="81"/>
    <d v="2025-03-23T00:00:00"/>
    <x v="1"/>
    <x v="2"/>
    <n v="4"/>
    <s v="California"/>
    <s v="Contra Costa County"/>
    <n v="0"/>
    <x v="12"/>
    <s v="Male"/>
  </r>
  <r>
    <s v="TX502221"/>
    <s v="T-Shirts"/>
    <n v="1"/>
    <n v="70.5"/>
    <n v="70.5"/>
    <x v="81"/>
    <d v="2025-03-24T00:00:00"/>
    <x v="1"/>
    <x v="0"/>
    <n v="4"/>
    <s v="California"/>
    <s v="Los Angeles County"/>
    <n v="1"/>
    <x v="12"/>
    <s v="Male"/>
  </r>
  <r>
    <s v="TX502222"/>
    <s v="Jeans"/>
    <n v="1"/>
    <n v="41.3"/>
    <n v="41.3"/>
    <x v="81"/>
    <d v="2025-03-23T00:00:00"/>
    <x v="1"/>
    <x v="4"/>
    <n v="4"/>
    <s v="California"/>
    <s v="Los Angeles County"/>
    <n v="0"/>
    <x v="12"/>
    <s v="Male"/>
  </r>
  <r>
    <s v="TX502223"/>
    <s v="Graphic Tees"/>
    <n v="1"/>
    <n v="35.299999999999997"/>
    <n v="35.299999999999997"/>
    <x v="81"/>
    <d v="2025-03-26T00:00:00"/>
    <x v="2"/>
    <x v="4"/>
    <n v="5"/>
    <s v="California"/>
    <s v="Los Angeles County"/>
    <n v="3"/>
    <x v="12"/>
    <s v="Female"/>
  </r>
  <r>
    <s v="TX502224"/>
    <s v="T-Shirts"/>
    <n v="5"/>
    <n v="34.700000000000003"/>
    <n v="173.5"/>
    <x v="81"/>
    <d v="2025-03-24T00:00:00"/>
    <x v="2"/>
    <x v="0"/>
    <n v="5"/>
    <s v="California"/>
    <s v="Los Angeles County"/>
    <n v="1"/>
    <x v="12"/>
    <s v="Female"/>
  </r>
  <r>
    <s v="TX502225"/>
    <s v="T-Shirts"/>
    <n v="3"/>
    <n v="26.1"/>
    <n v="78.300000000000011"/>
    <x v="81"/>
    <d v="2025-03-24T00:00:00"/>
    <x v="2"/>
    <x v="0"/>
    <n v="4"/>
    <s v="California"/>
    <s v="Los Angeles County"/>
    <n v="1"/>
    <x v="12"/>
    <s v="Female"/>
  </r>
  <r>
    <s v="TX502226"/>
    <s v="Sundresses"/>
    <n v="5"/>
    <n v="22.6"/>
    <n v="113"/>
    <x v="81"/>
    <d v="2025-03-23T00:00:00"/>
    <x v="2"/>
    <x v="1"/>
    <n v="5"/>
    <s v="California"/>
    <s v="Los Angeles County"/>
    <n v="0"/>
    <x v="12"/>
    <s v="Female"/>
  </r>
  <r>
    <s v="TX502227"/>
    <s v="Sneakers"/>
    <n v="2"/>
    <n v="154.4"/>
    <n v="308.8"/>
    <x v="81"/>
    <d v="2025-03-26T00:00:00"/>
    <x v="1"/>
    <x v="1"/>
    <n v="3"/>
    <s v="California"/>
    <s v="Los Angeles County"/>
    <n v="3"/>
    <x v="12"/>
    <s v="Male"/>
  </r>
  <r>
    <s v="TX502228"/>
    <s v="T-Shirts"/>
    <n v="2"/>
    <n v="18.399999999999999"/>
    <n v="36.799999999999997"/>
    <x v="81"/>
    <d v="2025-03-24T00:00:00"/>
    <x v="1"/>
    <x v="0"/>
    <n v="4"/>
    <s v="California"/>
    <s v="Los Angeles County"/>
    <n v="1"/>
    <x v="12"/>
    <s v="Male"/>
  </r>
  <r>
    <s v="TX502229"/>
    <s v="Baseball Caps"/>
    <n v="1"/>
    <n v="25"/>
    <n v="25"/>
    <x v="81"/>
    <d v="2025-03-26T00:00:00"/>
    <x v="2"/>
    <x v="0"/>
    <n v="4"/>
    <s v="California"/>
    <s v="Los Angeles County"/>
    <n v="3"/>
    <x v="12"/>
    <s v="Female"/>
  </r>
  <r>
    <s v="TX502230"/>
    <s v="Sneakers"/>
    <n v="6"/>
    <n v="105.6"/>
    <n v="633.59999999999991"/>
    <x v="81"/>
    <d v="2025-03-23T00:00:00"/>
    <x v="2"/>
    <x v="0"/>
    <n v="4"/>
    <s v="California"/>
    <s v="Los Angeles County"/>
    <n v="0"/>
    <x v="12"/>
    <s v="Female"/>
  </r>
  <r>
    <s v="TX502231"/>
    <s v="Leggings"/>
    <n v="8"/>
    <n v="59.6"/>
    <n v="476.8"/>
    <x v="81"/>
    <d v="2025-03-23T00:00:00"/>
    <x v="2"/>
    <x v="0"/>
    <n v="5"/>
    <s v="California"/>
    <s v="Riverside County"/>
    <n v="0"/>
    <x v="12"/>
    <s v="Female"/>
  </r>
  <r>
    <s v="TX502232"/>
    <s v="Crop Tops"/>
    <n v="3"/>
    <n v="75.400000000000006"/>
    <n v="226.20000000000002"/>
    <x v="81"/>
    <d v="2025-03-28T00:00:00"/>
    <x v="1"/>
    <x v="0"/>
    <n v="3"/>
    <s v="California"/>
    <s v="San Bernardino County"/>
    <n v="5"/>
    <x v="12"/>
    <s v="Male"/>
  </r>
  <r>
    <s v="TX502233"/>
    <s v="Hoodies &amp; Sweatshirts"/>
    <n v="1"/>
    <n v="104.4"/>
    <n v="104.4"/>
    <x v="81"/>
    <d v="2025-03-24T00:00:00"/>
    <x v="2"/>
    <x v="0"/>
    <n v="4"/>
    <s v="California"/>
    <s v="San Diego County"/>
    <n v="1"/>
    <x v="12"/>
    <s v="Female"/>
  </r>
  <r>
    <s v="TX502234"/>
    <s v="Sneakers"/>
    <n v="10"/>
    <n v="208.2"/>
    <n v="2082"/>
    <x v="81"/>
    <d v="2025-03-24T00:00:00"/>
    <x v="1"/>
    <x v="0"/>
    <n v="5"/>
    <s v="California"/>
    <s v="San Diego County"/>
    <n v="1"/>
    <x v="12"/>
    <s v="Male"/>
  </r>
  <r>
    <s v="TX502235"/>
    <s v="Jeans"/>
    <n v="2"/>
    <n v="45"/>
    <n v="90"/>
    <x v="81"/>
    <d v="2025-03-26T00:00:00"/>
    <x v="2"/>
    <x v="0"/>
    <n v="4"/>
    <s v="California"/>
    <s v="Santa Barbara County"/>
    <n v="3"/>
    <x v="12"/>
    <s v="Female"/>
  </r>
  <r>
    <s v="TX502236"/>
    <s v="Crop Tops"/>
    <n v="2"/>
    <n v="20.3"/>
    <n v="40.6"/>
    <x v="82"/>
    <d v="2025-03-26T00:00:00"/>
    <x v="0"/>
    <x v="1"/>
    <n v="4"/>
    <s v="California"/>
    <s v="Santa Clara County"/>
    <n v="2"/>
    <x v="12"/>
    <s v="Unknown"/>
  </r>
  <r>
    <s v="TX502237"/>
    <s v="Sneakers"/>
    <n v="3"/>
    <n v="94.4"/>
    <n v="283.20000000000005"/>
    <x v="82"/>
    <d v="2025-03-25T00:00:00"/>
    <x v="2"/>
    <x v="0"/>
    <n v="5"/>
    <s v="California"/>
    <s v="Santa Clara County"/>
    <n v="1"/>
    <x v="12"/>
    <s v="Female"/>
  </r>
  <r>
    <s v="TX502238"/>
    <s v="Sundresses"/>
    <n v="1"/>
    <n v="49"/>
    <n v="49"/>
    <x v="82"/>
    <d v="2025-03-26T00:00:00"/>
    <x v="2"/>
    <x v="0"/>
    <n v="5"/>
    <s v="California"/>
    <s v="Tulare County"/>
    <n v="2"/>
    <x v="12"/>
    <s v="Female"/>
  </r>
  <r>
    <s v="TX502239"/>
    <s v="Graphic Tees"/>
    <n v="2"/>
    <n v="27.2"/>
    <n v="54.4"/>
    <x v="82"/>
    <d v="2025-03-26T00:00:00"/>
    <x v="1"/>
    <x v="0"/>
    <n v="5"/>
    <s v="California"/>
    <s v="Contra Costa County"/>
    <n v="2"/>
    <x v="12"/>
    <s v="Male"/>
  </r>
  <r>
    <s v="TX502240"/>
    <s v="Sneakers"/>
    <n v="6"/>
    <n v="72.599999999999994"/>
    <n v="435.59999999999997"/>
    <x v="82"/>
    <d v="2025-03-25T00:00:00"/>
    <x v="2"/>
    <x v="0"/>
    <n v="5"/>
    <s v="California"/>
    <s v="Fresno County"/>
    <n v="1"/>
    <x v="12"/>
    <s v="Female"/>
  </r>
  <r>
    <s v="TX502241"/>
    <s v="Crop Tops"/>
    <n v="4"/>
    <n v="62.4"/>
    <n v="249.6"/>
    <x v="82"/>
    <d v="2025-03-25T00:00:00"/>
    <x v="2"/>
    <x v="0"/>
    <n v="4"/>
    <s v="California"/>
    <s v="Los Angeles County"/>
    <n v="1"/>
    <x v="12"/>
    <s v="Female"/>
  </r>
  <r>
    <s v="TX502242"/>
    <s v="T-Shirts"/>
    <n v="3"/>
    <n v="19.100000000000001"/>
    <n v="57.300000000000004"/>
    <x v="82"/>
    <d v="2025-03-26T00:00:00"/>
    <x v="1"/>
    <x v="0"/>
    <n v="3"/>
    <s v="California"/>
    <s v="Los Angeles County"/>
    <n v="2"/>
    <x v="12"/>
    <s v="Male"/>
  </r>
  <r>
    <s v="TX502243"/>
    <s v="Bikinis"/>
    <n v="1"/>
    <n v="29.6"/>
    <n v="29.6"/>
    <x v="82"/>
    <d v="2025-03-28T00:00:00"/>
    <x v="1"/>
    <x v="0"/>
    <n v="2"/>
    <s v="California"/>
    <s v="Los Angeles County"/>
    <n v="4"/>
    <x v="12"/>
    <s v="Male"/>
  </r>
  <r>
    <s v="TX502244"/>
    <s v="T-Shirts"/>
    <n v="2"/>
    <n v="18.899999999999999"/>
    <n v="37.799999999999997"/>
    <x v="82"/>
    <d v="2025-03-26T00:00:00"/>
    <x v="2"/>
    <x v="4"/>
    <n v="5"/>
    <s v="California"/>
    <s v="Los Angeles County"/>
    <n v="2"/>
    <x v="12"/>
    <s v="Female"/>
  </r>
  <r>
    <s v="TX502245"/>
    <s v="Bikinis"/>
    <n v="5"/>
    <n v="41.4"/>
    <n v="207"/>
    <x v="82"/>
    <d v="2025-03-25T00:00:00"/>
    <x v="1"/>
    <x v="3"/>
    <n v="4"/>
    <s v="California"/>
    <s v="Los Angeles County"/>
    <n v="1"/>
    <x v="12"/>
    <s v="Male"/>
  </r>
  <r>
    <s v="TX502246"/>
    <s v="Sneakers"/>
    <n v="1"/>
    <n v="118.4"/>
    <n v="118.4"/>
    <x v="82"/>
    <d v="2025-03-25T00:00:00"/>
    <x v="2"/>
    <x v="0"/>
    <n v="5"/>
    <s v="California"/>
    <s v="Los Angeles County"/>
    <n v="1"/>
    <x v="12"/>
    <s v="Female"/>
  </r>
  <r>
    <s v="TX502247"/>
    <s v="Sneakers"/>
    <n v="2"/>
    <n v="125.3"/>
    <n v="250.6"/>
    <x v="82"/>
    <d v="2025-03-27T00:00:00"/>
    <x v="2"/>
    <x v="0"/>
    <n v="5"/>
    <s v="California"/>
    <s v="Los Angeles County"/>
    <n v="3"/>
    <x v="12"/>
    <s v="Female"/>
  </r>
  <r>
    <s v="TX502248"/>
    <s v="Workout Tops"/>
    <n v="2"/>
    <n v="85.8"/>
    <n v="171.6"/>
    <x v="82"/>
    <d v="2025-03-25T00:00:00"/>
    <x v="2"/>
    <x v="1"/>
    <n v="2"/>
    <s v="California"/>
    <s v="Los Angeles County"/>
    <n v="1"/>
    <x v="12"/>
    <s v="Female"/>
  </r>
  <r>
    <s v="TX502249"/>
    <s v="Jeans"/>
    <n v="1"/>
    <n v="44.2"/>
    <n v="44.2"/>
    <x v="82"/>
    <d v="2025-03-27T00:00:00"/>
    <x v="1"/>
    <x v="1"/>
    <n v="4"/>
    <s v="California"/>
    <s v="Los Angeles County"/>
    <n v="3"/>
    <x v="12"/>
    <s v="Male"/>
  </r>
  <r>
    <s v="TX502250"/>
    <s v="Sandals"/>
    <n v="4"/>
    <n v="74.099999999999994"/>
    <n v="296.39999999999998"/>
    <x v="82"/>
    <d v="2025-03-26T00:00:00"/>
    <x v="2"/>
    <x v="0"/>
    <n v="4"/>
    <s v="California"/>
    <s v="Los Angeles County"/>
    <n v="2"/>
    <x v="12"/>
    <s v="Female"/>
  </r>
  <r>
    <s v="TX502251"/>
    <s v="T-Shirts"/>
    <n v="1"/>
    <n v="33.799999999999997"/>
    <n v="33.799999999999997"/>
    <x v="82"/>
    <d v="2025-03-25T00:00:00"/>
    <x v="2"/>
    <x v="2"/>
    <n v="5"/>
    <s v="California"/>
    <s v="Merced County"/>
    <n v="1"/>
    <x v="12"/>
    <s v="Female"/>
  </r>
  <r>
    <s v="TX502252"/>
    <s v="Tank Tops"/>
    <n v="2"/>
    <n v="39.1"/>
    <n v="78.2"/>
    <x v="82"/>
    <d v="2025-03-25T00:00:00"/>
    <x v="1"/>
    <x v="0"/>
    <n v="3"/>
    <s v="California"/>
    <s v="Merced County"/>
    <n v="1"/>
    <x v="12"/>
    <s v="Male"/>
  </r>
  <r>
    <s v="TX502253"/>
    <s v="Shorts"/>
    <n v="1"/>
    <n v="37.200000000000003"/>
    <n v="37.200000000000003"/>
    <x v="82"/>
    <d v="2025-03-25T00:00:00"/>
    <x v="1"/>
    <x v="0"/>
    <n v="3"/>
    <s v="California"/>
    <s v="Napa County"/>
    <n v="1"/>
    <x v="12"/>
    <s v="Male"/>
  </r>
  <r>
    <s v="TX502254"/>
    <s v="Crop Tops"/>
    <n v="3"/>
    <n v="33.9"/>
    <n v="101.69999999999999"/>
    <x v="82"/>
    <d v="2025-03-26T00:00:00"/>
    <x v="1"/>
    <x v="2"/>
    <n v="4"/>
    <s v="California"/>
    <s v="Sacramento County"/>
    <n v="2"/>
    <x v="12"/>
    <s v="Male"/>
  </r>
  <r>
    <s v="TX502255"/>
    <s v="Hoodies &amp; Sweatshirts"/>
    <n v="15"/>
    <n v="73.3"/>
    <n v="1099.5"/>
    <x v="82"/>
    <d v="2025-03-27T00:00:00"/>
    <x v="2"/>
    <x v="2"/>
    <n v="3"/>
    <s v="California"/>
    <s v="San Diego County"/>
    <n v="3"/>
    <x v="12"/>
    <s v="Female"/>
  </r>
  <r>
    <s v="TX502256"/>
    <s v="T-Shirts"/>
    <n v="4"/>
    <n v="35"/>
    <n v="140"/>
    <x v="82"/>
    <d v="2025-03-26T00:00:00"/>
    <x v="2"/>
    <x v="1"/>
    <n v="4"/>
    <s v="California"/>
    <s v="San Diego County"/>
    <n v="2"/>
    <x v="12"/>
    <s v="Female"/>
  </r>
  <r>
    <s v="TX502257"/>
    <s v="Shorts"/>
    <n v="3"/>
    <n v="22.2"/>
    <n v="66.599999999999994"/>
    <x v="82"/>
    <d v="2025-03-25T00:00:00"/>
    <x v="1"/>
    <x v="1"/>
    <n v="4"/>
    <s v="California"/>
    <s v="San Francisco"/>
    <n v="1"/>
    <x v="12"/>
    <s v="Male"/>
  </r>
  <r>
    <s v="TX502258"/>
    <s v="Bikinis"/>
    <n v="1"/>
    <n v="32.4"/>
    <n v="32.4"/>
    <x v="82"/>
    <d v="2025-03-25T00:00:00"/>
    <x v="2"/>
    <x v="0"/>
    <n v="4"/>
    <s v="California"/>
    <s v="Santa Clara County"/>
    <n v="1"/>
    <x v="12"/>
    <s v="Female"/>
  </r>
  <r>
    <s v="TX502259"/>
    <s v="Sandals"/>
    <n v="3"/>
    <n v="88.4"/>
    <n v="265.20000000000005"/>
    <x v="83"/>
    <d v="2025-03-27T00:00:00"/>
    <x v="2"/>
    <x v="1"/>
    <n v="3"/>
    <s v="California"/>
    <s v="Santa Clara County"/>
    <n v="2"/>
    <x v="12"/>
    <s v="Female"/>
  </r>
  <r>
    <s v="TX502260"/>
    <s v="Sandals"/>
    <n v="16"/>
    <n v="30.5"/>
    <n v="488"/>
    <x v="83"/>
    <d v="2025-03-26T00:00:00"/>
    <x v="2"/>
    <x v="2"/>
    <n v="4"/>
    <s v="California"/>
    <s v="Santa Clara County"/>
    <n v="1"/>
    <x v="12"/>
    <s v="Female"/>
  </r>
  <r>
    <s v="TX502261"/>
    <s v="Tank Tops"/>
    <n v="6"/>
    <n v="38.1"/>
    <n v="228.60000000000002"/>
    <x v="83"/>
    <d v="2025-03-27T00:00:00"/>
    <x v="2"/>
    <x v="0"/>
    <n v="3"/>
    <s v="California"/>
    <s v="Santa Clara County"/>
    <n v="2"/>
    <x v="12"/>
    <s v="Female"/>
  </r>
  <r>
    <s v="TX502262"/>
    <s v="Bikinis"/>
    <n v="5"/>
    <n v="37.6"/>
    <n v="188"/>
    <x v="83"/>
    <d v="2025-03-29T00:00:00"/>
    <x v="1"/>
    <x v="0"/>
    <n v="4"/>
    <s v="California"/>
    <s v="Santa Clara County"/>
    <n v="4"/>
    <x v="12"/>
    <s v="Male"/>
  </r>
  <r>
    <s v="TX502263"/>
    <s v="Crop Tops"/>
    <n v="2"/>
    <n v="31.4"/>
    <n v="62.8"/>
    <x v="83"/>
    <d v="2025-03-26T00:00:00"/>
    <x v="1"/>
    <x v="0"/>
    <n v="5"/>
    <s v="California"/>
    <s v="Santa Clara County"/>
    <n v="1"/>
    <x v="12"/>
    <s v="Male"/>
  </r>
  <r>
    <s v="TX502264"/>
    <s v="Jeans"/>
    <n v="2"/>
    <n v="61.5"/>
    <n v="123"/>
    <x v="83"/>
    <d v="2025-03-26T00:00:00"/>
    <x v="1"/>
    <x v="3"/>
    <n v="4"/>
    <s v="California"/>
    <s v="Sutter County"/>
    <n v="1"/>
    <x v="12"/>
    <s v="Male"/>
  </r>
  <r>
    <s v="TX502265"/>
    <s v="Jeans"/>
    <n v="1"/>
    <n v="72.599999999999994"/>
    <n v="72.599999999999994"/>
    <x v="83"/>
    <d v="2025-03-26T00:00:00"/>
    <x v="1"/>
    <x v="0"/>
    <n v="3"/>
    <s v="California"/>
    <s v="Alameda County"/>
    <n v="1"/>
    <x v="12"/>
    <s v="Male"/>
  </r>
  <r>
    <s v="TX502266"/>
    <s v="Sundresses"/>
    <n v="3"/>
    <n v="26.9"/>
    <n v="80.699999999999989"/>
    <x v="83"/>
    <d v="2025-03-30T00:00:00"/>
    <x v="3"/>
    <x v="4"/>
    <n v="3"/>
    <s v="California"/>
    <s v="Amador County"/>
    <n v="5"/>
    <x v="12"/>
    <s v="Other"/>
  </r>
  <r>
    <s v="TX502267"/>
    <s v="Pajama Sets"/>
    <n v="12"/>
    <n v="29.4"/>
    <n v="352.79999999999995"/>
    <x v="83"/>
    <d v="2025-03-26T00:00:00"/>
    <x v="2"/>
    <x v="1"/>
    <n v="4"/>
    <s v="California"/>
    <s v="Butte County"/>
    <n v="1"/>
    <x v="12"/>
    <s v="Female"/>
  </r>
  <r>
    <s v="TX502268"/>
    <s v="Pajama Sets"/>
    <n v="2"/>
    <n v="42.1"/>
    <n v="84.2"/>
    <x v="83"/>
    <d v="2025-03-26T00:00:00"/>
    <x v="2"/>
    <x v="3"/>
    <n v="3"/>
    <s v="California"/>
    <s v="Contra Costa County"/>
    <n v="1"/>
    <x v="12"/>
    <s v="Female"/>
  </r>
  <r>
    <s v="TX502269"/>
    <s v="Sandals"/>
    <n v="1"/>
    <n v="40.5"/>
    <n v="40.5"/>
    <x v="83"/>
    <d v="2025-03-26T00:00:00"/>
    <x v="2"/>
    <x v="2"/>
    <n v="3"/>
    <s v="California"/>
    <s v="Contra Costa County"/>
    <n v="1"/>
    <x v="12"/>
    <s v="Female"/>
  </r>
  <r>
    <s v="TX502270"/>
    <s v="Sneakers"/>
    <n v="4"/>
    <n v="182.3"/>
    <n v="729.2"/>
    <x v="83"/>
    <d v="2025-03-26T00:00:00"/>
    <x v="2"/>
    <x v="1"/>
    <n v="4"/>
    <s v="California"/>
    <s v="Contra Costa County"/>
    <n v="1"/>
    <x v="12"/>
    <s v="Female"/>
  </r>
  <r>
    <s v="TX502271"/>
    <s v="Sneakers"/>
    <n v="5"/>
    <n v="157"/>
    <n v="785"/>
    <x v="83"/>
    <d v="2025-03-28T00:00:00"/>
    <x v="2"/>
    <x v="1"/>
    <n v="5"/>
    <s v="California"/>
    <s v="Fresno County"/>
    <n v="3"/>
    <x v="12"/>
    <s v="Female"/>
  </r>
  <r>
    <s v="TX502272"/>
    <s v="Pajama Sets"/>
    <n v="5"/>
    <n v="45.2"/>
    <n v="226"/>
    <x v="83"/>
    <d v="2025-03-28T00:00:00"/>
    <x v="2"/>
    <x v="1"/>
    <n v="4"/>
    <s v="California"/>
    <s v="Kern County"/>
    <n v="3"/>
    <x v="12"/>
    <s v="Female"/>
  </r>
  <r>
    <s v="TX502273"/>
    <s v="Crop Tops"/>
    <n v="4"/>
    <n v="27.4"/>
    <n v="109.6"/>
    <x v="83"/>
    <d v="2025-03-27T00:00:00"/>
    <x v="2"/>
    <x v="0"/>
    <n v="4"/>
    <s v="California"/>
    <s v="Los Angeles County"/>
    <n v="2"/>
    <x v="12"/>
    <s v="Female"/>
  </r>
  <r>
    <s v="TX502274"/>
    <s v="Sandals"/>
    <n v="5"/>
    <n v="34.1"/>
    <n v="170.5"/>
    <x v="83"/>
    <d v="2025-03-27T00:00:00"/>
    <x v="1"/>
    <x v="0"/>
    <n v="5"/>
    <s v="California"/>
    <s v="Los Angeles County"/>
    <n v="2"/>
    <x v="12"/>
    <s v="Male"/>
  </r>
  <r>
    <s v="TX502275"/>
    <s v="Shorts"/>
    <n v="2"/>
    <n v="26"/>
    <n v="52"/>
    <x v="83"/>
    <d v="2025-03-27T00:00:00"/>
    <x v="1"/>
    <x v="2"/>
    <n v="3"/>
    <s v="California"/>
    <s v="Los Angeles County"/>
    <n v="2"/>
    <x v="12"/>
    <s v="Male"/>
  </r>
  <r>
    <s v="TX502276"/>
    <s v="T-Shirts"/>
    <n v="7"/>
    <n v="19.399999999999999"/>
    <n v="135.79999999999998"/>
    <x v="83"/>
    <d v="2025-03-27T00:00:00"/>
    <x v="0"/>
    <x v="1"/>
    <n v="3"/>
    <s v="California"/>
    <s v="Los Angeles County"/>
    <n v="2"/>
    <x v="12"/>
    <s v="Unknown"/>
  </r>
  <r>
    <s v="TX502277"/>
    <s v="Sunglasses"/>
    <n v="3"/>
    <n v="30.3"/>
    <n v="90.9"/>
    <x v="83"/>
    <d v="2025-03-28T00:00:00"/>
    <x v="2"/>
    <x v="1"/>
    <n v="5"/>
    <s v="California"/>
    <s v="Los Angeles County"/>
    <n v="3"/>
    <x v="12"/>
    <s v="Female"/>
  </r>
  <r>
    <s v="TX502278"/>
    <s v="Sneakers"/>
    <n v="3"/>
    <n v="101.4"/>
    <n v="304.20000000000005"/>
    <x v="83"/>
    <d v="2025-03-26T00:00:00"/>
    <x v="1"/>
    <x v="0"/>
    <n v="4"/>
    <s v="California"/>
    <s v="Los Angeles County"/>
    <n v="1"/>
    <x v="12"/>
    <s v="Male"/>
  </r>
  <r>
    <s v="TX502279"/>
    <s v="Workout Tops"/>
    <n v="5"/>
    <n v="55.5"/>
    <n v="277.5"/>
    <x v="83"/>
    <d v="2025-03-28T00:00:00"/>
    <x v="1"/>
    <x v="1"/>
    <n v="4"/>
    <s v="California"/>
    <s v="Merced County"/>
    <n v="3"/>
    <x v="12"/>
    <s v="Male"/>
  </r>
  <r>
    <s v="TX502280"/>
    <s v="T-Shirts"/>
    <n v="1"/>
    <n v="23.1"/>
    <n v="23.1"/>
    <x v="83"/>
    <d v="2025-03-26T00:00:00"/>
    <x v="1"/>
    <x v="0"/>
    <n v="4"/>
    <s v="California"/>
    <s v="Orange County"/>
    <n v="1"/>
    <x v="12"/>
    <s v="Male"/>
  </r>
  <r>
    <s v="TX502281"/>
    <s v="Leggings"/>
    <n v="2"/>
    <n v="38.9"/>
    <n v="77.8"/>
    <x v="83"/>
    <d v="2025-03-26T00:00:00"/>
    <x v="1"/>
    <x v="2"/>
    <n v="4"/>
    <s v="California"/>
    <s v="Orange County"/>
    <n v="1"/>
    <x v="12"/>
    <s v="Male"/>
  </r>
  <r>
    <s v="TX502282"/>
    <s v="Jeans"/>
    <n v="9"/>
    <n v="116.3"/>
    <n v="1046.7"/>
    <x v="83"/>
    <d v="2025-03-29T00:00:00"/>
    <x v="2"/>
    <x v="0"/>
    <n v="4"/>
    <s v="California"/>
    <s v="Placer County"/>
    <n v="4"/>
    <x v="12"/>
    <s v="Female"/>
  </r>
  <r>
    <s v="TX502283"/>
    <s v="Sunglasses"/>
    <n v="9"/>
    <n v="64.099999999999994"/>
    <n v="576.9"/>
    <x v="83"/>
    <d v="2025-03-25T00:00:00"/>
    <x v="2"/>
    <x v="0"/>
    <n v="5"/>
    <s v="California"/>
    <s v="Sacramento County"/>
    <n v="0"/>
    <x v="12"/>
    <s v="Female"/>
  </r>
  <r>
    <s v="TX502284"/>
    <s v="Sneakers"/>
    <n v="6"/>
    <n v="109.2"/>
    <n v="655.20000000000005"/>
    <x v="83"/>
    <d v="2025-03-27T00:00:00"/>
    <x v="1"/>
    <x v="0"/>
    <n v="3"/>
    <s v="California"/>
    <s v="San Diego County"/>
    <n v="2"/>
    <x v="12"/>
    <s v="Male"/>
  </r>
  <r>
    <s v="TX502285"/>
    <s v="Bikinis"/>
    <n v="5"/>
    <n v="23.2"/>
    <n v="116"/>
    <x v="84"/>
    <d v="2025-03-27T00:00:00"/>
    <x v="1"/>
    <x v="0"/>
    <n v="3"/>
    <s v="California"/>
    <s v="San Diego County"/>
    <n v="1"/>
    <x v="12"/>
    <s v="Male"/>
  </r>
  <r>
    <s v="TX502286"/>
    <s v="Leggings"/>
    <n v="6"/>
    <n v="81.2"/>
    <n v="487.20000000000005"/>
    <x v="84"/>
    <d v="2025-03-28T00:00:00"/>
    <x v="1"/>
    <x v="2"/>
    <n v="5"/>
    <s v="California"/>
    <s v="San Diego County"/>
    <n v="2"/>
    <x v="12"/>
    <s v="Male"/>
  </r>
  <r>
    <s v="TX502287"/>
    <s v="Tank Tops"/>
    <n v="14"/>
    <n v="35.700000000000003"/>
    <n v="499.80000000000007"/>
    <x v="84"/>
    <d v="2025-03-27T00:00:00"/>
    <x v="1"/>
    <x v="3"/>
    <n v="4"/>
    <s v="California"/>
    <s v="San Diego County"/>
    <n v="1"/>
    <x v="12"/>
    <s v="Male"/>
  </r>
  <r>
    <s v="TX502288"/>
    <s v="Hoodies &amp; Sweatshirts"/>
    <n v="2"/>
    <n v="44.5"/>
    <n v="89"/>
    <x v="84"/>
    <d v="2025-03-29T00:00:00"/>
    <x v="1"/>
    <x v="4"/>
    <n v="4"/>
    <s v="California"/>
    <s v="San Mateo County"/>
    <n v="3"/>
    <x v="12"/>
    <s v="Male"/>
  </r>
  <r>
    <s v="TX502289"/>
    <s v="Tank Tops"/>
    <n v="5"/>
    <n v="32"/>
    <n v="160"/>
    <x v="84"/>
    <d v="2025-03-28T00:00:00"/>
    <x v="3"/>
    <x v="1"/>
    <n v="3"/>
    <s v="California"/>
    <s v="San Mateo County"/>
    <n v="2"/>
    <x v="12"/>
    <s v="Other"/>
  </r>
  <r>
    <s v="TX502290"/>
    <s v="T-Shirts"/>
    <n v="1"/>
    <n v="25.7"/>
    <n v="25.7"/>
    <x v="84"/>
    <d v="2025-03-27T00:00:00"/>
    <x v="1"/>
    <x v="0"/>
    <n v="4"/>
    <s v="California"/>
    <s v="Santa Barbara County"/>
    <n v="1"/>
    <x v="12"/>
    <s v="Male"/>
  </r>
  <r>
    <s v="TX502291"/>
    <s v="Sunglasses"/>
    <n v="3"/>
    <n v="65.599999999999994"/>
    <n v="196.79999999999998"/>
    <x v="84"/>
    <d v="2025-04-01T00:00:00"/>
    <x v="1"/>
    <x v="0"/>
    <n v="4"/>
    <s v="California"/>
    <s v="Santa Clara County"/>
    <n v="6"/>
    <x v="12"/>
    <s v="Male"/>
  </r>
  <r>
    <s v="TX502292"/>
    <s v="Tank Tops"/>
    <n v="4"/>
    <n v="52.1"/>
    <n v="208.4"/>
    <x v="84"/>
    <d v="2025-03-27T00:00:00"/>
    <x v="2"/>
    <x v="0"/>
    <n v="5"/>
    <s v="California"/>
    <s v="Santa Clara County"/>
    <n v="1"/>
    <x v="12"/>
    <s v="Female"/>
  </r>
  <r>
    <s v="TX502293"/>
    <s v="T-Shirts"/>
    <n v="1"/>
    <n v="31"/>
    <n v="31"/>
    <x v="84"/>
    <d v="2025-03-27T00:00:00"/>
    <x v="1"/>
    <x v="0"/>
    <n v="3"/>
    <s v="California"/>
    <s v="Stanislaus County"/>
    <n v="1"/>
    <x v="12"/>
    <s v="Male"/>
  </r>
  <r>
    <s v="TX502294"/>
    <s v="T-Shirts"/>
    <n v="1"/>
    <n v="32"/>
    <n v="32"/>
    <x v="84"/>
    <d v="2025-03-28T00:00:00"/>
    <x v="3"/>
    <x v="3"/>
    <n v="3"/>
    <s v="California"/>
    <s v="Sutter County"/>
    <n v="2"/>
    <x v="12"/>
    <s v="Other"/>
  </r>
  <r>
    <s v="TX502295"/>
    <s v="Sunglasses"/>
    <n v="4"/>
    <n v="58.3"/>
    <n v="233.2"/>
    <x v="84"/>
    <d v="2025-03-30T00:00:00"/>
    <x v="1"/>
    <x v="1"/>
    <n v="2"/>
    <s v="California"/>
    <s v="Tulare County"/>
    <n v="4"/>
    <x v="12"/>
    <s v="Male"/>
  </r>
  <r>
    <s v="TX502296"/>
    <s v="T-Shirts"/>
    <n v="3"/>
    <n v="31"/>
    <n v="93"/>
    <x v="84"/>
    <d v="2025-03-28T00:00:00"/>
    <x v="2"/>
    <x v="2"/>
    <n v="2"/>
    <s v="California"/>
    <s v="Ventura County"/>
    <n v="2"/>
    <x v="12"/>
    <s v="Female"/>
  </r>
  <r>
    <s v="TX502297"/>
    <s v="Workout Tops"/>
    <n v="1"/>
    <n v="40.299999999999997"/>
    <n v="40.299999999999997"/>
    <x v="84"/>
    <d v="2025-03-27T00:00:00"/>
    <x v="1"/>
    <x v="1"/>
    <n v="5"/>
    <s v="California"/>
    <s v="Colusa County"/>
    <n v="1"/>
    <x v="12"/>
    <s v="Male"/>
  </r>
  <r>
    <s v="TX502298"/>
    <s v="Jeans"/>
    <n v="3"/>
    <n v="47.3"/>
    <n v="141.89999999999998"/>
    <x v="84"/>
    <d v="2025-03-28T00:00:00"/>
    <x v="1"/>
    <x v="4"/>
    <n v="5"/>
    <s v="California"/>
    <s v="Fresno County"/>
    <n v="2"/>
    <x v="12"/>
    <s v="Male"/>
  </r>
  <r>
    <s v="TX502299"/>
    <s v="Sneakers"/>
    <n v="1"/>
    <n v="82.8"/>
    <n v="82.8"/>
    <x v="84"/>
    <d v="2025-03-27T00:00:00"/>
    <x v="1"/>
    <x v="0"/>
    <n v="4"/>
    <s v="California"/>
    <s v="Fresno County"/>
    <n v="1"/>
    <x v="12"/>
    <s v="Male"/>
  </r>
  <r>
    <s v="TX502300"/>
    <s v="T-Shirts"/>
    <n v="1"/>
    <n v="18.5"/>
    <n v="18.5"/>
    <x v="84"/>
    <d v="2025-04-09T00:00:00"/>
    <x v="2"/>
    <x v="0"/>
    <n v="4"/>
    <s v="California"/>
    <s v="Humboldt County"/>
    <n v="14"/>
    <x v="12"/>
    <s v="Female"/>
  </r>
  <r>
    <s v="TX502301"/>
    <s v="Workout Tops"/>
    <n v="2"/>
    <n v="60.4"/>
    <n v="120.8"/>
    <x v="84"/>
    <d v="2025-03-27T00:00:00"/>
    <x v="1"/>
    <x v="2"/>
    <n v="4"/>
    <s v="California"/>
    <s v="Kern County"/>
    <n v="1"/>
    <x v="12"/>
    <s v="Male"/>
  </r>
  <r>
    <s v="TX502302"/>
    <s v="Jeans"/>
    <n v="5"/>
    <n v="80.2"/>
    <n v="401"/>
    <x v="84"/>
    <d v="2025-04-02T00:00:00"/>
    <x v="1"/>
    <x v="1"/>
    <n v="3"/>
    <s v="California"/>
    <s v="Lake County"/>
    <n v="7"/>
    <x v="12"/>
    <s v="Male"/>
  </r>
  <r>
    <s v="TX502303"/>
    <s v="Graphic Tees"/>
    <n v="1"/>
    <n v="41.5"/>
    <n v="41.5"/>
    <x v="84"/>
    <d v="2025-03-28T00:00:00"/>
    <x v="1"/>
    <x v="2"/>
    <n v="4"/>
    <s v="California"/>
    <s v="Los Angeles County"/>
    <n v="2"/>
    <x v="12"/>
    <s v="Male"/>
  </r>
  <r>
    <s v="TX502304"/>
    <s v="Sneakers"/>
    <n v="2"/>
    <n v="83.9"/>
    <n v="167.8"/>
    <x v="84"/>
    <d v="2025-03-29T00:00:00"/>
    <x v="2"/>
    <x v="0"/>
    <n v="4"/>
    <s v="California"/>
    <s v="Los Angeles County"/>
    <n v="3"/>
    <x v="12"/>
    <s v="Female"/>
  </r>
  <r>
    <s v="TX502305"/>
    <s v="T-Shirts"/>
    <n v="2"/>
    <n v="16.7"/>
    <n v="33.4"/>
    <x v="84"/>
    <d v="2025-03-30T00:00:00"/>
    <x v="2"/>
    <x v="0"/>
    <n v="3"/>
    <s v="California"/>
    <s v="Los Angeles County"/>
    <n v="4"/>
    <x v="12"/>
    <s v="Female"/>
  </r>
  <r>
    <s v="TX502306"/>
    <s v="Sundresses"/>
    <n v="2"/>
    <n v="72.900000000000006"/>
    <n v="145.80000000000001"/>
    <x v="84"/>
    <d v="2025-03-27T00:00:00"/>
    <x v="1"/>
    <x v="2"/>
    <n v="3"/>
    <s v="California"/>
    <s v="Los Angeles County"/>
    <n v="1"/>
    <x v="12"/>
    <s v="Male"/>
  </r>
  <r>
    <s v="TX502307"/>
    <s v="Sandals"/>
    <n v="2"/>
    <n v="50.2"/>
    <n v="100.4"/>
    <x v="84"/>
    <d v="2025-03-28T00:00:00"/>
    <x v="2"/>
    <x v="1"/>
    <n v="5"/>
    <s v="California"/>
    <s v="Los Angeles County"/>
    <n v="2"/>
    <x v="12"/>
    <s v="Female"/>
  </r>
  <r>
    <s v="TX502308"/>
    <s v="Workout Tops"/>
    <n v="2"/>
    <n v="34.200000000000003"/>
    <n v="68.400000000000006"/>
    <x v="84"/>
    <d v="2025-04-05T00:00:00"/>
    <x v="0"/>
    <x v="1"/>
    <n v="4"/>
    <s v="California"/>
    <s v="Los Angeles County"/>
    <n v="10"/>
    <x v="12"/>
    <s v="Unknown"/>
  </r>
  <r>
    <s v="TX502309"/>
    <s v="Sandals"/>
    <n v="2"/>
    <n v="107.9"/>
    <n v="215.8"/>
    <x v="84"/>
    <d v="2025-03-26T00:00:00"/>
    <x v="1"/>
    <x v="1"/>
    <n v="2"/>
    <s v="California"/>
    <s v="Los Angeles County"/>
    <n v="0"/>
    <x v="12"/>
    <s v="Male"/>
  </r>
  <r>
    <s v="TX502310"/>
    <s v="Shorts"/>
    <n v="3"/>
    <n v="17.5"/>
    <n v="52.5"/>
    <x v="84"/>
    <d v="2025-03-28T00:00:00"/>
    <x v="1"/>
    <x v="4"/>
    <n v="4"/>
    <s v="California"/>
    <s v="Los Angeles County"/>
    <n v="2"/>
    <x v="12"/>
    <s v="Male"/>
  </r>
  <r>
    <s v="TX502311"/>
    <s v="Tote Bags"/>
    <n v="15"/>
    <n v="44.7"/>
    <n v="670.5"/>
    <x v="84"/>
    <d v="2025-03-27T00:00:00"/>
    <x v="1"/>
    <x v="0"/>
    <n v="3"/>
    <s v="California"/>
    <s v="Los Angeles County"/>
    <n v="1"/>
    <x v="12"/>
    <s v="Male"/>
  </r>
  <r>
    <s v="TX502312"/>
    <s v="Casual Dresses"/>
    <n v="6"/>
    <n v="92.7"/>
    <n v="556.20000000000005"/>
    <x v="84"/>
    <d v="2025-03-28T00:00:00"/>
    <x v="2"/>
    <x v="2"/>
    <n v="3"/>
    <s v="California"/>
    <s v="Los Angeles County"/>
    <n v="2"/>
    <x v="12"/>
    <s v="Female"/>
  </r>
  <r>
    <s v="TX502313"/>
    <s v="Hoodies &amp; Sweatshirts"/>
    <n v="3"/>
    <n v="48.8"/>
    <n v="146.39999999999998"/>
    <x v="84"/>
    <d v="2025-03-28T00:00:00"/>
    <x v="2"/>
    <x v="2"/>
    <n v="4"/>
    <s v="California"/>
    <s v="Los Angeles County"/>
    <n v="2"/>
    <x v="12"/>
    <s v="Female"/>
  </r>
  <r>
    <s v="TX502314"/>
    <s v="Graphic Tees"/>
    <n v="16"/>
    <n v="21.3"/>
    <n v="340.8"/>
    <x v="84"/>
    <d v="2025-03-30T00:00:00"/>
    <x v="2"/>
    <x v="3"/>
    <n v="1"/>
    <s v="California"/>
    <s v="Los Angeles County"/>
    <n v="4"/>
    <x v="12"/>
    <s v="Female"/>
  </r>
  <r>
    <s v="TX502315"/>
    <s v="Sunglasses"/>
    <n v="1"/>
    <n v="52.5"/>
    <n v="52.5"/>
    <x v="84"/>
    <d v="2025-03-27T00:00:00"/>
    <x v="2"/>
    <x v="0"/>
    <n v="4"/>
    <s v="California"/>
    <s v="Los Angeles County"/>
    <n v="1"/>
    <x v="12"/>
    <s v="Female"/>
  </r>
  <r>
    <s v="TX502316"/>
    <s v="Tank Tops"/>
    <n v="2"/>
    <n v="92.4"/>
    <n v="184.8"/>
    <x v="84"/>
    <d v="2025-04-01T00:00:00"/>
    <x v="2"/>
    <x v="0"/>
    <n v="5"/>
    <s v="California"/>
    <s v="Los Angeles County"/>
    <n v="6"/>
    <x v="12"/>
    <s v="Female"/>
  </r>
  <r>
    <s v="TX502317"/>
    <s v="Graphic Tees"/>
    <n v="11"/>
    <n v="58.3"/>
    <n v="641.29999999999995"/>
    <x v="84"/>
    <d v="2025-03-28T00:00:00"/>
    <x v="1"/>
    <x v="1"/>
    <n v="5"/>
    <s v="California"/>
    <s v="Los Angeles County"/>
    <n v="2"/>
    <x v="12"/>
    <s v="Male"/>
  </r>
  <r>
    <s v="TX502318"/>
    <s v="Jeans"/>
    <n v="23"/>
    <n v="152.6"/>
    <n v="3509.7999999999997"/>
    <x v="85"/>
    <d v="2025-03-29T00:00:00"/>
    <x v="0"/>
    <x v="0"/>
    <n v="4"/>
    <s v="California"/>
    <s v="Los Angeles County"/>
    <n v="2"/>
    <x v="12"/>
    <s v="Unknown"/>
  </r>
  <r>
    <s v="TX502319"/>
    <s v="T-Shirts"/>
    <n v="2"/>
    <n v="26"/>
    <n v="52"/>
    <x v="85"/>
    <d v="2025-03-27T00:00:00"/>
    <x v="0"/>
    <x v="0"/>
    <n v="3"/>
    <s v="California"/>
    <s v="Los Angeles County"/>
    <n v="0"/>
    <x v="12"/>
    <s v="Unknown"/>
  </r>
  <r>
    <s v="TX502320"/>
    <s v="Tank Tops"/>
    <n v="4"/>
    <n v="33.1"/>
    <n v="132.4"/>
    <x v="85"/>
    <d v="2025-03-27T00:00:00"/>
    <x v="1"/>
    <x v="2"/>
    <n v="2"/>
    <s v="California"/>
    <s v="Placer County"/>
    <n v="0"/>
    <x v="12"/>
    <s v="Male"/>
  </r>
  <r>
    <s v="TX502321"/>
    <s v="Leggings"/>
    <n v="1"/>
    <n v="51.4"/>
    <n v="51.4"/>
    <x v="85"/>
    <d v="2025-03-29T00:00:00"/>
    <x v="2"/>
    <x v="1"/>
    <n v="3"/>
    <s v="California"/>
    <s v="Placer County"/>
    <n v="2"/>
    <x v="12"/>
    <s v="Female"/>
  </r>
  <r>
    <s v="TX502322"/>
    <s v="T-Shirts"/>
    <n v="2"/>
    <n v="30.2"/>
    <n v="60.4"/>
    <x v="85"/>
    <d v="2025-03-28T00:00:00"/>
    <x v="2"/>
    <x v="2"/>
    <n v="5"/>
    <s v="California"/>
    <s v="Sacramento County"/>
    <n v="1"/>
    <x v="12"/>
    <s v="Female"/>
  </r>
  <r>
    <s v="TX502323"/>
    <s v="Sneakers"/>
    <n v="6"/>
    <n v="97"/>
    <n v="582"/>
    <x v="85"/>
    <d v="2025-03-31T00:00:00"/>
    <x v="2"/>
    <x v="0"/>
    <n v="5"/>
    <s v="California"/>
    <s v="San Bernardino County"/>
    <n v="4"/>
    <x v="12"/>
    <s v="Female"/>
  </r>
  <r>
    <s v="TX502324"/>
    <s v="Sneakers"/>
    <n v="1"/>
    <n v="76.900000000000006"/>
    <n v="76.900000000000006"/>
    <x v="85"/>
    <d v="2025-03-28T00:00:00"/>
    <x v="1"/>
    <x v="1"/>
    <n v="5"/>
    <s v="California"/>
    <s v="San Diego County"/>
    <n v="1"/>
    <x v="12"/>
    <s v="Male"/>
  </r>
  <r>
    <s v="TX502325"/>
    <s v="Hoodies &amp; Sweatshirts"/>
    <n v="6"/>
    <n v="36.1"/>
    <n v="216.60000000000002"/>
    <x v="85"/>
    <d v="2025-03-31T00:00:00"/>
    <x v="2"/>
    <x v="0"/>
    <n v="4"/>
    <s v="California"/>
    <s v="San Diego County"/>
    <n v="4"/>
    <x v="12"/>
    <s v="Female"/>
  </r>
  <r>
    <s v="TX502326"/>
    <s v="Tank Tops"/>
    <n v="7"/>
    <n v="34.4"/>
    <n v="240.79999999999998"/>
    <x v="85"/>
    <d v="2025-03-27T00:00:00"/>
    <x v="2"/>
    <x v="2"/>
    <n v="3"/>
    <s v="California"/>
    <s v="Santa Clara County"/>
    <n v="0"/>
    <x v="12"/>
    <s v="Female"/>
  </r>
  <r>
    <s v="TX502327"/>
    <s v="Tank Tops"/>
    <n v="28"/>
    <n v="53.4"/>
    <n v="1495.2"/>
    <x v="85"/>
    <d v="2025-03-29T00:00:00"/>
    <x v="2"/>
    <x v="1"/>
    <n v="4"/>
    <s v="California"/>
    <s v="Sonoma County"/>
    <n v="2"/>
    <x v="12"/>
    <s v="Female"/>
  </r>
  <r>
    <s v="TX502328"/>
    <s v="Sneakers"/>
    <n v="1"/>
    <n v="77.599999999999994"/>
    <n v="77.599999999999994"/>
    <x v="85"/>
    <d v="2025-03-28T00:00:00"/>
    <x v="2"/>
    <x v="0"/>
    <n v="3"/>
    <s v="California"/>
    <s v="Stanislaus County"/>
    <n v="1"/>
    <x v="12"/>
    <s v="Female"/>
  </r>
  <r>
    <s v="TX502329"/>
    <s v="Tank Tops"/>
    <n v="3"/>
    <n v="71.7"/>
    <n v="215.10000000000002"/>
    <x v="85"/>
    <d v="2025-03-30T00:00:00"/>
    <x v="2"/>
    <x v="1"/>
    <n v="4"/>
    <s v="California"/>
    <s v="Stanislaus County"/>
    <n v="3"/>
    <x v="12"/>
    <s v="Female"/>
  </r>
  <r>
    <s v="TX502330"/>
    <s v="Workout Tops"/>
    <n v="3"/>
    <n v="80.599999999999994"/>
    <n v="241.79999999999998"/>
    <x v="85"/>
    <d v="2025-03-28T00:00:00"/>
    <x v="1"/>
    <x v="4"/>
    <n v="3"/>
    <s v="California"/>
    <s v="Stanislaus County"/>
    <n v="1"/>
    <x v="12"/>
    <s v="Male"/>
  </r>
  <r>
    <s v="TX502331"/>
    <s v="Tank Tops"/>
    <n v="15"/>
    <n v="70"/>
    <n v="1050"/>
    <x v="85"/>
    <d v="2025-03-29T00:00:00"/>
    <x v="1"/>
    <x v="0"/>
    <n v="4"/>
    <s v="California"/>
    <s v="Tulare County"/>
    <n v="2"/>
    <x v="12"/>
    <s v="Male"/>
  </r>
  <r>
    <s v="TX502332"/>
    <s v="Graphic Tees"/>
    <n v="6"/>
    <n v="27.3"/>
    <n v="163.80000000000001"/>
    <x v="85"/>
    <d v="2025-03-29T00:00:00"/>
    <x v="2"/>
    <x v="1"/>
    <n v="3"/>
    <s v="California"/>
    <s v="Fresno County"/>
    <n v="2"/>
    <x v="12"/>
    <s v="Female"/>
  </r>
  <r>
    <s v="TX502333"/>
    <s v="T-Shirts"/>
    <n v="14"/>
    <n v="37.6"/>
    <n v="526.4"/>
    <x v="85"/>
    <d v="2025-03-29T00:00:00"/>
    <x v="1"/>
    <x v="1"/>
    <n v="4"/>
    <s v="California"/>
    <s v="Los Angeles County"/>
    <n v="2"/>
    <x v="12"/>
    <s v="Male"/>
  </r>
  <r>
    <s v="TX502334"/>
    <s v="Sandals"/>
    <n v="3"/>
    <n v="36.6"/>
    <n v="109.80000000000001"/>
    <x v="85"/>
    <d v="2025-03-29T00:00:00"/>
    <x v="2"/>
    <x v="4"/>
    <n v="4"/>
    <s v="California"/>
    <s v="Los Angeles County"/>
    <n v="2"/>
    <x v="12"/>
    <s v="Female"/>
  </r>
  <r>
    <s v="TX502335"/>
    <s v="Tote Bags"/>
    <n v="1"/>
    <n v="55.2"/>
    <n v="55.2"/>
    <x v="85"/>
    <d v="2025-03-29T00:00:00"/>
    <x v="1"/>
    <x v="3"/>
    <n v="4"/>
    <s v="California"/>
    <s v="Los Angeles County"/>
    <n v="2"/>
    <x v="12"/>
    <s v="Male"/>
  </r>
  <r>
    <s v="TX502336"/>
    <s v="Jeans"/>
    <n v="5"/>
    <n v="59.9"/>
    <n v="299.5"/>
    <x v="85"/>
    <d v="2025-03-29T00:00:00"/>
    <x v="1"/>
    <x v="0"/>
    <n v="4"/>
    <s v="California"/>
    <s v="Los Angeles County"/>
    <n v="2"/>
    <x v="12"/>
    <s v="Male"/>
  </r>
  <r>
    <s v="TX502337"/>
    <s v="Jeans"/>
    <n v="1"/>
    <n v="44"/>
    <n v="44"/>
    <x v="85"/>
    <d v="2025-03-28T00:00:00"/>
    <x v="2"/>
    <x v="2"/>
    <n v="5"/>
    <s v="California"/>
    <s v="Los Angeles County"/>
    <n v="1"/>
    <x v="12"/>
    <s v="Female"/>
  </r>
  <r>
    <s v="TX502338"/>
    <s v="Sundresses"/>
    <n v="2"/>
    <n v="68.7"/>
    <n v="137.4"/>
    <x v="85"/>
    <d v="2025-03-27T00:00:00"/>
    <x v="1"/>
    <x v="0"/>
    <n v="4"/>
    <s v="California"/>
    <s v="Los Angeles County"/>
    <n v="0"/>
    <x v="12"/>
    <s v="Male"/>
  </r>
  <r>
    <s v="TX502339"/>
    <s v="Sandals"/>
    <n v="2"/>
    <n v="61.6"/>
    <n v="123.2"/>
    <x v="85"/>
    <d v="2025-03-31T00:00:00"/>
    <x v="1"/>
    <x v="3"/>
    <n v="3"/>
    <s v="California"/>
    <s v="Los Angeles County"/>
    <n v="4"/>
    <x v="12"/>
    <s v="Male"/>
  </r>
  <r>
    <s v="TX502340"/>
    <s v="Hoodies &amp; Sweatshirts"/>
    <n v="7"/>
    <n v="51.8"/>
    <n v="362.59999999999997"/>
    <x v="85"/>
    <d v="2025-03-28T00:00:00"/>
    <x v="1"/>
    <x v="0"/>
    <n v="4"/>
    <s v="California"/>
    <s v="Los Angeles County"/>
    <n v="1"/>
    <x v="12"/>
    <s v="Male"/>
  </r>
  <r>
    <s v="TX502341"/>
    <s v="T-Shirts"/>
    <n v="10"/>
    <n v="46.2"/>
    <n v="462"/>
    <x v="85"/>
    <d v="2025-03-29T00:00:00"/>
    <x v="1"/>
    <x v="1"/>
    <n v="5"/>
    <s v="California"/>
    <s v="Los Angeles County"/>
    <n v="2"/>
    <x v="12"/>
    <s v="Male"/>
  </r>
  <r>
    <s v="TX502342"/>
    <s v="Shorts"/>
    <n v="2"/>
    <n v="19.399999999999999"/>
    <n v="38.799999999999997"/>
    <x v="85"/>
    <d v="2025-03-29T00:00:00"/>
    <x v="2"/>
    <x v="1"/>
    <n v="5"/>
    <s v="California"/>
    <s v="Sacramento County"/>
    <n v="2"/>
    <x v="12"/>
    <s v="Female"/>
  </r>
  <r>
    <s v="TX502343"/>
    <s v="Maxi Dresses"/>
    <n v="3"/>
    <n v="52.1"/>
    <n v="156.30000000000001"/>
    <x v="85"/>
    <d v="2025-03-30T00:00:00"/>
    <x v="1"/>
    <x v="3"/>
    <n v="1"/>
    <s v="California"/>
    <s v="Sacramento County"/>
    <n v="3"/>
    <x v="12"/>
    <s v="Male"/>
  </r>
  <r>
    <s v="TX502344"/>
    <s v="Jeans"/>
    <n v="1"/>
    <n v="74.900000000000006"/>
    <n v="74.900000000000006"/>
    <x v="85"/>
    <d v="2025-03-29T00:00:00"/>
    <x v="3"/>
    <x v="0"/>
    <n v="4"/>
    <s v="California"/>
    <s v="San Bernardino County"/>
    <n v="2"/>
    <x v="12"/>
    <s v="Other"/>
  </r>
  <r>
    <s v="TX502345"/>
    <s v="Sundresses"/>
    <n v="7"/>
    <n v="49.6"/>
    <n v="347.2"/>
    <x v="85"/>
    <d v="2025-03-30T00:00:00"/>
    <x v="2"/>
    <x v="4"/>
    <n v="4"/>
    <s v="California"/>
    <s v="San Diego County"/>
    <n v="3"/>
    <x v="12"/>
    <s v="Female"/>
  </r>
  <r>
    <s v="TX502346"/>
    <s v="Sunglasses"/>
    <n v="4"/>
    <n v="82.8"/>
    <n v="331.2"/>
    <x v="86"/>
    <d v="2025-03-31T00:00:00"/>
    <x v="2"/>
    <x v="4"/>
    <n v="4"/>
    <s v="California"/>
    <s v="San Diego County"/>
    <n v="3"/>
    <x v="12"/>
    <s v="Female"/>
  </r>
  <r>
    <s v="TX502347"/>
    <s v="Sneakers"/>
    <n v="1"/>
    <n v="97.7"/>
    <n v="97.7"/>
    <x v="86"/>
    <d v="2025-03-29T00:00:00"/>
    <x v="2"/>
    <x v="1"/>
    <n v="4"/>
    <s v="California"/>
    <s v="San Diego County"/>
    <n v="1"/>
    <x v="12"/>
    <s v="Female"/>
  </r>
  <r>
    <s v="TX502348"/>
    <s v="Jeans"/>
    <n v="5"/>
    <n v="83.6"/>
    <n v="418"/>
    <x v="86"/>
    <d v="2025-03-29T00:00:00"/>
    <x v="2"/>
    <x v="4"/>
    <n v="4"/>
    <s v="California"/>
    <s v="San Diego County"/>
    <n v="1"/>
    <x v="12"/>
    <s v="Female"/>
  </r>
  <r>
    <s v="TX502349"/>
    <s v="T-Shirts"/>
    <n v="5"/>
    <n v="23.5"/>
    <n v="117.5"/>
    <x v="86"/>
    <d v="2025-04-01T00:00:00"/>
    <x v="3"/>
    <x v="0"/>
    <n v="4"/>
    <s v="California"/>
    <s v="San Diego County"/>
    <n v="4"/>
    <x v="12"/>
    <s v="Other"/>
  </r>
  <r>
    <s v="TX502350"/>
    <s v="Sundresses"/>
    <n v="3"/>
    <n v="44.6"/>
    <n v="133.80000000000001"/>
    <x v="86"/>
    <d v="2025-03-31T00:00:00"/>
    <x v="2"/>
    <x v="4"/>
    <n v="3"/>
    <s v="California"/>
    <s v="San Joaquin County"/>
    <n v="3"/>
    <x v="12"/>
    <s v="Female"/>
  </r>
  <r>
    <s v="TX502351"/>
    <s v="Shorts"/>
    <n v="3"/>
    <n v="20.100000000000001"/>
    <n v="60.300000000000004"/>
    <x v="86"/>
    <d v="2025-03-30T00:00:00"/>
    <x v="2"/>
    <x v="3"/>
    <n v="2"/>
    <s v="California"/>
    <s v="Santa Clara County"/>
    <n v="2"/>
    <x v="12"/>
    <s v="Female"/>
  </r>
  <r>
    <s v="TX502352"/>
    <s v="Sneakers"/>
    <n v="5"/>
    <n v="153.6"/>
    <n v="768"/>
    <x v="86"/>
    <d v="2025-03-29T00:00:00"/>
    <x v="2"/>
    <x v="1"/>
    <n v="5"/>
    <s v="California"/>
    <s v="Shasta County"/>
    <n v="1"/>
    <x v="12"/>
    <s v="Female"/>
  </r>
  <r>
    <s v="TX502353"/>
    <s v="Tank Tops"/>
    <n v="2"/>
    <n v="71.8"/>
    <n v="143.6"/>
    <x v="86"/>
    <d v="2025-04-01T00:00:00"/>
    <x v="2"/>
    <x v="1"/>
    <n v="4"/>
    <s v="California"/>
    <s v="Contra Costa County"/>
    <n v="4"/>
    <x v="12"/>
    <s v="Female"/>
  </r>
  <r>
    <s v="TX502354"/>
    <s v="Bikinis"/>
    <n v="1"/>
    <n v="64.7"/>
    <n v="64.7"/>
    <x v="86"/>
    <d v="2025-03-30T00:00:00"/>
    <x v="0"/>
    <x v="0"/>
    <n v="3"/>
    <s v="California"/>
    <s v="Contra Costa County"/>
    <n v="2"/>
    <x v="12"/>
    <s v="Unknown"/>
  </r>
  <r>
    <s v="TX502355"/>
    <s v="Sundresses"/>
    <n v="8"/>
    <n v="60.4"/>
    <n v="483.2"/>
    <x v="86"/>
    <d v="2025-03-30T00:00:00"/>
    <x v="2"/>
    <x v="3"/>
    <n v="5"/>
    <s v="California"/>
    <s v="Fresno County"/>
    <n v="2"/>
    <x v="12"/>
    <s v="Female"/>
  </r>
  <r>
    <s v="TX502356"/>
    <s v="Jeans"/>
    <n v="4"/>
    <n v="86"/>
    <n v="344"/>
    <x v="86"/>
    <d v="2025-03-31T00:00:00"/>
    <x v="2"/>
    <x v="2"/>
    <n v="5"/>
    <s v="California"/>
    <s v="Kern County"/>
    <n v="3"/>
    <x v="12"/>
    <s v="Female"/>
  </r>
  <r>
    <s v="TX502357"/>
    <s v="Casual Dresses"/>
    <n v="2"/>
    <n v="42.1"/>
    <n v="84.2"/>
    <x v="86"/>
    <d v="2025-03-29T00:00:00"/>
    <x v="2"/>
    <x v="4"/>
    <n v="3"/>
    <s v="California"/>
    <s v="Kings County"/>
    <n v="1"/>
    <x v="12"/>
    <s v="Female"/>
  </r>
  <r>
    <s v="TX502358"/>
    <s v="Sunglasses"/>
    <n v="9"/>
    <n v="51.1"/>
    <n v="459.90000000000003"/>
    <x v="86"/>
    <d v="2025-03-29T00:00:00"/>
    <x v="1"/>
    <x v="2"/>
    <n v="3"/>
    <s v="California"/>
    <s v="Los Angeles County"/>
    <n v="1"/>
    <x v="12"/>
    <s v="Male"/>
  </r>
  <r>
    <s v="TX502359"/>
    <s v="Sundresses"/>
    <n v="4"/>
    <n v="73.8"/>
    <n v="295.2"/>
    <x v="86"/>
    <d v="2025-03-29T00:00:00"/>
    <x v="1"/>
    <x v="4"/>
    <n v="4"/>
    <s v="California"/>
    <s v="Los Angeles County"/>
    <n v="1"/>
    <x v="12"/>
    <s v="Male"/>
  </r>
  <r>
    <s v="TX502360"/>
    <s v="T-Shirts"/>
    <n v="5"/>
    <n v="27"/>
    <n v="135"/>
    <x v="86"/>
    <d v="2025-03-31T00:00:00"/>
    <x v="2"/>
    <x v="2"/>
    <n v="5"/>
    <s v="California"/>
    <s v="Los Angeles County"/>
    <n v="3"/>
    <x v="12"/>
    <s v="Female"/>
  </r>
  <r>
    <s v="TX502361"/>
    <s v="T-Shirts"/>
    <n v="6"/>
    <n v="60.1"/>
    <n v="360.6"/>
    <x v="86"/>
    <d v="2025-03-29T00:00:00"/>
    <x v="1"/>
    <x v="3"/>
    <n v="4"/>
    <s v="California"/>
    <s v="Los Angeles County"/>
    <n v="1"/>
    <x v="12"/>
    <s v="Male"/>
  </r>
  <r>
    <s v="TX502362"/>
    <s v="Sneakers"/>
    <n v="7"/>
    <n v="94.1"/>
    <n v="658.69999999999993"/>
    <x v="86"/>
    <d v="2025-03-30T00:00:00"/>
    <x v="2"/>
    <x v="4"/>
    <n v="3"/>
    <s v="California"/>
    <s v="Los Angeles County"/>
    <n v="2"/>
    <x v="12"/>
    <s v="Female"/>
  </r>
  <r>
    <s v="TX502363"/>
    <s v="Sneakers"/>
    <n v="2"/>
    <n v="124.1"/>
    <n v="248.2"/>
    <x v="86"/>
    <d v="2025-03-28T00:00:00"/>
    <x v="2"/>
    <x v="2"/>
    <n v="1"/>
    <s v="California"/>
    <s v="Marin County"/>
    <n v="0"/>
    <x v="12"/>
    <s v="Female"/>
  </r>
  <r>
    <s v="TX502364"/>
    <s v="T-Shirts"/>
    <n v="4"/>
    <n v="16.899999999999999"/>
    <n v="67.599999999999994"/>
    <x v="86"/>
    <d v="2025-03-31T00:00:00"/>
    <x v="1"/>
    <x v="3"/>
    <n v="4"/>
    <s v="California"/>
    <s v="Sacramento County"/>
    <n v="3"/>
    <x v="12"/>
    <s v="Male"/>
  </r>
  <r>
    <s v="TX502365"/>
    <s v="Tank Tops"/>
    <n v="1"/>
    <n v="36.9"/>
    <n v="36.9"/>
    <x v="86"/>
    <d v="2025-03-29T00:00:00"/>
    <x v="1"/>
    <x v="0"/>
    <n v="4"/>
    <s v="California"/>
    <s v="Sacramento County"/>
    <n v="1"/>
    <x v="12"/>
    <s v="Male"/>
  </r>
  <r>
    <s v="TX502366"/>
    <s v="Sundresses"/>
    <n v="2"/>
    <n v="22.6"/>
    <n v="45.2"/>
    <x v="86"/>
    <d v="2025-04-10T00:00:00"/>
    <x v="2"/>
    <x v="2"/>
    <n v="3"/>
    <s v="California"/>
    <s v="San Diego County"/>
    <n v="13"/>
    <x v="12"/>
    <s v="Female"/>
  </r>
  <r>
    <s v="TX502367"/>
    <s v="Hoodies &amp; Sweatshirts"/>
    <n v="4"/>
    <n v="35"/>
    <n v="140"/>
    <x v="86"/>
    <d v="2025-04-02T00:00:00"/>
    <x v="1"/>
    <x v="3"/>
    <n v="3"/>
    <s v="California"/>
    <s v="San Diego County"/>
    <n v="5"/>
    <x v="12"/>
    <s v="Male"/>
  </r>
  <r>
    <s v="TX502368"/>
    <s v="Sundresses"/>
    <n v="6"/>
    <n v="63.6"/>
    <n v="381.6"/>
    <x v="86"/>
    <d v="2025-04-04T00:00:00"/>
    <x v="0"/>
    <x v="1"/>
    <n v="5"/>
    <s v="California"/>
    <s v="San Diego County"/>
    <n v="7"/>
    <x v="12"/>
    <s v="Unknown"/>
  </r>
  <r>
    <s v="TX502369"/>
    <s v="Crop Tops"/>
    <n v="4"/>
    <n v="78.599999999999994"/>
    <n v="314.39999999999998"/>
    <x v="86"/>
    <d v="2025-03-29T00:00:00"/>
    <x v="1"/>
    <x v="4"/>
    <n v="3"/>
    <s v="California"/>
    <s v="San Diego County"/>
    <n v="1"/>
    <x v="12"/>
    <s v="Male"/>
  </r>
  <r>
    <s v="TX502370"/>
    <s v="Workout Tops"/>
    <n v="2"/>
    <n v="38.5"/>
    <n v="77"/>
    <x v="86"/>
    <d v="2025-03-29T00:00:00"/>
    <x v="1"/>
    <x v="0"/>
    <n v="5"/>
    <s v="California"/>
    <s v="San Diego County"/>
    <n v="1"/>
    <x v="12"/>
    <s v="Male"/>
  </r>
  <r>
    <s v="TX502371"/>
    <s v="T-Shirts"/>
    <n v="11"/>
    <n v="71.5"/>
    <n v="786.5"/>
    <x v="86"/>
    <d v="2025-03-29T00:00:00"/>
    <x v="2"/>
    <x v="1"/>
    <n v="2"/>
    <s v="California"/>
    <s v="San Diego County"/>
    <n v="1"/>
    <x v="12"/>
    <s v="Female"/>
  </r>
  <r>
    <s v="TX502372"/>
    <s v="Jeans"/>
    <n v="4"/>
    <n v="121.4"/>
    <n v="485.6"/>
    <x v="86"/>
    <d v="2025-04-01T00:00:00"/>
    <x v="1"/>
    <x v="1"/>
    <n v="5"/>
    <s v="California"/>
    <s v="San Francisco"/>
    <n v="4"/>
    <x v="12"/>
    <s v="Male"/>
  </r>
  <r>
    <s v="TX502373"/>
    <s v="Maxi Dresses"/>
    <n v="1"/>
    <n v="40.200000000000003"/>
    <n v="40.200000000000003"/>
    <x v="86"/>
    <d v="2025-03-31T00:00:00"/>
    <x v="2"/>
    <x v="0"/>
    <n v="5"/>
    <s v="California"/>
    <s v="Santa Clara County"/>
    <n v="3"/>
    <x v="12"/>
    <s v="Female"/>
  </r>
  <r>
    <s v="TX502374"/>
    <s v="Sandals"/>
    <n v="5"/>
    <n v="31.9"/>
    <n v="159.5"/>
    <x v="86"/>
    <d v="2025-03-30T00:00:00"/>
    <x v="2"/>
    <x v="2"/>
    <n v="5"/>
    <s v="California"/>
    <s v="Yolo County"/>
    <n v="2"/>
    <x v="12"/>
    <s v="Female"/>
  </r>
  <r>
    <s v="TX502375"/>
    <s v="Baseball Caps"/>
    <n v="5"/>
    <n v="15.8"/>
    <n v="79"/>
    <x v="87"/>
    <d v="2025-03-30T00:00:00"/>
    <x v="1"/>
    <x v="3"/>
    <n v="5"/>
    <s v="California"/>
    <s v="Alameda County"/>
    <n v="1"/>
    <x v="12"/>
    <s v="Male"/>
  </r>
  <r>
    <s v="TX502376"/>
    <s v="Bikinis"/>
    <n v="2"/>
    <n v="25.1"/>
    <n v="50.2"/>
    <x v="87"/>
    <d v="2025-03-31T00:00:00"/>
    <x v="0"/>
    <x v="1"/>
    <n v="4"/>
    <s v="California"/>
    <s v="Alameda County"/>
    <n v="2"/>
    <x v="12"/>
    <s v="Unknown"/>
  </r>
  <r>
    <s v="TX502377"/>
    <s v="Tank Tops"/>
    <n v="23"/>
    <n v="38.1"/>
    <n v="876.30000000000007"/>
    <x v="87"/>
    <d v="2025-03-30T00:00:00"/>
    <x v="2"/>
    <x v="4"/>
    <n v="4"/>
    <s v="California"/>
    <s v="Contra Costa County"/>
    <n v="1"/>
    <x v="12"/>
    <s v="Female"/>
  </r>
  <r>
    <s v="TX502378"/>
    <s v="Workout Tops"/>
    <n v="2"/>
    <n v="42.2"/>
    <n v="84.4"/>
    <x v="87"/>
    <d v="2025-03-31T00:00:00"/>
    <x v="2"/>
    <x v="0"/>
    <n v="5"/>
    <s v="California"/>
    <s v="Contra Costa County"/>
    <n v="2"/>
    <x v="12"/>
    <s v="Female"/>
  </r>
  <r>
    <s v="TX502379"/>
    <s v="Shorts"/>
    <n v="10"/>
    <n v="12.3"/>
    <n v="123"/>
    <x v="87"/>
    <d v="2025-03-30T00:00:00"/>
    <x v="2"/>
    <x v="4"/>
    <n v="4"/>
    <s v="California"/>
    <s v="Fresno County"/>
    <n v="1"/>
    <x v="12"/>
    <s v="Female"/>
  </r>
  <r>
    <s v="TX502380"/>
    <s v="Hoodies &amp; Sweatshirts"/>
    <n v="1"/>
    <n v="30.2"/>
    <n v="30.2"/>
    <x v="87"/>
    <d v="2025-03-31T00:00:00"/>
    <x v="2"/>
    <x v="1"/>
    <n v="5"/>
    <s v="California"/>
    <s v="Kings County"/>
    <n v="2"/>
    <x v="12"/>
    <s v="Female"/>
  </r>
  <r>
    <s v="TX502381"/>
    <s v="Sandals"/>
    <n v="3"/>
    <n v="25.3"/>
    <n v="75.900000000000006"/>
    <x v="87"/>
    <d v="2025-04-01T00:00:00"/>
    <x v="2"/>
    <x v="2"/>
    <n v="4"/>
    <s v="California"/>
    <s v="Los Angeles County"/>
    <n v="3"/>
    <x v="12"/>
    <s v="Female"/>
  </r>
  <r>
    <s v="TX502382"/>
    <s v="T-Shirts"/>
    <n v="5"/>
    <n v="29.7"/>
    <n v="148.5"/>
    <x v="87"/>
    <d v="2025-03-31T00:00:00"/>
    <x v="1"/>
    <x v="3"/>
    <n v="4"/>
    <s v="California"/>
    <s v="Los Angeles County"/>
    <n v="2"/>
    <x v="12"/>
    <s v="Male"/>
  </r>
  <r>
    <s v="TX502383"/>
    <s v="Sundresses"/>
    <n v="8"/>
    <n v="32.9"/>
    <n v="263.2"/>
    <x v="87"/>
    <d v="2025-03-30T00:00:00"/>
    <x v="0"/>
    <x v="3"/>
    <n v="5"/>
    <s v="California"/>
    <s v="Los Angeles County"/>
    <n v="1"/>
    <x v="12"/>
    <s v="Unknown"/>
  </r>
  <r>
    <s v="TX502384"/>
    <s v="Bikinis"/>
    <n v="2"/>
    <n v="43.6"/>
    <n v="87.2"/>
    <x v="87"/>
    <d v="2025-03-30T00:00:00"/>
    <x v="1"/>
    <x v="1"/>
    <n v="5"/>
    <s v="California"/>
    <s v="Los Angeles County"/>
    <n v="1"/>
    <x v="12"/>
    <s v="Male"/>
  </r>
  <r>
    <s v="TX502385"/>
    <s v="Crop Tops"/>
    <n v="4"/>
    <n v="78.400000000000006"/>
    <n v="313.60000000000002"/>
    <x v="87"/>
    <d v="2025-03-30T00:00:00"/>
    <x v="1"/>
    <x v="2"/>
    <n v="4"/>
    <s v="California"/>
    <s v="Los Angeles County"/>
    <n v="1"/>
    <x v="12"/>
    <s v="Male"/>
  </r>
  <r>
    <s v="TX502386"/>
    <s v="Jeans"/>
    <n v="2"/>
    <n v="56.5"/>
    <n v="113"/>
    <x v="87"/>
    <d v="2025-04-02T00:00:00"/>
    <x v="1"/>
    <x v="1"/>
    <n v="3"/>
    <s v="California"/>
    <s v="Los Angeles County"/>
    <n v="4"/>
    <x v="12"/>
    <s v="Male"/>
  </r>
  <r>
    <s v="TX502387"/>
    <s v="Sunglasses"/>
    <n v="1"/>
    <n v="36.700000000000003"/>
    <n v="36.700000000000003"/>
    <x v="87"/>
    <d v="2025-03-30T00:00:00"/>
    <x v="2"/>
    <x v="0"/>
    <n v="5"/>
    <s v="California"/>
    <s v="Los Angeles County"/>
    <n v="1"/>
    <x v="12"/>
    <s v="Female"/>
  </r>
  <r>
    <s v="TX502388"/>
    <s v="Sneakers"/>
    <n v="4"/>
    <n v="103.6"/>
    <n v="414.4"/>
    <x v="87"/>
    <d v="2025-04-09T00:00:00"/>
    <x v="1"/>
    <x v="4"/>
    <n v="5"/>
    <s v="California"/>
    <s v="Los Angeles County"/>
    <n v="11"/>
    <x v="12"/>
    <s v="Male"/>
  </r>
  <r>
    <s v="TX502389"/>
    <s v="T-Shirts"/>
    <n v="6"/>
    <n v="16.2"/>
    <n v="97.199999999999989"/>
    <x v="87"/>
    <d v="2025-04-02T00:00:00"/>
    <x v="1"/>
    <x v="1"/>
    <n v="5"/>
    <s v="California"/>
    <s v="Sacramento County"/>
    <n v="4"/>
    <x v="12"/>
    <s v="Male"/>
  </r>
  <r>
    <s v="TX502390"/>
    <s v="T-Shirts"/>
    <n v="2"/>
    <n v="20.2"/>
    <n v="40.4"/>
    <x v="87"/>
    <d v="2025-03-30T00:00:00"/>
    <x v="2"/>
    <x v="0"/>
    <n v="4"/>
    <s v="California"/>
    <s v="Sacramento County"/>
    <n v="1"/>
    <x v="12"/>
    <s v="Female"/>
  </r>
  <r>
    <s v="TX502391"/>
    <s v="Maxi Dresses"/>
    <n v="2"/>
    <n v="26.9"/>
    <n v="53.8"/>
    <x v="87"/>
    <d v="2025-03-31T00:00:00"/>
    <x v="2"/>
    <x v="2"/>
    <n v="4"/>
    <s v="California"/>
    <s v="Sacramento County"/>
    <n v="2"/>
    <x v="12"/>
    <s v="Female"/>
  </r>
  <r>
    <s v="TX502392"/>
    <s v="Tank Tops"/>
    <n v="2"/>
    <n v="82.4"/>
    <n v="164.8"/>
    <x v="87"/>
    <d v="2025-04-01T00:00:00"/>
    <x v="0"/>
    <x v="0"/>
    <n v="4"/>
    <s v="California"/>
    <s v="San Bernardino County"/>
    <n v="3"/>
    <x v="12"/>
    <s v="Unknown"/>
  </r>
  <r>
    <s v="TX502393"/>
    <s v="Sneakers"/>
    <n v="2"/>
    <n v="117.8"/>
    <n v="235.6"/>
    <x v="87"/>
    <d v="2025-03-31T00:00:00"/>
    <x v="1"/>
    <x v="1"/>
    <n v="5"/>
    <s v="California"/>
    <s v="San Diego County"/>
    <n v="2"/>
    <x v="12"/>
    <s v="Male"/>
  </r>
  <r>
    <s v="TX502394"/>
    <s v="Maxi Dresses"/>
    <n v="4"/>
    <n v="36.700000000000003"/>
    <n v="146.80000000000001"/>
    <x v="87"/>
    <d v="2025-03-30T00:00:00"/>
    <x v="1"/>
    <x v="1"/>
    <n v="4"/>
    <s v="California"/>
    <s v="San Diego County"/>
    <n v="1"/>
    <x v="12"/>
    <s v="Male"/>
  </r>
  <r>
    <s v="TX502395"/>
    <s v="Pajama Sets"/>
    <n v="3"/>
    <n v="46.8"/>
    <n v="140.39999999999998"/>
    <x v="87"/>
    <d v="2025-03-30T00:00:00"/>
    <x v="1"/>
    <x v="4"/>
    <n v="5"/>
    <s v="California"/>
    <s v="Santa Barbara County"/>
    <n v="1"/>
    <x v="12"/>
    <s v="Male"/>
  </r>
  <r>
    <s v="TX502396"/>
    <s v="Workout Tops"/>
    <n v="1"/>
    <n v="61.4"/>
    <n v="61.4"/>
    <x v="87"/>
    <d v="2025-03-30T00:00:00"/>
    <x v="1"/>
    <x v="1"/>
    <n v="4"/>
    <s v="California"/>
    <s v="Santa Barbara County"/>
    <n v="1"/>
    <x v="12"/>
    <s v="Male"/>
  </r>
  <r>
    <s v="TX502397"/>
    <s v="Crop Tops"/>
    <n v="2"/>
    <n v="22.9"/>
    <n v="45.8"/>
    <x v="87"/>
    <d v="2025-03-30T00:00:00"/>
    <x v="1"/>
    <x v="0"/>
    <n v="4"/>
    <s v="California"/>
    <s v="Santa Clara County"/>
    <n v="1"/>
    <x v="12"/>
    <s v="Male"/>
  </r>
  <r>
    <s v="TX502398"/>
    <s v="Bikinis"/>
    <n v="2"/>
    <n v="22.1"/>
    <n v="44.2"/>
    <x v="87"/>
    <d v="2025-03-30T00:00:00"/>
    <x v="2"/>
    <x v="4"/>
    <n v="4"/>
    <s v="California"/>
    <s v="Santa Clara County"/>
    <n v="1"/>
    <x v="12"/>
    <s v="Female"/>
  </r>
  <r>
    <s v="TX502399"/>
    <s v="Casual Dresses"/>
    <n v="2"/>
    <n v="31"/>
    <n v="62"/>
    <x v="87"/>
    <d v="2025-03-31T00:00:00"/>
    <x v="2"/>
    <x v="2"/>
    <n v="4"/>
    <s v="California"/>
    <s v="Sonoma County"/>
    <n v="2"/>
    <x v="12"/>
    <s v="Female"/>
  </r>
  <r>
    <s v="TX502400"/>
    <s v="Leggings"/>
    <n v="2"/>
    <n v="84.2"/>
    <n v="168.4"/>
    <x v="87"/>
    <d v="2025-03-31T00:00:00"/>
    <x v="1"/>
    <x v="2"/>
    <n v="5"/>
    <s v="California"/>
    <s v="Ventura County"/>
    <n v="2"/>
    <x v="12"/>
    <s v="Male"/>
  </r>
  <r>
    <m/>
    <m/>
    <m/>
    <m/>
    <m/>
    <x v="88"/>
    <m/>
    <x v="4"/>
    <x v="5"/>
    <m/>
    <m/>
    <m/>
    <m/>
    <x v="1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37833-6AC2-4FA7-8495-D2EB99B07613}" name="pivot su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9:C23" firstHeaderRow="0" firstDataRow="1" firstDataCol="1"/>
  <pivotFields count="15">
    <pivotField showAll="0"/>
    <pivotField showAll="0"/>
    <pivotField dataField="1" showAll="0"/>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showAll="0">
      <items count="7">
        <item x="0"/>
        <item x="3"/>
        <item x="4"/>
        <item x="2"/>
        <item x="1"/>
        <item x="5"/>
        <item t="default"/>
      </items>
    </pivotField>
    <pivotField showAll="0"/>
    <pivotField showAll="0"/>
    <pivotField showAll="0"/>
    <pivotField showAll="0"/>
    <pivotField axis="axisRow" showAll="0">
      <items count="15">
        <item x="0"/>
        <item x="1"/>
        <item x="2"/>
        <item x="3"/>
        <item x="4"/>
        <item x="5"/>
        <item x="6"/>
        <item x="7"/>
        <item x="8"/>
        <item x="9"/>
        <item x="10"/>
        <item x="11"/>
        <item x="12"/>
        <item h="1" x="13"/>
        <item t="default"/>
      </items>
    </pivotField>
    <pivotField showAll="0"/>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1F1AC-E1FE-4989-9976-09200FB91B8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pivotField showAll="0"/>
    <pivotField dataField="1" showAll="0"/>
    <pivotField showAll="0"/>
    <pivotField dataField="1" showAll="0"/>
    <pivotField showAll="0"/>
    <pivotField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678C5-7673-4A32-A94D-E226D8D88A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2">
    <format dxfId="14">
      <pivotArea collapsedLevelsAreSubtotals="1" fieldPosition="0">
        <references count="1">
          <reference field="8" count="1">
            <x v="0"/>
          </reference>
        </references>
      </pivotArea>
    </format>
    <format dxfId="13">
      <pivotArea dataOnly="0" labelOnly="1" fieldPosition="0">
        <references count="1">
          <reference field="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623E7A-20D9-48D4-AA56-6C06210BCA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5">
        <item x="0"/>
        <item x="1"/>
        <item n="3 to 10" x="2"/>
        <item n="MORE THAN 10"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Count of TX ID"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C7CA0E-15B3-4C13-BCB6-856F3C52EF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J4:K9"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sortType="descending">
      <items count="5">
        <item x="3"/>
        <item x="1"/>
        <item x="2"/>
        <item x="0"/>
        <item t="default"/>
      </items>
    </pivotField>
    <pivotField showAll="0">
      <items count="6">
        <item x="0"/>
        <item x="3"/>
        <item x="4"/>
        <item x="2"/>
        <item x="1"/>
        <item t="default"/>
      </items>
    </pivotField>
    <pivotField showAll="0"/>
    <pivotField showAll="0"/>
    <pivotField showAll="0"/>
    <pivotField showAll="0"/>
    <pivotField showAll="0"/>
    <pivotField axis="axisRow" showAll="0" sortType="ascending">
      <items count="5">
        <item x="2"/>
        <item x="1"/>
        <item x="3"/>
        <item x="0"/>
        <item t="default"/>
      </items>
    </pivotField>
    <pivotField showAll="0" defaultSubtotal="0">
      <items count="4">
        <item x="0"/>
        <item x="1"/>
        <item x="2"/>
        <item x="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40" format="6" series="1">
      <pivotArea type="data" outline="0" fieldPosition="0">
        <references count="1">
          <reference field="4294967294" count="1" selected="0">
            <x v="0"/>
          </reference>
        </references>
      </pivotArea>
    </chartFormat>
    <chartFormat chart="40" format="7">
      <pivotArea type="data" outline="0" fieldPosition="0">
        <references count="2">
          <reference field="4294967294" count="1" selected="0">
            <x v="0"/>
          </reference>
          <reference field="14" count="1" selected="0">
            <x v="0"/>
          </reference>
        </references>
      </pivotArea>
    </chartFormat>
    <chartFormat chart="40" format="8">
      <pivotArea type="data" outline="0" fieldPosition="0">
        <references count="2">
          <reference field="4294967294" count="1" selected="0">
            <x v="0"/>
          </reference>
          <reference field="14" count="1" selected="0">
            <x v="1"/>
          </reference>
        </references>
      </pivotArea>
    </chartFormat>
    <chartFormat chart="40" format="9">
      <pivotArea type="data" outline="0" fieldPosition="0">
        <references count="2">
          <reference field="4294967294" count="1" selected="0">
            <x v="0"/>
          </reference>
          <reference field="14" count="1" selected="0">
            <x v="2"/>
          </reference>
        </references>
      </pivotArea>
    </chartFormat>
    <chartFormat chart="40"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1DA143-3291-466A-8084-9C8A778E0A1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4">
        <item x="0"/>
        <item x="1"/>
        <item x="2"/>
        <item x="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9F83F8-5065-4063-8DA5-06550AB4065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2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F5A255-4E15-4731-9B66-E2B30BED014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4">
        <item x="0"/>
        <item x="1"/>
        <item x="2"/>
        <item x="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4B6BED-4CF0-4B8C-9645-72297A1052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4">
        <item x="0"/>
        <item x="1"/>
        <item x="2"/>
        <item x="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n="JAN" sd="0" x="1"/>
        <item n="FEB" sd="0" x="2"/>
        <item n="MAR"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4" format="0" series="1">
      <pivotArea type="data" outline="0" fieldPosition="0">
        <references count="2">
          <reference field="4294967294" count="1" selected="0">
            <x v="0"/>
          </reference>
          <reference field="17" count="1" selected="0">
            <x v="1"/>
          </reference>
        </references>
      </pivotArea>
    </chartFormat>
    <chartFormat chart="4" format="1" series="1">
      <pivotArea type="data" outline="0" fieldPosition="0">
        <references count="2">
          <reference field="4294967294" count="1" selected="0">
            <x v="0"/>
          </reference>
          <reference field="17" count="1" selected="0">
            <x v="2"/>
          </reference>
        </references>
      </pivotArea>
    </chartFormat>
    <chartFormat chart="4" format="2" series="1">
      <pivotArea type="data" outline="0" fieldPosition="0">
        <references count="2">
          <reference field="4294967294" count="1" selected="0">
            <x v="0"/>
          </reference>
          <reference field="17" count="1" selected="0">
            <x v="3"/>
          </reference>
        </references>
      </pivotArea>
    </chartFormat>
    <chartFormat chart="4" format="3" series="1">
      <pivotArea type="data" outline="0" fieldPosition="0">
        <references count="2">
          <reference field="4294967294" count="1" selected="0">
            <x v="0"/>
          </reference>
          <reference field="9" count="1" selected="0">
            <x v="3"/>
          </reference>
        </references>
      </pivotArea>
    </chartFormat>
    <chartFormat chart="4" format="4" series="1">
      <pivotArea type="data" outline="0" fieldPosition="0">
        <references count="2">
          <reference field="4294967294" count="1" selected="0">
            <x v="0"/>
          </reference>
          <reference field="9" count="1" selected="0">
            <x v="4"/>
          </reference>
        </references>
      </pivotArea>
    </chartFormat>
    <chartFormat chart="4" format="5" series="1">
      <pivotArea type="data" outline="0" fieldPosition="0">
        <references count="2">
          <reference field="4294967294" count="1" selected="0">
            <x v="0"/>
          </reference>
          <reference field="9" count="1" selected="0">
            <x v="0"/>
          </reference>
        </references>
      </pivotArea>
    </chartFormat>
    <chartFormat chart="4" format="6" series="1">
      <pivotArea type="data" outline="0" fieldPosition="0">
        <references count="2">
          <reference field="4294967294" count="1" selected="0">
            <x v="0"/>
          </reference>
          <reference field="9" count="1" selected="0">
            <x v="1"/>
          </reference>
        </references>
      </pivotArea>
    </chartFormat>
    <chartFormat chart="4" format="7" series="1">
      <pivotArea type="data" outline="0" fieldPosition="0">
        <references count="2">
          <reference field="4294967294" count="1" selected="0">
            <x v="0"/>
          </reference>
          <reference field="9" count="1" selected="0">
            <x v="2"/>
          </reference>
        </references>
      </pivotArea>
    </chartFormat>
    <chartFormat chart="6" format="13" series="1">
      <pivotArea type="data" outline="0" fieldPosition="0">
        <references count="2">
          <reference field="4294967294" count="1" selected="0">
            <x v="0"/>
          </reference>
          <reference field="9" count="1" selected="0">
            <x v="0"/>
          </reference>
        </references>
      </pivotArea>
    </chartFormat>
    <chartFormat chart="6" format="14" series="1">
      <pivotArea type="data" outline="0" fieldPosition="0">
        <references count="2">
          <reference field="4294967294" count="1" selected="0">
            <x v="0"/>
          </reference>
          <reference field="9" count="1" selected="0">
            <x v="1"/>
          </reference>
        </references>
      </pivotArea>
    </chartFormat>
    <chartFormat chart="6" format="15" series="1">
      <pivotArea type="data" outline="0" fieldPosition="0">
        <references count="2">
          <reference field="4294967294" count="1" selected="0">
            <x v="0"/>
          </reference>
          <reference field="9" count="1" selected="0">
            <x v="2"/>
          </reference>
        </references>
      </pivotArea>
    </chartFormat>
    <chartFormat chart="6" format="16" series="1">
      <pivotArea type="data" outline="0" fieldPosition="0">
        <references count="2">
          <reference field="4294967294" count="1" selected="0">
            <x v="0"/>
          </reference>
          <reference field="9" count="1" selected="0">
            <x v="3"/>
          </reference>
        </references>
      </pivotArea>
    </chartFormat>
    <chartFormat chart="6"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330BD36-9449-4413-BB43-743C623FE156}" sourceName="Order Mode">
  <pivotTables>
    <pivotTable tabId="12" name="PivotTable5"/>
    <pivotTable tabId="13" name="PivotTable7"/>
    <pivotTable tabId="17" name="PivotTable12"/>
    <pivotTable tabId="11" name="PivotTable4"/>
    <pivotTable tabId="12" name="PivotTable6"/>
    <pivotTable tabId="15" name="PivotTable10"/>
  </pivotTables>
  <data>
    <tabular pivotCacheId="19985104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26E7AF0-9D2B-42B3-9CAB-012C39857923}" sourceName="Gender Value">
  <pivotTables>
    <pivotTable tabId="17" name="PivotTable12"/>
    <pivotTable tabId="11" name="PivotTable4"/>
    <pivotTable tabId="12" name="PivotTable5"/>
    <pivotTable tabId="12" name="PivotTable6"/>
    <pivotTable tabId="15" name="PivotTable10"/>
    <pivotTable tabId="13" name="PivotTable7"/>
  </pivotTables>
  <data>
    <tabular pivotCacheId="199851049">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1" xr10:uid="{6338F9BB-B7C3-49A6-A6FB-9DDF85AD13CA}" sourceName="Order Mode">
  <pivotTables>
    <pivotTable tabId="5" name="pivot sum"/>
  </pivotTables>
  <data>
    <tabular pivotCacheId="881252690">
      <items count="6">
        <i x="0" s="1"/>
        <i x="3" s="1"/>
        <i x="4" s="1"/>
        <i x="2"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2B6DFA13-AE5A-426D-8445-E45C04A3A81C}" cache="Slicer_Order_Mode" caption="Order Mode" rowHeight="247650"/>
  <slicer name="Gender Value" xr10:uid="{9D1EA99D-4958-4F74-B811-D4E886F2904B}" cache="Slicer_Gender_Value" caption="Gender Value" rowHeight="247650"/>
  <slicer name="Order Mode 1" xr10:uid="{E51417A5-CB0B-45EF-9019-61FBD4168DEA}" cache="Slicer_Order_Mode1" caption="Order Mode"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071991-F96B-4455-A028-4D5BF6CA0D89}" name="Table2" displayName="Table2" ref="G2:O61" totalsRowShown="0" headerRowDxfId="12" tableBorderDxfId="11">
  <autoFilter ref="G2:O61" xr:uid="{D4071991-F96B-4455-A028-4D5BF6CA0D89}"/>
  <tableColumns count="9">
    <tableColumn id="1" xr3:uid="{C5162C17-BA31-49A0-9298-EEF2E6D57530}" name="Column1" dataDxfId="10"/>
    <tableColumn id="2" xr3:uid="{DBD5B9AF-3C1E-415B-9BDD-80ED87BCBA94}" name="Column2" dataDxfId="9"/>
    <tableColumn id="3" xr3:uid="{AECD684F-0719-4FAA-A6C1-5E6968CEF450}" name="Column3" dataDxfId="8"/>
    <tableColumn id="4" xr3:uid="{E2CE511E-5FDE-49C4-BF22-7D5B44A9A391}" name="Column4"/>
    <tableColumn id="5" xr3:uid="{74D9A01C-DD54-4B45-96AE-DEB5645B69C7}" name="Column5"/>
    <tableColumn id="6" xr3:uid="{B1089DDA-A805-4358-B6A6-DAB2801172B2}" name="Column6"/>
    <tableColumn id="7" xr3:uid="{40B9C0C5-1CD2-4B36-8E27-CAB7C1141C15}" name="Column7" dataDxfId="7"/>
    <tableColumn id="8" xr3:uid="{2268EC51-F458-4B16-A5C5-B4891DA44365}" name="Column8" dataDxfId="6"/>
    <tableColumn id="9" xr3:uid="{125C0931-5459-4C42-956F-FD5BF70A1A6D}" name="Column9"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Parcel">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23A6-8B5A-4342-B6BB-8D6976E601C1}">
  <dimension ref="A2:K23"/>
  <sheetViews>
    <sheetView workbookViewId="0">
      <selection activeCell="M20" sqref="M20"/>
    </sheetView>
  </sheetViews>
  <sheetFormatPr defaultRowHeight="18" x14ac:dyDescent="0.5"/>
  <cols>
    <col min="1" max="1" width="12.44140625" customWidth="1"/>
    <col min="2" max="2" width="14.21875" customWidth="1"/>
    <col min="3" max="3" width="13.5546875" customWidth="1"/>
    <col min="4" max="4" width="16.6640625" customWidth="1"/>
    <col min="5" max="5" width="22.33203125" customWidth="1"/>
  </cols>
  <sheetData>
    <row r="2" spans="1:11" x14ac:dyDescent="0.5">
      <c r="G2" t="s">
        <v>2510</v>
      </c>
    </row>
    <row r="3" spans="1:11" x14ac:dyDescent="0.5">
      <c r="A3" t="s">
        <v>2505</v>
      </c>
      <c r="B3" t="s">
        <v>2506</v>
      </c>
      <c r="C3" t="s">
        <v>2507</v>
      </c>
      <c r="D3" t="s">
        <v>2508</v>
      </c>
      <c r="E3" t="s">
        <v>2509</v>
      </c>
      <c r="G3" t="s">
        <v>2504</v>
      </c>
      <c r="H3" t="s">
        <v>2511</v>
      </c>
      <c r="I3" t="s">
        <v>4</v>
      </c>
      <c r="J3" t="s">
        <v>2503</v>
      </c>
      <c r="K3" t="s">
        <v>2512</v>
      </c>
    </row>
    <row r="4" spans="1:11" x14ac:dyDescent="0.5">
      <c r="A4">
        <v>2400</v>
      </c>
      <c r="B4">
        <v>11997</v>
      </c>
      <c r="C4">
        <v>649019.80000000144</v>
      </c>
      <c r="D4">
        <v>3.9620833333333332</v>
      </c>
      <c r="E4">
        <v>2.3424999999999998</v>
      </c>
      <c r="G4" t="str">
        <f>TEXT(A4,"#,##")</f>
        <v>2,400</v>
      </c>
      <c r="H4" t="str">
        <f>TEXT(B4,"#,##")</f>
        <v>11,997</v>
      </c>
      <c r="I4" t="str">
        <f>TEXT(C4,"$#,##,.0k")</f>
        <v>$649.0k</v>
      </c>
      <c r="J4" t="str">
        <f>TEXT(D4,"0.0")</f>
        <v>4.0</v>
      </c>
      <c r="K4" t="str">
        <f>TEXT(E4,"0.0")</f>
        <v>2.3</v>
      </c>
    </row>
    <row r="8" spans="1:11" x14ac:dyDescent="0.5">
      <c r="A8" t="s">
        <v>2513</v>
      </c>
    </row>
    <row r="9" spans="1:11" x14ac:dyDescent="0.5">
      <c r="A9" s="5" t="s">
        <v>2514</v>
      </c>
      <c r="B9" t="s">
        <v>2506</v>
      </c>
      <c r="C9" t="s">
        <v>2507</v>
      </c>
    </row>
    <row r="10" spans="1:11" x14ac:dyDescent="0.5">
      <c r="A10" s="6">
        <v>1</v>
      </c>
      <c r="B10">
        <v>546</v>
      </c>
      <c r="C10" s="7">
        <v>32413.300000000003</v>
      </c>
    </row>
    <row r="11" spans="1:11" x14ac:dyDescent="0.5">
      <c r="A11" s="6">
        <v>2</v>
      </c>
      <c r="B11">
        <v>905</v>
      </c>
      <c r="C11" s="7">
        <v>49562.999999999993</v>
      </c>
    </row>
    <row r="12" spans="1:11" x14ac:dyDescent="0.5">
      <c r="A12" s="6">
        <v>3</v>
      </c>
      <c r="B12">
        <v>796</v>
      </c>
      <c r="C12" s="7">
        <v>41700.400000000016</v>
      </c>
    </row>
    <row r="13" spans="1:11" x14ac:dyDescent="0.5">
      <c r="A13" s="6">
        <v>4</v>
      </c>
      <c r="B13">
        <v>913</v>
      </c>
      <c r="C13" s="7">
        <v>46782.599999999984</v>
      </c>
    </row>
    <row r="14" spans="1:11" x14ac:dyDescent="0.5">
      <c r="A14" s="6">
        <v>5</v>
      </c>
      <c r="B14">
        <v>844</v>
      </c>
      <c r="C14" s="7">
        <v>42676.100000000006</v>
      </c>
    </row>
    <row r="15" spans="1:11" x14ac:dyDescent="0.5">
      <c r="A15" s="6">
        <v>6</v>
      </c>
      <c r="B15">
        <v>1202</v>
      </c>
      <c r="C15" s="7">
        <v>62910.7</v>
      </c>
    </row>
    <row r="16" spans="1:11" x14ac:dyDescent="0.5">
      <c r="A16" s="6">
        <v>7</v>
      </c>
      <c r="B16">
        <v>935</v>
      </c>
      <c r="C16" s="7">
        <v>50332.200000000004</v>
      </c>
    </row>
    <row r="17" spans="1:3" x14ac:dyDescent="0.5">
      <c r="A17" s="6">
        <v>8</v>
      </c>
      <c r="B17">
        <v>1128</v>
      </c>
      <c r="C17" s="7">
        <v>58760.599999999977</v>
      </c>
    </row>
    <row r="18" spans="1:3" x14ac:dyDescent="0.5">
      <c r="A18" s="6">
        <v>9</v>
      </c>
      <c r="B18">
        <v>1007</v>
      </c>
      <c r="C18" s="7">
        <v>52017.299999999996</v>
      </c>
    </row>
    <row r="19" spans="1:3" x14ac:dyDescent="0.5">
      <c r="A19" s="6">
        <v>10</v>
      </c>
      <c r="B19">
        <v>1128</v>
      </c>
      <c r="C19" s="7">
        <v>64915.700000000033</v>
      </c>
    </row>
    <row r="20" spans="1:3" x14ac:dyDescent="0.5">
      <c r="A20" s="6">
        <v>11</v>
      </c>
      <c r="B20">
        <v>861</v>
      </c>
      <c r="C20" s="7">
        <v>45943.80000000001</v>
      </c>
    </row>
    <row r="21" spans="1:3" x14ac:dyDescent="0.5">
      <c r="A21" s="6">
        <v>12</v>
      </c>
      <c r="B21">
        <v>944</v>
      </c>
      <c r="C21" s="7">
        <v>55077.900000000031</v>
      </c>
    </row>
    <row r="22" spans="1:3" x14ac:dyDescent="0.5">
      <c r="A22" s="6">
        <v>13</v>
      </c>
      <c r="B22">
        <v>788</v>
      </c>
      <c r="C22" s="7">
        <v>45926.19999999999</v>
      </c>
    </row>
    <row r="23" spans="1:3" x14ac:dyDescent="0.5">
      <c r="A23" s="6" t="s">
        <v>2515</v>
      </c>
      <c r="B23">
        <v>11997</v>
      </c>
      <c r="C23" s="7">
        <v>649019.79999999993</v>
      </c>
    </row>
  </sheetData>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9679-1EA1-4B7F-A5AF-282AA2ABEBC4}">
  <dimension ref="A2:L16"/>
  <sheetViews>
    <sheetView workbookViewId="0">
      <selection activeCell="C16" sqref="C16"/>
    </sheetView>
  </sheetViews>
  <sheetFormatPr defaultRowHeight="18" x14ac:dyDescent="0.5"/>
  <cols>
    <col min="1" max="1" width="13.5546875" customWidth="1"/>
    <col min="2" max="2" width="15.5546875" customWidth="1"/>
    <col min="3" max="3" width="7.109375" customWidth="1"/>
    <col min="4" max="4" width="6.109375" customWidth="1"/>
    <col min="5" max="5" width="8.5546875" customWidth="1"/>
    <col min="6" max="6" width="10.5546875" customWidth="1"/>
    <col min="8" max="8" width="10.44140625" customWidth="1"/>
  </cols>
  <sheetData>
    <row r="2" spans="1:12" x14ac:dyDescent="0.5">
      <c r="H2" t="s">
        <v>2521</v>
      </c>
    </row>
    <row r="3" spans="1:12" x14ac:dyDescent="0.5">
      <c r="A3" s="5" t="s">
        <v>2507</v>
      </c>
      <c r="B3" s="5" t="s">
        <v>2516</v>
      </c>
    </row>
    <row r="4" spans="1:12" x14ac:dyDescent="0.5">
      <c r="A4" s="5" t="s">
        <v>2514</v>
      </c>
      <c r="B4" t="s">
        <v>2517</v>
      </c>
      <c r="C4" t="s">
        <v>2518</v>
      </c>
      <c r="D4" t="s">
        <v>2519</v>
      </c>
      <c r="E4" t="s">
        <v>2520</v>
      </c>
      <c r="F4" t="s">
        <v>2515</v>
      </c>
      <c r="H4" s="11"/>
      <c r="I4" s="11" t="str">
        <f>B4</f>
        <v>Female</v>
      </c>
      <c r="J4" s="11" t="str">
        <f>C4</f>
        <v>Male</v>
      </c>
      <c r="K4" s="11" t="str">
        <f>D4</f>
        <v>Other</v>
      </c>
      <c r="L4" s="11" t="str">
        <f>E4</f>
        <v>Unknown</v>
      </c>
    </row>
    <row r="5" spans="1:12" s="10" customFormat="1" x14ac:dyDescent="0.5">
      <c r="A5" s="20" t="s">
        <v>18</v>
      </c>
      <c r="B5" s="19">
        <v>0.18961825201634841</v>
      </c>
      <c r="C5" s="19">
        <v>0.12262322351336576</v>
      </c>
      <c r="D5" s="19">
        <v>1.060537752469185E-2</v>
      </c>
      <c r="E5" s="19">
        <v>3.0599220547662797E-2</v>
      </c>
      <c r="F5" s="19">
        <v>0.35344607360206881</v>
      </c>
      <c r="H5" s="11" t="str">
        <f>A5</f>
        <v>App</v>
      </c>
      <c r="I5" s="11">
        <f t="shared" ref="I5:L9" si="0">B5</f>
        <v>0.18961825201634841</v>
      </c>
      <c r="J5" s="11">
        <f t="shared" si="0"/>
        <v>0.12262322351336576</v>
      </c>
      <c r="K5" s="11">
        <f t="shared" si="0"/>
        <v>1.060537752469185E-2</v>
      </c>
      <c r="L5" s="11">
        <f t="shared" si="0"/>
        <v>3.0599220547662797E-2</v>
      </c>
    </row>
    <row r="6" spans="1:12" x14ac:dyDescent="0.5">
      <c r="A6" s="6" t="s">
        <v>51</v>
      </c>
      <c r="B6" s="8">
        <v>5.0283982091147303E-2</v>
      </c>
      <c r="C6" s="8">
        <v>4.3060781812819873E-2</v>
      </c>
      <c r="D6" s="8">
        <v>1.5320025675641944E-3</v>
      </c>
      <c r="E6" s="8">
        <v>1.7794988689097006E-2</v>
      </c>
      <c r="F6" s="8">
        <v>0.11267175516062837</v>
      </c>
      <c r="H6" s="11" t="str">
        <f>A6</f>
        <v>Instagram</v>
      </c>
      <c r="I6" s="11">
        <f t="shared" si="0"/>
        <v>5.0283982091147303E-2</v>
      </c>
      <c r="J6" s="11">
        <f t="shared" si="0"/>
        <v>4.3060781812819873E-2</v>
      </c>
      <c r="K6" s="11">
        <f t="shared" si="0"/>
        <v>1.5320025675641944E-3</v>
      </c>
      <c r="L6" s="11">
        <f t="shared" si="0"/>
        <v>1.7794988689097006E-2</v>
      </c>
    </row>
    <row r="7" spans="1:12" x14ac:dyDescent="0.5">
      <c r="A7" s="6" t="s">
        <v>70</v>
      </c>
      <c r="B7" s="8">
        <v>6.3496059750411282E-2</v>
      </c>
      <c r="C7" s="8">
        <v>4.6071629863988765E-2</v>
      </c>
      <c r="D7" s="8">
        <v>2.306247051322625E-3</v>
      </c>
      <c r="E7" s="8">
        <v>3.8927934093844286E-3</v>
      </c>
      <c r="F7" s="8">
        <v>0.11576673007510711</v>
      </c>
      <c r="H7" s="11" t="str">
        <f>A7</f>
        <v>Partner App</v>
      </c>
      <c r="I7" s="11">
        <f>B7</f>
        <v>6.3496059750411282E-2</v>
      </c>
      <c r="J7" s="11">
        <f>C7</f>
        <v>4.6071629863988765E-2</v>
      </c>
      <c r="K7" s="11">
        <f t="shared" si="0"/>
        <v>2.306247051322625E-3</v>
      </c>
      <c r="L7" s="11">
        <f t="shared" si="0"/>
        <v>3.8927934093844286E-3</v>
      </c>
    </row>
    <row r="8" spans="1:12" x14ac:dyDescent="0.5">
      <c r="A8" s="6" t="s">
        <v>40</v>
      </c>
      <c r="B8" s="8">
        <v>9.6337892927149532E-2</v>
      </c>
      <c r="C8" s="8">
        <v>6.7920115842382611E-2</v>
      </c>
      <c r="D8" s="8">
        <v>5.4979832664581261E-3</v>
      </c>
      <c r="E8" s="8">
        <v>1.2933041488102518E-2</v>
      </c>
      <c r="F8" s="8">
        <v>0.1826890335240928</v>
      </c>
      <c r="H8" s="11" t="str">
        <f>A8</f>
        <v>Target.com</v>
      </c>
      <c r="I8" s="11">
        <f t="shared" si="0"/>
        <v>9.6337892927149532E-2</v>
      </c>
      <c r="J8" s="11">
        <f t="shared" si="0"/>
        <v>6.7920115842382611E-2</v>
      </c>
      <c r="K8" s="11">
        <f t="shared" si="0"/>
        <v>5.4979832664581261E-3</v>
      </c>
      <c r="L8" s="11">
        <f t="shared" si="0"/>
        <v>1.2933041488102518E-2</v>
      </c>
    </row>
    <row r="9" spans="1:12" x14ac:dyDescent="0.5">
      <c r="A9" s="6" t="s">
        <v>35</v>
      </c>
      <c r="B9" s="8">
        <v>0.12522098709469262</v>
      </c>
      <c r="C9" s="8">
        <v>9.1492740283116228E-2</v>
      </c>
      <c r="D9" s="8">
        <v>6.3042760790965081E-3</v>
      </c>
      <c r="E9" s="8">
        <v>1.2408404181197551E-2</v>
      </c>
      <c r="F9" s="8">
        <v>0.23542640763810288</v>
      </c>
      <c r="H9" s="11" t="str">
        <f>A9</f>
        <v>Website</v>
      </c>
      <c r="I9" s="11">
        <f t="shared" si="0"/>
        <v>0.12522098709469262</v>
      </c>
      <c r="J9" s="11">
        <f t="shared" si="0"/>
        <v>9.1492740283116228E-2</v>
      </c>
      <c r="K9" s="11">
        <f t="shared" si="0"/>
        <v>6.3042760790965081E-3</v>
      </c>
      <c r="L9" s="11">
        <f t="shared" si="0"/>
        <v>1.2408404181197551E-2</v>
      </c>
    </row>
    <row r="10" spans="1:12" x14ac:dyDescent="0.5">
      <c r="A10" s="6" t="s">
        <v>2515</v>
      </c>
      <c r="B10" s="8">
        <v>0.52495717387974916</v>
      </c>
      <c r="C10" s="8">
        <v>0.3711684913156732</v>
      </c>
      <c r="D10" s="8">
        <v>2.6245886489133303E-2</v>
      </c>
      <c r="E10" s="8">
        <v>7.7628448315444312E-2</v>
      </c>
      <c r="F10" s="8">
        <v>1</v>
      </c>
      <c r="H10" s="9"/>
      <c r="I10" s="9"/>
      <c r="J10" s="9"/>
      <c r="K10" s="9"/>
      <c r="L10" s="9"/>
    </row>
    <row r="16" spans="1:12" x14ac:dyDescent="0.5">
      <c r="H16" s="10"/>
    </row>
  </sheetData>
  <conditionalFormatting sqref="H4:L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EA97-7EC7-406B-A846-CA2985CBC69C}">
  <dimension ref="A3:B8"/>
  <sheetViews>
    <sheetView workbookViewId="0">
      <selection activeCell="B4" sqref="B4"/>
    </sheetView>
  </sheetViews>
  <sheetFormatPr defaultRowHeight="18" x14ac:dyDescent="0.5"/>
  <cols>
    <col min="1" max="1" width="13.33203125" customWidth="1"/>
    <col min="2" max="2" width="12.21875" customWidth="1"/>
  </cols>
  <sheetData>
    <row r="3" spans="1:2" x14ac:dyDescent="0.5">
      <c r="A3" s="5" t="s">
        <v>2514</v>
      </c>
      <c r="B3" t="s">
        <v>2505</v>
      </c>
    </row>
    <row r="4" spans="1:2" x14ac:dyDescent="0.5">
      <c r="A4" s="6">
        <v>1</v>
      </c>
      <c r="B4">
        <v>397</v>
      </c>
    </row>
    <row r="5" spans="1:2" x14ac:dyDescent="0.5">
      <c r="A5" s="6">
        <v>2</v>
      </c>
      <c r="B5">
        <v>540</v>
      </c>
    </row>
    <row r="6" spans="1:2" x14ac:dyDescent="0.5">
      <c r="A6" s="6" t="s">
        <v>2523</v>
      </c>
      <c r="B6">
        <v>1401</v>
      </c>
    </row>
    <row r="7" spans="1:2" x14ac:dyDescent="0.5">
      <c r="A7" s="6" t="s">
        <v>2522</v>
      </c>
      <c r="B7">
        <v>62</v>
      </c>
    </row>
    <row r="8" spans="1:2" x14ac:dyDescent="0.5">
      <c r="A8" s="6" t="s">
        <v>2515</v>
      </c>
      <c r="B8">
        <v>2400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2A30-D576-4A28-8BE9-4E36ED6F7BD3}">
  <dimension ref="A3:K25"/>
  <sheetViews>
    <sheetView workbookViewId="0">
      <selection activeCell="C9" sqref="C9"/>
    </sheetView>
  </sheetViews>
  <sheetFormatPr defaultRowHeight="13.8" x14ac:dyDescent="0.5"/>
  <cols>
    <col min="1" max="1" width="19.109375" customWidth="1"/>
    <col min="2" max="2" width="15.5546875" customWidth="1"/>
    <col min="3" max="4" width="5" customWidth="1"/>
    <col min="5" max="5" width="4" customWidth="1"/>
    <col min="6" max="6" width="10.5546875" customWidth="1"/>
    <col min="10" max="10" width="12.44140625" customWidth="1"/>
    <col min="11" max="11" width="14.21875" customWidth="1"/>
    <col min="12" max="12" width="5" customWidth="1"/>
    <col min="13" max="13" width="5.44140625" customWidth="1"/>
    <col min="14" max="14" width="4.33203125" customWidth="1"/>
    <col min="15" max="15" width="11.6640625" customWidth="1"/>
  </cols>
  <sheetData>
    <row r="3" spans="1:11" ht="18" x14ac:dyDescent="0.5">
      <c r="A3" s="5" t="s">
        <v>2506</v>
      </c>
      <c r="B3" s="5" t="s">
        <v>2516</v>
      </c>
    </row>
    <row r="4" spans="1:11" ht="18" x14ac:dyDescent="0.5">
      <c r="A4" s="5" t="s">
        <v>2514</v>
      </c>
      <c r="C4" t="s">
        <v>27</v>
      </c>
      <c r="D4" t="s">
        <v>23</v>
      </c>
      <c r="E4" t="s">
        <v>89</v>
      </c>
      <c r="F4" t="s">
        <v>2515</v>
      </c>
      <c r="J4" s="5" t="s">
        <v>2514</v>
      </c>
      <c r="K4" t="s">
        <v>2506</v>
      </c>
    </row>
    <row r="5" spans="1:11" ht="18" x14ac:dyDescent="0.5">
      <c r="A5" s="6" t="s">
        <v>44</v>
      </c>
      <c r="B5">
        <v>98</v>
      </c>
      <c r="C5">
        <v>744</v>
      </c>
      <c r="D5">
        <v>713</v>
      </c>
      <c r="E5">
        <v>90</v>
      </c>
      <c r="F5">
        <v>1645</v>
      </c>
      <c r="J5" s="6" t="s">
        <v>2517</v>
      </c>
      <c r="K5">
        <v>6272</v>
      </c>
    </row>
    <row r="6" spans="1:11" ht="18" x14ac:dyDescent="0.5">
      <c r="A6" s="6" t="s">
        <v>39</v>
      </c>
      <c r="B6">
        <v>214</v>
      </c>
      <c r="C6">
        <v>716</v>
      </c>
      <c r="D6">
        <v>598</v>
      </c>
      <c r="E6">
        <v>18</v>
      </c>
      <c r="F6">
        <v>1546</v>
      </c>
      <c r="J6" s="6" t="s">
        <v>2518</v>
      </c>
      <c r="K6">
        <v>4672</v>
      </c>
    </row>
    <row r="7" spans="1:11" ht="18" x14ac:dyDescent="0.5">
      <c r="A7" s="6" t="s">
        <v>26</v>
      </c>
      <c r="B7">
        <v>137</v>
      </c>
      <c r="C7">
        <v>627</v>
      </c>
      <c r="D7">
        <v>393</v>
      </c>
      <c r="E7">
        <v>29</v>
      </c>
      <c r="F7">
        <v>1186</v>
      </c>
      <c r="J7" s="6" t="s">
        <v>2519</v>
      </c>
      <c r="K7">
        <v>317</v>
      </c>
    </row>
    <row r="8" spans="1:11" ht="18" x14ac:dyDescent="0.5">
      <c r="A8" s="6" t="s">
        <v>22</v>
      </c>
      <c r="B8">
        <v>16</v>
      </c>
      <c r="C8">
        <v>568</v>
      </c>
      <c r="D8">
        <v>306</v>
      </c>
      <c r="E8">
        <v>22</v>
      </c>
      <c r="F8">
        <v>912</v>
      </c>
      <c r="J8" s="6" t="s">
        <v>2520</v>
      </c>
      <c r="K8">
        <v>736</v>
      </c>
    </row>
    <row r="9" spans="1:11" ht="18" x14ac:dyDescent="0.5">
      <c r="A9" s="6" t="s">
        <v>54</v>
      </c>
      <c r="B9">
        <v>22</v>
      </c>
      <c r="C9">
        <v>482</v>
      </c>
      <c r="D9">
        <v>295</v>
      </c>
      <c r="E9">
        <v>8</v>
      </c>
      <c r="F9">
        <v>807</v>
      </c>
      <c r="J9" s="6" t="s">
        <v>2515</v>
      </c>
      <c r="K9">
        <v>11997</v>
      </c>
    </row>
    <row r="10" spans="1:11" ht="18" x14ac:dyDescent="0.5">
      <c r="A10" s="6" t="s">
        <v>16</v>
      </c>
      <c r="B10">
        <v>24</v>
      </c>
      <c r="C10">
        <v>428</v>
      </c>
      <c r="D10">
        <v>293</v>
      </c>
      <c r="F10">
        <v>745</v>
      </c>
    </row>
    <row r="11" spans="1:11" ht="18" x14ac:dyDescent="0.5">
      <c r="A11" s="6" t="s">
        <v>46</v>
      </c>
      <c r="B11">
        <v>39</v>
      </c>
      <c r="C11">
        <v>445</v>
      </c>
      <c r="D11">
        <v>202</v>
      </c>
      <c r="E11">
        <v>14</v>
      </c>
      <c r="F11">
        <v>700</v>
      </c>
    </row>
    <row r="12" spans="1:11" ht="18" x14ac:dyDescent="0.5">
      <c r="A12" s="6" t="s">
        <v>32</v>
      </c>
      <c r="B12">
        <v>15</v>
      </c>
      <c r="C12">
        <v>431</v>
      </c>
      <c r="D12">
        <v>187</v>
      </c>
      <c r="E12">
        <v>14</v>
      </c>
      <c r="F12">
        <v>647</v>
      </c>
    </row>
    <row r="13" spans="1:11" ht="18" x14ac:dyDescent="0.5">
      <c r="A13" s="6" t="s">
        <v>42</v>
      </c>
      <c r="B13">
        <v>9</v>
      </c>
      <c r="C13">
        <v>264</v>
      </c>
      <c r="D13">
        <v>318</v>
      </c>
      <c r="E13">
        <v>15</v>
      </c>
      <c r="F13">
        <v>606</v>
      </c>
    </row>
    <row r="14" spans="1:11" ht="18" x14ac:dyDescent="0.5">
      <c r="A14" s="6" t="s">
        <v>37</v>
      </c>
      <c r="B14">
        <v>23</v>
      </c>
      <c r="C14">
        <v>296</v>
      </c>
      <c r="D14">
        <v>275</v>
      </c>
      <c r="E14">
        <v>9</v>
      </c>
      <c r="F14">
        <v>603</v>
      </c>
    </row>
    <row r="15" spans="1:11" ht="18" x14ac:dyDescent="0.5">
      <c r="A15" s="6" t="s">
        <v>123</v>
      </c>
      <c r="B15">
        <v>8</v>
      </c>
      <c r="C15">
        <v>153</v>
      </c>
      <c r="D15">
        <v>246</v>
      </c>
      <c r="E15">
        <v>30</v>
      </c>
      <c r="F15">
        <v>437</v>
      </c>
    </row>
    <row r="16" spans="1:11" ht="18" x14ac:dyDescent="0.5">
      <c r="A16" s="6" t="s">
        <v>146</v>
      </c>
      <c r="B16">
        <v>31</v>
      </c>
      <c r="C16">
        <v>189</v>
      </c>
      <c r="D16">
        <v>168</v>
      </c>
      <c r="E16">
        <v>10</v>
      </c>
      <c r="F16">
        <v>398</v>
      </c>
    </row>
    <row r="17" spans="1:6" ht="18" x14ac:dyDescent="0.5">
      <c r="A17" s="6" t="s">
        <v>69</v>
      </c>
      <c r="B17">
        <v>24</v>
      </c>
      <c r="C17">
        <v>234</v>
      </c>
      <c r="D17">
        <v>93</v>
      </c>
      <c r="E17">
        <v>19</v>
      </c>
      <c r="F17">
        <v>370</v>
      </c>
    </row>
    <row r="18" spans="1:6" ht="18" x14ac:dyDescent="0.5">
      <c r="A18" s="6" t="s">
        <v>30</v>
      </c>
      <c r="B18">
        <v>28</v>
      </c>
      <c r="C18">
        <v>146</v>
      </c>
      <c r="D18">
        <v>94</v>
      </c>
      <c r="E18">
        <v>4</v>
      </c>
      <c r="F18">
        <v>272</v>
      </c>
    </row>
    <row r="19" spans="1:6" ht="18" x14ac:dyDescent="0.5">
      <c r="A19" s="6" t="s">
        <v>135</v>
      </c>
      <c r="B19">
        <v>12</v>
      </c>
      <c r="C19">
        <v>127</v>
      </c>
      <c r="D19">
        <v>118</v>
      </c>
      <c r="E19">
        <v>13</v>
      </c>
      <c r="F19">
        <v>270</v>
      </c>
    </row>
    <row r="20" spans="1:6" ht="18" x14ac:dyDescent="0.5">
      <c r="A20" s="6" t="s">
        <v>67</v>
      </c>
      <c r="C20">
        <v>179</v>
      </c>
      <c r="D20">
        <v>76</v>
      </c>
      <c r="E20">
        <v>3</v>
      </c>
      <c r="F20">
        <v>258</v>
      </c>
    </row>
    <row r="21" spans="1:6" ht="18" x14ac:dyDescent="0.5">
      <c r="A21" s="6" t="s">
        <v>128</v>
      </c>
      <c r="B21">
        <v>24</v>
      </c>
      <c r="C21">
        <v>99</v>
      </c>
      <c r="D21">
        <v>69</v>
      </c>
      <c r="E21">
        <v>3</v>
      </c>
      <c r="F21">
        <v>195</v>
      </c>
    </row>
    <row r="22" spans="1:6" ht="18" x14ac:dyDescent="0.5">
      <c r="A22" s="6" t="s">
        <v>76</v>
      </c>
      <c r="B22">
        <v>6</v>
      </c>
      <c r="C22">
        <v>75</v>
      </c>
      <c r="D22">
        <v>103</v>
      </c>
      <c r="E22">
        <v>4</v>
      </c>
      <c r="F22">
        <v>188</v>
      </c>
    </row>
    <row r="23" spans="1:6" ht="18" x14ac:dyDescent="0.5">
      <c r="A23" s="6" t="s">
        <v>81</v>
      </c>
      <c r="B23">
        <v>6</v>
      </c>
      <c r="C23">
        <v>43</v>
      </c>
      <c r="D23">
        <v>90</v>
      </c>
      <c r="E23">
        <v>8</v>
      </c>
      <c r="F23">
        <v>147</v>
      </c>
    </row>
    <row r="24" spans="1:6" ht="18" x14ac:dyDescent="0.5">
      <c r="A24" s="6" t="s">
        <v>171</v>
      </c>
      <c r="C24">
        <v>26</v>
      </c>
      <c r="D24">
        <v>35</v>
      </c>
      <c r="E24">
        <v>4</v>
      </c>
      <c r="F24">
        <v>65</v>
      </c>
    </row>
    <row r="25" spans="1:6" ht="18" x14ac:dyDescent="0.5">
      <c r="A25" s="6" t="s">
        <v>2515</v>
      </c>
      <c r="B25">
        <v>736</v>
      </c>
      <c r="C25">
        <v>6272</v>
      </c>
      <c r="D25">
        <v>4672</v>
      </c>
      <c r="E25">
        <v>317</v>
      </c>
      <c r="F25">
        <v>11997</v>
      </c>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FADB-9FBC-402F-B85A-36356EC4C762}">
  <dimension ref="A2:O61"/>
  <sheetViews>
    <sheetView topLeftCell="A2" workbookViewId="0">
      <selection activeCell="O2" sqref="O2"/>
    </sheetView>
  </sheetViews>
  <sheetFormatPr defaultRowHeight="13.8" x14ac:dyDescent="0.5"/>
  <cols>
    <col min="1" max="1" width="22.77734375" customWidth="1"/>
    <col min="2" max="2" width="19.6640625" customWidth="1"/>
    <col min="3" max="3" width="13.5546875" customWidth="1"/>
    <col min="4" max="4" width="13.109375" customWidth="1"/>
    <col min="6" max="6" width="10.33203125" customWidth="1"/>
    <col min="7" max="7" width="19.6640625" customWidth="1"/>
    <col min="8" max="8" width="13.5546875" customWidth="1"/>
    <col min="9" max="9" width="10.33203125" customWidth="1"/>
    <col min="10" max="10" width="10.44140625" customWidth="1"/>
    <col min="11" max="11" width="19.6640625" customWidth="1"/>
    <col min="12" max="12" width="13.109375" customWidth="1"/>
    <col min="13" max="14" width="10.33203125" customWidth="1"/>
  </cols>
  <sheetData>
    <row r="2" spans="1:15" ht="18" x14ac:dyDescent="0.5">
      <c r="G2" s="21" t="s">
        <v>2527</v>
      </c>
      <c r="H2" s="13" t="s">
        <v>2528</v>
      </c>
      <c r="I2" s="13" t="s">
        <v>2529</v>
      </c>
      <c r="J2" t="s">
        <v>2530</v>
      </c>
      <c r="K2" t="s">
        <v>2531</v>
      </c>
      <c r="L2" t="s">
        <v>2532</v>
      </c>
      <c r="M2" s="13" t="s">
        <v>2533</v>
      </c>
      <c r="N2" s="13" t="s">
        <v>2534</v>
      </c>
      <c r="O2" s="24" t="s">
        <v>2535</v>
      </c>
    </row>
    <row r="3" spans="1:15" ht="18" x14ac:dyDescent="0.5">
      <c r="A3" s="5" t="s">
        <v>10</v>
      </c>
      <c r="B3" s="5" t="s">
        <v>11</v>
      </c>
      <c r="C3" t="s">
        <v>2506</v>
      </c>
      <c r="D3" t="s">
        <v>2507</v>
      </c>
      <c r="G3" s="21" t="s">
        <v>10</v>
      </c>
      <c r="H3" s="13" t="s">
        <v>11</v>
      </c>
      <c r="I3" s="13" t="s">
        <v>2506</v>
      </c>
      <c r="M3" s="13" t="s">
        <v>10</v>
      </c>
      <c r="N3" s="13" t="s">
        <v>11</v>
      </c>
      <c r="O3" s="24" t="s">
        <v>2507</v>
      </c>
    </row>
    <row r="4" spans="1:15" ht="18" x14ac:dyDescent="0.5">
      <c r="A4" t="s">
        <v>19</v>
      </c>
      <c r="B4" t="s">
        <v>115</v>
      </c>
      <c r="C4">
        <v>579</v>
      </c>
      <c r="D4">
        <v>31884.999999999996</v>
      </c>
      <c r="G4" s="22" t="s">
        <v>19</v>
      </c>
      <c r="H4" s="14" t="s">
        <v>115</v>
      </c>
      <c r="I4" s="14">
        <v>579</v>
      </c>
      <c r="M4" s="14" t="s">
        <v>19</v>
      </c>
      <c r="N4" s="14" t="s">
        <v>115</v>
      </c>
      <c r="O4" s="25">
        <v>31884.999999999996</v>
      </c>
    </row>
    <row r="5" spans="1:15" ht="18" x14ac:dyDescent="0.5">
      <c r="A5" t="s">
        <v>19</v>
      </c>
      <c r="B5" t="s">
        <v>20</v>
      </c>
      <c r="C5">
        <v>1</v>
      </c>
      <c r="D5">
        <v>10.9</v>
      </c>
      <c r="G5" s="22" t="s">
        <v>19</v>
      </c>
      <c r="H5" s="14" t="s">
        <v>20</v>
      </c>
      <c r="I5" s="14">
        <v>1</v>
      </c>
      <c r="M5" s="14" t="s">
        <v>19</v>
      </c>
      <c r="N5" s="14" t="s">
        <v>20</v>
      </c>
      <c r="O5" s="25">
        <v>10.9</v>
      </c>
    </row>
    <row r="6" spans="1:15" ht="18" x14ac:dyDescent="0.5">
      <c r="A6" t="s">
        <v>19</v>
      </c>
      <c r="B6" t="s">
        <v>641</v>
      </c>
      <c r="C6">
        <v>9</v>
      </c>
      <c r="D6">
        <v>800.3</v>
      </c>
      <c r="G6" s="22" t="s">
        <v>19</v>
      </c>
      <c r="H6" s="14" t="s">
        <v>641</v>
      </c>
      <c r="I6" s="14">
        <v>9</v>
      </c>
      <c r="M6" s="14" t="s">
        <v>19</v>
      </c>
      <c r="N6" s="14" t="s">
        <v>641</v>
      </c>
      <c r="O6" s="25">
        <v>800.3</v>
      </c>
    </row>
    <row r="7" spans="1:15" ht="18" x14ac:dyDescent="0.5">
      <c r="A7" t="s">
        <v>19</v>
      </c>
      <c r="B7" t="s">
        <v>967</v>
      </c>
      <c r="C7">
        <v>35</v>
      </c>
      <c r="D7">
        <v>1062.5999999999999</v>
      </c>
      <c r="G7" s="22" t="s">
        <v>19</v>
      </c>
      <c r="H7" s="14" t="s">
        <v>967</v>
      </c>
      <c r="I7" s="14">
        <v>35</v>
      </c>
      <c r="M7" s="14" t="s">
        <v>19</v>
      </c>
      <c r="N7" s="14" t="s">
        <v>967</v>
      </c>
      <c r="O7" s="25">
        <v>1062.5999999999999</v>
      </c>
    </row>
    <row r="8" spans="1:15" ht="18" x14ac:dyDescent="0.5">
      <c r="A8" t="s">
        <v>19</v>
      </c>
      <c r="B8" t="s">
        <v>84</v>
      </c>
      <c r="C8">
        <v>12</v>
      </c>
      <c r="D8">
        <v>326.20000000000005</v>
      </c>
      <c r="G8" s="22" t="s">
        <v>19</v>
      </c>
      <c r="H8" s="14" t="s">
        <v>84</v>
      </c>
      <c r="I8" s="14">
        <v>12</v>
      </c>
      <c r="M8" s="14" t="s">
        <v>19</v>
      </c>
      <c r="N8" s="14" t="s">
        <v>84</v>
      </c>
      <c r="O8" s="25">
        <v>326.20000000000005</v>
      </c>
    </row>
    <row r="9" spans="1:15" ht="18" x14ac:dyDescent="0.5">
      <c r="A9" t="s">
        <v>19</v>
      </c>
      <c r="B9" t="s">
        <v>1383</v>
      </c>
      <c r="C9">
        <v>4</v>
      </c>
      <c r="D9">
        <v>167.5</v>
      </c>
      <c r="G9" s="22" t="s">
        <v>19</v>
      </c>
      <c r="H9" s="14" t="s">
        <v>1383</v>
      </c>
      <c r="I9" s="14">
        <v>4</v>
      </c>
      <c r="M9" s="14" t="s">
        <v>19</v>
      </c>
      <c r="N9" s="14" t="s">
        <v>1383</v>
      </c>
      <c r="O9" s="25">
        <v>167.5</v>
      </c>
    </row>
    <row r="10" spans="1:15" ht="18" x14ac:dyDescent="0.5">
      <c r="A10" t="s">
        <v>19</v>
      </c>
      <c r="B10" t="s">
        <v>24</v>
      </c>
      <c r="C10">
        <v>341</v>
      </c>
      <c r="D10">
        <v>16168.7</v>
      </c>
      <c r="G10" s="22" t="s">
        <v>19</v>
      </c>
      <c r="H10" s="14" t="s">
        <v>24</v>
      </c>
      <c r="I10" s="14">
        <v>341</v>
      </c>
      <c r="M10" s="14" t="s">
        <v>19</v>
      </c>
      <c r="N10" s="14" t="s">
        <v>24</v>
      </c>
      <c r="O10" s="25">
        <v>16168.7</v>
      </c>
    </row>
    <row r="11" spans="1:15" ht="18" x14ac:dyDescent="0.5">
      <c r="A11" t="s">
        <v>19</v>
      </c>
      <c r="B11" t="s">
        <v>2204</v>
      </c>
      <c r="C11">
        <v>13</v>
      </c>
      <c r="D11">
        <v>322.40000000000003</v>
      </c>
      <c r="G11" s="22" t="s">
        <v>19</v>
      </c>
      <c r="H11" s="14" t="s">
        <v>2204</v>
      </c>
      <c r="I11" s="14">
        <v>13</v>
      </c>
      <c r="M11" s="14" t="s">
        <v>19</v>
      </c>
      <c r="N11" s="14" t="s">
        <v>2204</v>
      </c>
      <c r="O11" s="25">
        <v>322.40000000000003</v>
      </c>
    </row>
    <row r="12" spans="1:15" ht="18" x14ac:dyDescent="0.5">
      <c r="A12" t="s">
        <v>19</v>
      </c>
      <c r="B12" t="s">
        <v>437</v>
      </c>
      <c r="C12">
        <v>31</v>
      </c>
      <c r="D12">
        <v>2092.8000000000002</v>
      </c>
      <c r="G12" s="22" t="s">
        <v>19</v>
      </c>
      <c r="H12" s="14" t="s">
        <v>437</v>
      </c>
      <c r="I12" s="14">
        <v>31</v>
      </c>
      <c r="M12" s="14" t="s">
        <v>19</v>
      </c>
      <c r="N12" s="14" t="s">
        <v>437</v>
      </c>
      <c r="O12" s="25">
        <v>2092.8000000000002</v>
      </c>
    </row>
    <row r="13" spans="1:15" ht="18" x14ac:dyDescent="0.5">
      <c r="A13" t="s">
        <v>19</v>
      </c>
      <c r="B13" t="s">
        <v>28</v>
      </c>
      <c r="C13">
        <v>279</v>
      </c>
      <c r="D13">
        <v>12662.500000000002</v>
      </c>
      <c r="G13" s="22" t="s">
        <v>19</v>
      </c>
      <c r="H13" s="14" t="s">
        <v>28</v>
      </c>
      <c r="I13" s="14">
        <v>279</v>
      </c>
      <c r="M13" s="14" t="s">
        <v>19</v>
      </c>
      <c r="N13" s="14" t="s">
        <v>28</v>
      </c>
      <c r="O13" s="25">
        <v>12662.500000000002</v>
      </c>
    </row>
    <row r="14" spans="1:15" ht="18" x14ac:dyDescent="0.5">
      <c r="A14" t="s">
        <v>19</v>
      </c>
      <c r="B14" t="s">
        <v>208</v>
      </c>
      <c r="C14">
        <v>9</v>
      </c>
      <c r="D14">
        <v>343.2</v>
      </c>
      <c r="G14" s="22" t="s">
        <v>19</v>
      </c>
      <c r="H14" s="14" t="s">
        <v>208</v>
      </c>
      <c r="I14" s="14">
        <v>9</v>
      </c>
      <c r="M14" s="14" t="s">
        <v>19</v>
      </c>
      <c r="N14" s="14" t="s">
        <v>208</v>
      </c>
      <c r="O14" s="25">
        <v>343.2</v>
      </c>
    </row>
    <row r="15" spans="1:15" ht="18" x14ac:dyDescent="0.5">
      <c r="A15" t="s">
        <v>19</v>
      </c>
      <c r="B15" t="s">
        <v>587</v>
      </c>
      <c r="C15">
        <v>49</v>
      </c>
      <c r="D15">
        <v>2188.2999999999997</v>
      </c>
      <c r="G15" s="22" t="s">
        <v>19</v>
      </c>
      <c r="H15" s="14" t="s">
        <v>587</v>
      </c>
      <c r="I15" s="14">
        <v>49</v>
      </c>
      <c r="M15" s="14" t="s">
        <v>19</v>
      </c>
      <c r="N15" s="14" t="s">
        <v>587</v>
      </c>
      <c r="O15" s="25">
        <v>2188.2999999999997</v>
      </c>
    </row>
    <row r="16" spans="1:15" ht="18" x14ac:dyDescent="0.5">
      <c r="A16" t="s">
        <v>19</v>
      </c>
      <c r="B16" t="s">
        <v>331</v>
      </c>
      <c r="C16">
        <v>59</v>
      </c>
      <c r="D16">
        <v>2661.5999999999995</v>
      </c>
      <c r="G16" s="22" t="s">
        <v>19</v>
      </c>
      <c r="H16" s="14" t="s">
        <v>331</v>
      </c>
      <c r="I16" s="14">
        <v>59</v>
      </c>
      <c r="M16" s="14" t="s">
        <v>19</v>
      </c>
      <c r="N16" s="14" t="s">
        <v>331</v>
      </c>
      <c r="O16" s="25">
        <v>2661.5999999999995</v>
      </c>
    </row>
    <row r="17" spans="1:15" ht="18" x14ac:dyDescent="0.5">
      <c r="A17" t="s">
        <v>19</v>
      </c>
      <c r="B17" t="s">
        <v>86</v>
      </c>
      <c r="C17">
        <v>8</v>
      </c>
      <c r="D17">
        <v>887.5</v>
      </c>
      <c r="G17" s="22" t="s">
        <v>19</v>
      </c>
      <c r="H17" s="14" t="s">
        <v>86</v>
      </c>
      <c r="I17" s="14">
        <v>8</v>
      </c>
      <c r="M17" s="14" t="s">
        <v>19</v>
      </c>
      <c r="N17" s="14" t="s">
        <v>86</v>
      </c>
      <c r="O17" s="25">
        <v>887.5</v>
      </c>
    </row>
    <row r="18" spans="1:15" ht="18" x14ac:dyDescent="0.5">
      <c r="A18" t="s">
        <v>19</v>
      </c>
      <c r="B18" t="s">
        <v>147</v>
      </c>
      <c r="C18">
        <v>222</v>
      </c>
      <c r="D18">
        <v>11354.199999999993</v>
      </c>
      <c r="G18" s="22" t="s">
        <v>19</v>
      </c>
      <c r="H18" s="14" t="s">
        <v>147</v>
      </c>
      <c r="I18" s="14">
        <v>222</v>
      </c>
      <c r="M18" s="14" t="s">
        <v>19</v>
      </c>
      <c r="N18" s="14" t="s">
        <v>147</v>
      </c>
      <c r="O18" s="25">
        <v>11354.199999999993</v>
      </c>
    </row>
    <row r="19" spans="1:15" ht="18" x14ac:dyDescent="0.5">
      <c r="A19" t="s">
        <v>19</v>
      </c>
      <c r="B19" t="s">
        <v>334</v>
      </c>
      <c r="C19">
        <v>36</v>
      </c>
      <c r="D19">
        <v>1558.4</v>
      </c>
      <c r="G19" s="22" t="s">
        <v>19</v>
      </c>
      <c r="H19" s="14" t="s">
        <v>334</v>
      </c>
      <c r="I19" s="14">
        <v>36</v>
      </c>
      <c r="M19" s="14" t="s">
        <v>19</v>
      </c>
      <c r="N19" s="14" t="s">
        <v>334</v>
      </c>
      <c r="O19" s="25">
        <v>1558.4</v>
      </c>
    </row>
    <row r="20" spans="1:15" ht="18" x14ac:dyDescent="0.5">
      <c r="A20" t="s">
        <v>19</v>
      </c>
      <c r="B20" t="s">
        <v>949</v>
      </c>
      <c r="C20">
        <v>30</v>
      </c>
      <c r="D20">
        <v>2223.9</v>
      </c>
      <c r="G20" s="22" t="s">
        <v>19</v>
      </c>
      <c r="H20" s="14" t="s">
        <v>949</v>
      </c>
      <c r="I20" s="14">
        <v>30</v>
      </c>
      <c r="M20" s="14" t="s">
        <v>19</v>
      </c>
      <c r="N20" s="14" t="s">
        <v>949</v>
      </c>
      <c r="O20" s="25">
        <v>2223.9</v>
      </c>
    </row>
    <row r="21" spans="1:15" ht="18" x14ac:dyDescent="0.5">
      <c r="A21" t="s">
        <v>19</v>
      </c>
      <c r="B21" t="s">
        <v>1426</v>
      </c>
      <c r="C21">
        <v>1</v>
      </c>
      <c r="D21">
        <v>26.2</v>
      </c>
      <c r="G21" s="22" t="s">
        <v>19</v>
      </c>
      <c r="H21" s="14" t="s">
        <v>1426</v>
      </c>
      <c r="I21" s="14">
        <v>1</v>
      </c>
      <c r="M21" s="14" t="s">
        <v>19</v>
      </c>
      <c r="N21" s="14" t="s">
        <v>1426</v>
      </c>
      <c r="O21" s="25">
        <v>26.2</v>
      </c>
    </row>
    <row r="22" spans="1:15" ht="18" x14ac:dyDescent="0.5">
      <c r="A22" t="s">
        <v>19</v>
      </c>
      <c r="B22" t="s">
        <v>33</v>
      </c>
      <c r="C22">
        <v>3991</v>
      </c>
      <c r="D22">
        <v>215551.19999999981</v>
      </c>
      <c r="G22" s="22" t="s">
        <v>19</v>
      </c>
      <c r="H22" s="14" t="s">
        <v>33</v>
      </c>
      <c r="I22" s="14">
        <v>3991</v>
      </c>
      <c r="M22" s="14" t="s">
        <v>19</v>
      </c>
      <c r="N22" s="14" t="s">
        <v>33</v>
      </c>
      <c r="O22" s="25">
        <v>215551.19999999981</v>
      </c>
    </row>
    <row r="23" spans="1:15" ht="18" x14ac:dyDescent="0.5">
      <c r="A23" t="s">
        <v>19</v>
      </c>
      <c r="B23" t="s">
        <v>364</v>
      </c>
      <c r="C23">
        <v>45</v>
      </c>
      <c r="D23">
        <v>2687.3999999999996</v>
      </c>
      <c r="G23" s="22" t="s">
        <v>19</v>
      </c>
      <c r="H23" s="14" t="s">
        <v>364</v>
      </c>
      <c r="I23" s="14">
        <v>45</v>
      </c>
      <c r="M23" s="14" t="s">
        <v>19</v>
      </c>
      <c r="N23" s="14" t="s">
        <v>364</v>
      </c>
      <c r="O23" s="25">
        <v>2687.3999999999996</v>
      </c>
    </row>
    <row r="24" spans="1:15" ht="18" x14ac:dyDescent="0.5">
      <c r="A24" t="s">
        <v>19</v>
      </c>
      <c r="B24" t="s">
        <v>545</v>
      </c>
      <c r="C24">
        <v>39</v>
      </c>
      <c r="D24">
        <v>1463.3000000000002</v>
      </c>
      <c r="G24" s="22" t="s">
        <v>19</v>
      </c>
      <c r="H24" s="14" t="s">
        <v>545</v>
      </c>
      <c r="I24" s="14">
        <v>39</v>
      </c>
      <c r="M24" s="14" t="s">
        <v>19</v>
      </c>
      <c r="N24" s="14" t="s">
        <v>545</v>
      </c>
      <c r="O24" s="25">
        <v>1463.3000000000002</v>
      </c>
    </row>
    <row r="25" spans="1:15" ht="18" x14ac:dyDescent="0.5">
      <c r="A25" t="s">
        <v>19</v>
      </c>
      <c r="B25" t="s">
        <v>416</v>
      </c>
      <c r="C25">
        <v>6</v>
      </c>
      <c r="D25">
        <v>445.79999999999995</v>
      </c>
      <c r="G25" s="22" t="s">
        <v>19</v>
      </c>
      <c r="H25" s="14" t="s">
        <v>416</v>
      </c>
      <c r="I25" s="14">
        <v>6</v>
      </c>
      <c r="M25" s="14" t="s">
        <v>19</v>
      </c>
      <c r="N25" s="14" t="s">
        <v>416</v>
      </c>
      <c r="O25" s="25">
        <v>445.79999999999995</v>
      </c>
    </row>
    <row r="26" spans="1:15" ht="18" x14ac:dyDescent="0.5">
      <c r="A26" t="s">
        <v>19</v>
      </c>
      <c r="B26" t="s">
        <v>258</v>
      </c>
      <c r="C26">
        <v>9</v>
      </c>
      <c r="D26">
        <v>273.59999999999997</v>
      </c>
      <c r="G26" s="22" t="s">
        <v>19</v>
      </c>
      <c r="H26" s="14" t="s">
        <v>258</v>
      </c>
      <c r="I26" s="14">
        <v>9</v>
      </c>
      <c r="M26" s="14" t="s">
        <v>19</v>
      </c>
      <c r="N26" s="14" t="s">
        <v>258</v>
      </c>
      <c r="O26" s="25">
        <v>273.59999999999997</v>
      </c>
    </row>
    <row r="27" spans="1:15" ht="18" x14ac:dyDescent="0.5">
      <c r="A27" t="s">
        <v>19</v>
      </c>
      <c r="B27" t="s">
        <v>186</v>
      </c>
      <c r="C27">
        <v>60</v>
      </c>
      <c r="D27">
        <v>2690.4</v>
      </c>
      <c r="G27" s="22" t="s">
        <v>19</v>
      </c>
      <c r="H27" s="14" t="s">
        <v>186</v>
      </c>
      <c r="I27" s="14">
        <v>60</v>
      </c>
      <c r="M27" s="14" t="s">
        <v>19</v>
      </c>
      <c r="N27" s="14" t="s">
        <v>186</v>
      </c>
      <c r="O27" s="25">
        <v>2690.4</v>
      </c>
    </row>
    <row r="28" spans="1:15" ht="18" x14ac:dyDescent="0.5">
      <c r="A28" t="s">
        <v>19</v>
      </c>
      <c r="B28" t="s">
        <v>392</v>
      </c>
      <c r="C28">
        <v>2</v>
      </c>
      <c r="D28">
        <v>28.4</v>
      </c>
      <c r="G28" s="22" t="s">
        <v>19</v>
      </c>
      <c r="H28" s="14" t="s">
        <v>392</v>
      </c>
      <c r="I28" s="14">
        <v>2</v>
      </c>
      <c r="M28" s="14" t="s">
        <v>19</v>
      </c>
      <c r="N28" s="14" t="s">
        <v>392</v>
      </c>
      <c r="O28" s="25">
        <v>28.4</v>
      </c>
    </row>
    <row r="29" spans="1:15" ht="18" x14ac:dyDescent="0.5">
      <c r="A29" t="s">
        <v>19</v>
      </c>
      <c r="B29" t="s">
        <v>670</v>
      </c>
      <c r="C29">
        <v>4</v>
      </c>
      <c r="D29">
        <v>204.8</v>
      </c>
      <c r="G29" s="22" t="s">
        <v>19</v>
      </c>
      <c r="H29" s="14" t="s">
        <v>670</v>
      </c>
      <c r="I29" s="14">
        <v>4</v>
      </c>
      <c r="M29" s="14" t="s">
        <v>19</v>
      </c>
      <c r="N29" s="14" t="s">
        <v>670</v>
      </c>
      <c r="O29" s="25">
        <v>204.8</v>
      </c>
    </row>
    <row r="30" spans="1:15" ht="18" x14ac:dyDescent="0.5">
      <c r="A30" t="s">
        <v>19</v>
      </c>
      <c r="B30" t="s">
        <v>802</v>
      </c>
      <c r="C30">
        <v>31</v>
      </c>
      <c r="D30">
        <v>1607.8999999999999</v>
      </c>
      <c r="G30" s="22" t="s">
        <v>19</v>
      </c>
      <c r="H30" s="14" t="s">
        <v>802</v>
      </c>
      <c r="I30" s="14">
        <v>31</v>
      </c>
      <c r="M30" s="14" t="s">
        <v>19</v>
      </c>
      <c r="N30" s="14" t="s">
        <v>802</v>
      </c>
      <c r="O30" s="25">
        <v>1607.8999999999999</v>
      </c>
    </row>
    <row r="31" spans="1:15" ht="18" x14ac:dyDescent="0.5">
      <c r="A31" t="s">
        <v>19</v>
      </c>
      <c r="B31" t="s">
        <v>98</v>
      </c>
      <c r="C31">
        <v>88</v>
      </c>
      <c r="D31">
        <v>6444.9</v>
      </c>
      <c r="G31" s="22" t="s">
        <v>19</v>
      </c>
      <c r="H31" s="14" t="s">
        <v>98</v>
      </c>
      <c r="I31" s="14">
        <v>88</v>
      </c>
      <c r="M31" s="14" t="s">
        <v>19</v>
      </c>
      <c r="N31" s="14" t="s">
        <v>98</v>
      </c>
      <c r="O31" s="25">
        <v>6444.9</v>
      </c>
    </row>
    <row r="32" spans="1:15" ht="18" x14ac:dyDescent="0.5">
      <c r="A32" t="s">
        <v>19</v>
      </c>
      <c r="B32" t="s">
        <v>49</v>
      </c>
      <c r="C32">
        <v>25</v>
      </c>
      <c r="D32">
        <v>1809.3</v>
      </c>
      <c r="G32" s="22" t="s">
        <v>19</v>
      </c>
      <c r="H32" s="14" t="s">
        <v>49</v>
      </c>
      <c r="I32" s="14">
        <v>25</v>
      </c>
      <c r="M32" s="14" t="s">
        <v>19</v>
      </c>
      <c r="N32" s="14" t="s">
        <v>49</v>
      </c>
      <c r="O32" s="25">
        <v>1809.3</v>
      </c>
    </row>
    <row r="33" spans="1:15" ht="18" x14ac:dyDescent="0.5">
      <c r="A33" t="s">
        <v>19</v>
      </c>
      <c r="B33" t="s">
        <v>188</v>
      </c>
      <c r="C33">
        <v>178</v>
      </c>
      <c r="D33">
        <v>9680.399999999996</v>
      </c>
      <c r="G33" s="22" t="s">
        <v>19</v>
      </c>
      <c r="H33" s="14" t="s">
        <v>188</v>
      </c>
      <c r="I33" s="14">
        <v>178</v>
      </c>
      <c r="M33" s="14" t="s">
        <v>19</v>
      </c>
      <c r="N33" s="14" t="s">
        <v>188</v>
      </c>
      <c r="O33" s="25">
        <v>9680.399999999996</v>
      </c>
    </row>
    <row r="34" spans="1:15" ht="18" x14ac:dyDescent="0.5">
      <c r="A34" t="s">
        <v>19</v>
      </c>
      <c r="B34" t="s">
        <v>52</v>
      </c>
      <c r="C34">
        <v>141</v>
      </c>
      <c r="D34">
        <v>9414.7999999999993</v>
      </c>
      <c r="G34" s="22" t="s">
        <v>19</v>
      </c>
      <c r="H34" s="14" t="s">
        <v>52</v>
      </c>
      <c r="I34" s="14">
        <v>141</v>
      </c>
      <c r="M34" s="14" t="s">
        <v>19</v>
      </c>
      <c r="N34" s="14" t="s">
        <v>52</v>
      </c>
      <c r="O34" s="25">
        <v>9414.7999999999993</v>
      </c>
    </row>
    <row r="35" spans="1:15" ht="18" x14ac:dyDescent="0.5">
      <c r="A35" t="s">
        <v>19</v>
      </c>
      <c r="B35" t="s">
        <v>338</v>
      </c>
      <c r="C35">
        <v>6</v>
      </c>
      <c r="D35">
        <v>206.1</v>
      </c>
      <c r="G35" s="22" t="s">
        <v>19</v>
      </c>
      <c r="H35" s="14" t="s">
        <v>338</v>
      </c>
      <c r="I35" s="14">
        <v>6</v>
      </c>
      <c r="M35" s="14" t="s">
        <v>19</v>
      </c>
      <c r="N35" s="14" t="s">
        <v>338</v>
      </c>
      <c r="O35" s="25">
        <v>206.1</v>
      </c>
    </row>
    <row r="36" spans="1:15" ht="18" x14ac:dyDescent="0.5">
      <c r="A36" t="s">
        <v>19</v>
      </c>
      <c r="B36" t="s">
        <v>158</v>
      </c>
      <c r="C36">
        <v>178</v>
      </c>
      <c r="D36">
        <v>7691.3</v>
      </c>
      <c r="G36" s="22" t="s">
        <v>19</v>
      </c>
      <c r="H36" s="14" t="s">
        <v>158</v>
      </c>
      <c r="I36" s="14">
        <v>178</v>
      </c>
      <c r="M36" s="14" t="s">
        <v>19</v>
      </c>
      <c r="N36" s="14" t="s">
        <v>158</v>
      </c>
      <c r="O36" s="25">
        <v>7691.3</v>
      </c>
    </row>
    <row r="37" spans="1:15" ht="18" x14ac:dyDescent="0.5">
      <c r="A37" t="s">
        <v>19</v>
      </c>
      <c r="B37" t="s">
        <v>55</v>
      </c>
      <c r="C37">
        <v>699</v>
      </c>
      <c r="D37">
        <v>37784.900000000016</v>
      </c>
      <c r="G37" s="22" t="s">
        <v>19</v>
      </c>
      <c r="H37" s="14" t="s">
        <v>55</v>
      </c>
      <c r="I37" s="14">
        <v>699</v>
      </c>
      <c r="M37" s="14" t="s">
        <v>19</v>
      </c>
      <c r="N37" s="14" t="s">
        <v>55</v>
      </c>
      <c r="O37" s="25">
        <v>37784.900000000016</v>
      </c>
    </row>
    <row r="38" spans="1:15" ht="18" x14ac:dyDescent="0.5">
      <c r="A38" t="s">
        <v>19</v>
      </c>
      <c r="B38" t="s">
        <v>342</v>
      </c>
      <c r="C38">
        <v>23</v>
      </c>
      <c r="D38">
        <v>1129.7</v>
      </c>
      <c r="G38" s="22" t="s">
        <v>19</v>
      </c>
      <c r="H38" s="14" t="s">
        <v>342</v>
      </c>
      <c r="I38" s="14">
        <v>23</v>
      </c>
      <c r="M38" s="14" t="s">
        <v>19</v>
      </c>
      <c r="N38" s="14" t="s">
        <v>342</v>
      </c>
      <c r="O38" s="25">
        <v>1129.7</v>
      </c>
    </row>
    <row r="39" spans="1:15" ht="18" x14ac:dyDescent="0.5">
      <c r="A39" t="s">
        <v>19</v>
      </c>
      <c r="B39" t="s">
        <v>59</v>
      </c>
      <c r="C39">
        <v>356</v>
      </c>
      <c r="D39">
        <v>20988.9</v>
      </c>
      <c r="G39" s="22" t="s">
        <v>19</v>
      </c>
      <c r="H39" s="14" t="s">
        <v>59</v>
      </c>
      <c r="I39" s="14">
        <v>356</v>
      </c>
      <c r="M39" s="14" t="s">
        <v>19</v>
      </c>
      <c r="N39" s="14" t="s">
        <v>59</v>
      </c>
      <c r="O39" s="25">
        <v>20988.9</v>
      </c>
    </row>
    <row r="40" spans="1:15" ht="18" x14ac:dyDescent="0.5">
      <c r="A40" t="s">
        <v>19</v>
      </c>
      <c r="B40" t="s">
        <v>62</v>
      </c>
      <c r="C40">
        <v>1768</v>
      </c>
      <c r="D40">
        <v>98367.099999999977</v>
      </c>
      <c r="G40" s="22" t="s">
        <v>19</v>
      </c>
      <c r="H40" s="14" t="s">
        <v>62</v>
      </c>
      <c r="I40" s="14">
        <v>1768</v>
      </c>
      <c r="M40" s="14" t="s">
        <v>19</v>
      </c>
      <c r="N40" s="14" t="s">
        <v>62</v>
      </c>
      <c r="O40" s="25">
        <v>98367.099999999977</v>
      </c>
    </row>
    <row r="41" spans="1:15" ht="18" x14ac:dyDescent="0.5">
      <c r="A41" t="s">
        <v>19</v>
      </c>
      <c r="B41" t="s">
        <v>103</v>
      </c>
      <c r="C41">
        <v>307</v>
      </c>
      <c r="D41">
        <v>21911.9</v>
      </c>
      <c r="G41" s="22" t="s">
        <v>19</v>
      </c>
      <c r="H41" s="14" t="s">
        <v>103</v>
      </c>
      <c r="I41" s="14">
        <v>307</v>
      </c>
      <c r="M41" s="14" t="s">
        <v>19</v>
      </c>
      <c r="N41" s="14" t="s">
        <v>103</v>
      </c>
      <c r="O41" s="25">
        <v>21911.9</v>
      </c>
    </row>
    <row r="42" spans="1:15" ht="18" x14ac:dyDescent="0.5">
      <c r="A42" t="s">
        <v>19</v>
      </c>
      <c r="B42" t="s">
        <v>201</v>
      </c>
      <c r="C42">
        <v>117</v>
      </c>
      <c r="D42">
        <v>5441.2</v>
      </c>
      <c r="G42" s="22" t="s">
        <v>19</v>
      </c>
      <c r="H42" s="14" t="s">
        <v>201</v>
      </c>
      <c r="I42" s="14">
        <v>117</v>
      </c>
      <c r="M42" s="14" t="s">
        <v>19</v>
      </c>
      <c r="N42" s="14" t="s">
        <v>201</v>
      </c>
      <c r="O42" s="25">
        <v>5441.2</v>
      </c>
    </row>
    <row r="43" spans="1:15" ht="18" x14ac:dyDescent="0.5">
      <c r="A43" t="s">
        <v>19</v>
      </c>
      <c r="B43" t="s">
        <v>429</v>
      </c>
      <c r="C43">
        <v>13</v>
      </c>
      <c r="D43">
        <v>392.8</v>
      </c>
      <c r="G43" s="22" t="s">
        <v>19</v>
      </c>
      <c r="H43" s="14" t="s">
        <v>429</v>
      </c>
      <c r="I43" s="14">
        <v>13</v>
      </c>
      <c r="M43" s="14" t="s">
        <v>19</v>
      </c>
      <c r="N43" s="14" t="s">
        <v>429</v>
      </c>
      <c r="O43" s="25">
        <v>392.8</v>
      </c>
    </row>
    <row r="44" spans="1:15" ht="18" x14ac:dyDescent="0.5">
      <c r="A44" t="s">
        <v>19</v>
      </c>
      <c r="B44" t="s">
        <v>72</v>
      </c>
      <c r="C44">
        <v>364</v>
      </c>
      <c r="D44">
        <v>16172.000000000005</v>
      </c>
      <c r="G44" s="22" t="s">
        <v>19</v>
      </c>
      <c r="H44" s="14" t="s">
        <v>72</v>
      </c>
      <c r="I44" s="14">
        <v>364</v>
      </c>
      <c r="M44" s="14" t="s">
        <v>19</v>
      </c>
      <c r="N44" s="14" t="s">
        <v>72</v>
      </c>
      <c r="O44" s="25">
        <v>16172.000000000005</v>
      </c>
    </row>
    <row r="45" spans="1:15" ht="18" x14ac:dyDescent="0.5">
      <c r="A45" t="s">
        <v>19</v>
      </c>
      <c r="B45" t="s">
        <v>74</v>
      </c>
      <c r="C45">
        <v>95</v>
      </c>
      <c r="D45">
        <v>4334.9999999999991</v>
      </c>
      <c r="G45" s="22" t="s">
        <v>19</v>
      </c>
      <c r="H45" s="14" t="s">
        <v>74</v>
      </c>
      <c r="I45" s="14">
        <v>95</v>
      </c>
      <c r="M45" s="14" t="s">
        <v>19</v>
      </c>
      <c r="N45" s="14" t="s">
        <v>74</v>
      </c>
      <c r="O45" s="25">
        <v>4334.9999999999991</v>
      </c>
    </row>
    <row r="46" spans="1:15" ht="18" x14ac:dyDescent="0.5">
      <c r="A46" t="s">
        <v>19</v>
      </c>
      <c r="B46" t="s">
        <v>77</v>
      </c>
      <c r="C46">
        <v>737</v>
      </c>
      <c r="D46">
        <v>37449.000000000007</v>
      </c>
      <c r="G46" s="22" t="s">
        <v>19</v>
      </c>
      <c r="H46" s="14" t="s">
        <v>77</v>
      </c>
      <c r="I46" s="14">
        <v>737</v>
      </c>
      <c r="M46" s="14" t="s">
        <v>19</v>
      </c>
      <c r="N46" s="14" t="s">
        <v>77</v>
      </c>
      <c r="O46" s="25">
        <v>37449.000000000007</v>
      </c>
    </row>
    <row r="47" spans="1:15" ht="18" x14ac:dyDescent="0.5">
      <c r="A47" t="s">
        <v>19</v>
      </c>
      <c r="B47" t="s">
        <v>309</v>
      </c>
      <c r="C47">
        <v>39</v>
      </c>
      <c r="D47">
        <v>2447.5</v>
      </c>
      <c r="G47" s="22" t="s">
        <v>19</v>
      </c>
      <c r="H47" s="14" t="s">
        <v>309</v>
      </c>
      <c r="I47" s="14">
        <v>39</v>
      </c>
      <c r="M47" s="14" t="s">
        <v>19</v>
      </c>
      <c r="N47" s="14" t="s">
        <v>309</v>
      </c>
      <c r="O47" s="25">
        <v>2447.5</v>
      </c>
    </row>
    <row r="48" spans="1:15" ht="18" x14ac:dyDescent="0.5">
      <c r="A48" t="s">
        <v>19</v>
      </c>
      <c r="B48" t="s">
        <v>1116</v>
      </c>
      <c r="C48">
        <v>56</v>
      </c>
      <c r="D48">
        <v>3391.1</v>
      </c>
      <c r="G48" s="22" t="s">
        <v>19</v>
      </c>
      <c r="H48" s="14" t="s">
        <v>1116</v>
      </c>
      <c r="I48" s="14">
        <v>56</v>
      </c>
      <c r="M48" s="14" t="s">
        <v>19</v>
      </c>
      <c r="N48" s="14" t="s">
        <v>1116</v>
      </c>
      <c r="O48" s="25">
        <v>3391.1</v>
      </c>
    </row>
    <row r="49" spans="1:15" ht="18" x14ac:dyDescent="0.5">
      <c r="A49" t="s">
        <v>19</v>
      </c>
      <c r="B49" t="s">
        <v>700</v>
      </c>
      <c r="C49">
        <v>2</v>
      </c>
      <c r="D49">
        <v>30.8</v>
      </c>
      <c r="G49" s="22" t="s">
        <v>19</v>
      </c>
      <c r="H49" s="14" t="s">
        <v>700</v>
      </c>
      <c r="I49" s="14">
        <v>2</v>
      </c>
      <c r="M49" s="14" t="s">
        <v>19</v>
      </c>
      <c r="N49" s="14" t="s">
        <v>700</v>
      </c>
      <c r="O49" s="25">
        <v>30.8</v>
      </c>
    </row>
    <row r="50" spans="1:15" ht="18" x14ac:dyDescent="0.5">
      <c r="A50" t="s">
        <v>19</v>
      </c>
      <c r="B50" t="s">
        <v>268</v>
      </c>
      <c r="C50">
        <v>8</v>
      </c>
      <c r="D50">
        <v>332.3</v>
      </c>
      <c r="G50" s="22" t="s">
        <v>19</v>
      </c>
      <c r="H50" s="14" t="s">
        <v>268</v>
      </c>
      <c r="I50" s="14">
        <v>8</v>
      </c>
      <c r="M50" s="14" t="s">
        <v>19</v>
      </c>
      <c r="N50" s="14" t="s">
        <v>268</v>
      </c>
      <c r="O50" s="25">
        <v>332.3</v>
      </c>
    </row>
    <row r="51" spans="1:15" ht="18" x14ac:dyDescent="0.5">
      <c r="A51" t="s">
        <v>19</v>
      </c>
      <c r="B51" t="s">
        <v>377</v>
      </c>
      <c r="C51">
        <v>52</v>
      </c>
      <c r="D51">
        <v>3175.9999999999995</v>
      </c>
      <c r="G51" s="22" t="s">
        <v>19</v>
      </c>
      <c r="H51" s="14" t="s">
        <v>377</v>
      </c>
      <c r="I51" s="14">
        <v>52</v>
      </c>
      <c r="M51" s="14" t="s">
        <v>19</v>
      </c>
      <c r="N51" s="14" t="s">
        <v>377</v>
      </c>
      <c r="O51" s="25">
        <v>3175.9999999999995</v>
      </c>
    </row>
    <row r="52" spans="1:15" ht="18" x14ac:dyDescent="0.5">
      <c r="A52" t="s">
        <v>19</v>
      </c>
      <c r="B52" t="s">
        <v>108</v>
      </c>
      <c r="C52">
        <v>295</v>
      </c>
      <c r="D52">
        <v>20939.600000000002</v>
      </c>
      <c r="G52" s="22" t="s">
        <v>19</v>
      </c>
      <c r="H52" s="14" t="s">
        <v>108</v>
      </c>
      <c r="I52" s="14">
        <v>295</v>
      </c>
      <c r="M52" s="14" t="s">
        <v>19</v>
      </c>
      <c r="N52" s="14" t="s">
        <v>108</v>
      </c>
      <c r="O52" s="25">
        <v>20939.600000000002</v>
      </c>
    </row>
    <row r="53" spans="1:15" ht="18" x14ac:dyDescent="0.5">
      <c r="A53" t="s">
        <v>19</v>
      </c>
      <c r="B53" t="s">
        <v>110</v>
      </c>
      <c r="C53">
        <v>195</v>
      </c>
      <c r="D53">
        <v>10185.899999999996</v>
      </c>
      <c r="G53" s="22" t="s">
        <v>19</v>
      </c>
      <c r="H53" s="14" t="s">
        <v>110</v>
      </c>
      <c r="I53" s="14">
        <v>195</v>
      </c>
      <c r="M53" s="14" t="s">
        <v>19</v>
      </c>
      <c r="N53" s="14" t="s">
        <v>110</v>
      </c>
      <c r="O53" s="25">
        <v>10185.899999999996</v>
      </c>
    </row>
    <row r="54" spans="1:15" ht="18" x14ac:dyDescent="0.5">
      <c r="A54" t="s">
        <v>19</v>
      </c>
      <c r="B54" t="s">
        <v>292</v>
      </c>
      <c r="C54">
        <v>20</v>
      </c>
      <c r="D54">
        <v>958.7</v>
      </c>
      <c r="G54" s="22" t="s">
        <v>19</v>
      </c>
      <c r="H54" s="14" t="s">
        <v>292</v>
      </c>
      <c r="I54" s="14">
        <v>20</v>
      </c>
      <c r="M54" s="14" t="s">
        <v>19</v>
      </c>
      <c r="N54" s="14" t="s">
        <v>292</v>
      </c>
      <c r="O54" s="25">
        <v>958.7</v>
      </c>
    </row>
    <row r="55" spans="1:15" ht="18" x14ac:dyDescent="0.5">
      <c r="A55" t="s">
        <v>19</v>
      </c>
      <c r="B55" t="s">
        <v>79</v>
      </c>
      <c r="C55">
        <v>6</v>
      </c>
      <c r="D55">
        <v>323</v>
      </c>
      <c r="G55" s="22" t="s">
        <v>19</v>
      </c>
      <c r="H55" s="14" t="s">
        <v>79</v>
      </c>
      <c r="I55" s="14">
        <v>6</v>
      </c>
      <c r="M55" s="14" t="s">
        <v>19</v>
      </c>
      <c r="N55" s="14" t="s">
        <v>79</v>
      </c>
      <c r="O55" s="25">
        <v>323</v>
      </c>
    </row>
    <row r="56" spans="1:15" ht="18" x14ac:dyDescent="0.5">
      <c r="A56" t="s">
        <v>19</v>
      </c>
      <c r="B56" t="s">
        <v>608</v>
      </c>
      <c r="C56">
        <v>5</v>
      </c>
      <c r="D56">
        <v>167.70000000000002</v>
      </c>
      <c r="G56" s="22" t="s">
        <v>19</v>
      </c>
      <c r="H56" s="14" t="s">
        <v>608</v>
      </c>
      <c r="I56" s="14">
        <v>5</v>
      </c>
      <c r="M56" s="14" t="s">
        <v>19</v>
      </c>
      <c r="N56" s="14" t="s">
        <v>608</v>
      </c>
      <c r="O56" s="25">
        <v>167.70000000000002</v>
      </c>
    </row>
    <row r="57" spans="1:15" ht="18" x14ac:dyDescent="0.5">
      <c r="A57" t="s">
        <v>19</v>
      </c>
      <c r="B57" t="s">
        <v>113</v>
      </c>
      <c r="C57">
        <v>94</v>
      </c>
      <c r="D57">
        <v>3978.5</v>
      </c>
      <c r="G57" s="22" t="s">
        <v>19</v>
      </c>
      <c r="H57" s="14" t="s">
        <v>113</v>
      </c>
      <c r="I57" s="14">
        <v>94</v>
      </c>
      <c r="M57" s="14" t="s">
        <v>19</v>
      </c>
      <c r="N57" s="14" t="s">
        <v>113</v>
      </c>
      <c r="O57" s="25">
        <v>3978.5</v>
      </c>
    </row>
    <row r="58" spans="1:15" ht="18" x14ac:dyDescent="0.5">
      <c r="A58" t="s">
        <v>19</v>
      </c>
      <c r="B58" t="s">
        <v>997</v>
      </c>
      <c r="C58">
        <v>28</v>
      </c>
      <c r="D58">
        <v>1405</v>
      </c>
      <c r="G58" s="22" t="s">
        <v>19</v>
      </c>
      <c r="H58" s="14" t="s">
        <v>997</v>
      </c>
      <c r="I58" s="14">
        <v>28</v>
      </c>
      <c r="M58" s="14" t="s">
        <v>19</v>
      </c>
      <c r="N58" s="14" t="s">
        <v>997</v>
      </c>
      <c r="O58" s="25">
        <v>1405</v>
      </c>
    </row>
    <row r="59" spans="1:15" ht="18" x14ac:dyDescent="0.5">
      <c r="A59" t="s">
        <v>19</v>
      </c>
      <c r="B59" t="s">
        <v>82</v>
      </c>
      <c r="C59">
        <v>179</v>
      </c>
      <c r="D59">
        <v>9869.0999999999985</v>
      </c>
      <c r="G59" s="22" t="s">
        <v>19</v>
      </c>
      <c r="H59" s="14" t="s">
        <v>82</v>
      </c>
      <c r="I59" s="14">
        <v>179</v>
      </c>
      <c r="M59" s="14" t="s">
        <v>19</v>
      </c>
      <c r="N59" s="14" t="s">
        <v>82</v>
      </c>
      <c r="O59" s="25">
        <v>9869.0999999999985</v>
      </c>
    </row>
    <row r="60" spans="1:15" ht="18" x14ac:dyDescent="0.5">
      <c r="A60" t="s">
        <v>19</v>
      </c>
      <c r="B60" t="s">
        <v>243</v>
      </c>
      <c r="C60">
        <v>15</v>
      </c>
      <c r="D60">
        <v>615.29999999999995</v>
      </c>
      <c r="G60" s="22" t="s">
        <v>19</v>
      </c>
      <c r="H60" s="14" t="s">
        <v>243</v>
      </c>
      <c r="I60" s="14">
        <v>15</v>
      </c>
      <c r="M60" s="14" t="s">
        <v>19</v>
      </c>
      <c r="N60" s="14" t="s">
        <v>243</v>
      </c>
      <c r="O60" s="25">
        <v>615.29999999999995</v>
      </c>
    </row>
    <row r="61" spans="1:15" ht="18" x14ac:dyDescent="0.5">
      <c r="A61" t="s">
        <v>19</v>
      </c>
      <c r="B61" t="s">
        <v>1911</v>
      </c>
      <c r="C61">
        <v>3</v>
      </c>
      <c r="D61">
        <v>285</v>
      </c>
      <c r="G61" s="23" t="s">
        <v>19</v>
      </c>
      <c r="H61" s="15" t="s">
        <v>1911</v>
      </c>
      <c r="I61" s="15">
        <v>3</v>
      </c>
      <c r="M61" s="15" t="s">
        <v>19</v>
      </c>
      <c r="N61" s="15" t="s">
        <v>1911</v>
      </c>
      <c r="O61" s="26">
        <v>285</v>
      </c>
    </row>
  </sheetData>
  <pageMargins left="0.7" right="0.7" top="0.75" bottom="0.75" header="0.3" footer="0.3"/>
  <pageSetup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6183-E411-4CEE-9B93-61FA778795E4}">
  <dimension ref="A3:B22"/>
  <sheetViews>
    <sheetView workbookViewId="0">
      <selection activeCell="B7" sqref="B7"/>
    </sheetView>
  </sheetViews>
  <sheetFormatPr defaultRowHeight="18" x14ac:dyDescent="0.5"/>
  <cols>
    <col min="1" max="1" width="12.44140625" customWidth="1"/>
    <col min="2" max="2" width="12.21875" customWidth="1"/>
  </cols>
  <sheetData>
    <row r="3" spans="1:2" x14ac:dyDescent="0.5">
      <c r="A3" s="5" t="s">
        <v>2514</v>
      </c>
      <c r="B3" t="s">
        <v>2505</v>
      </c>
    </row>
    <row r="4" spans="1:2" x14ac:dyDescent="0.5">
      <c r="A4" s="6">
        <v>0</v>
      </c>
      <c r="B4">
        <v>175</v>
      </c>
    </row>
    <row r="5" spans="1:2" x14ac:dyDescent="0.5">
      <c r="A5" s="6">
        <v>1</v>
      </c>
      <c r="B5">
        <v>888</v>
      </c>
    </row>
    <row r="6" spans="1:2" x14ac:dyDescent="0.5">
      <c r="A6" s="6">
        <v>2</v>
      </c>
      <c r="B6">
        <v>538</v>
      </c>
    </row>
    <row r="7" spans="1:2" x14ac:dyDescent="0.5">
      <c r="A7" s="6">
        <v>3</v>
      </c>
      <c r="B7">
        <v>344</v>
      </c>
    </row>
    <row r="8" spans="1:2" x14ac:dyDescent="0.5">
      <c r="A8" s="6">
        <v>4</v>
      </c>
      <c r="B8">
        <v>200</v>
      </c>
    </row>
    <row r="9" spans="1:2" x14ac:dyDescent="0.5">
      <c r="A9" s="6">
        <v>5</v>
      </c>
      <c r="B9">
        <v>94</v>
      </c>
    </row>
    <row r="10" spans="1:2" x14ac:dyDescent="0.5">
      <c r="A10" s="6">
        <v>6</v>
      </c>
      <c r="B10">
        <v>51</v>
      </c>
    </row>
    <row r="11" spans="1:2" x14ac:dyDescent="0.5">
      <c r="A11" s="6">
        <v>7</v>
      </c>
      <c r="B11">
        <v>32</v>
      </c>
    </row>
    <row r="12" spans="1:2" x14ac:dyDescent="0.5">
      <c r="A12" s="6">
        <v>8</v>
      </c>
      <c r="B12">
        <v>23</v>
      </c>
    </row>
    <row r="13" spans="1:2" x14ac:dyDescent="0.5">
      <c r="A13" s="6">
        <v>9</v>
      </c>
      <c r="B13">
        <v>9</v>
      </c>
    </row>
    <row r="14" spans="1:2" x14ac:dyDescent="0.5">
      <c r="A14" s="6">
        <v>10</v>
      </c>
      <c r="B14">
        <v>8</v>
      </c>
    </row>
    <row r="15" spans="1:2" x14ac:dyDescent="0.5">
      <c r="A15" s="6">
        <v>11</v>
      </c>
      <c r="B15">
        <v>11</v>
      </c>
    </row>
    <row r="16" spans="1:2" x14ac:dyDescent="0.5">
      <c r="A16" s="6">
        <v>12</v>
      </c>
      <c r="B16">
        <v>4</v>
      </c>
    </row>
    <row r="17" spans="1:2" x14ac:dyDescent="0.5">
      <c r="A17" s="6">
        <v>13</v>
      </c>
      <c r="B17">
        <v>10</v>
      </c>
    </row>
    <row r="18" spans="1:2" x14ac:dyDescent="0.5">
      <c r="A18" s="6">
        <v>14</v>
      </c>
      <c r="B18">
        <v>13</v>
      </c>
    </row>
    <row r="19" spans="1:2" x14ac:dyDescent="0.5">
      <c r="A19" s="6" t="s">
        <v>2515</v>
      </c>
      <c r="B19">
        <v>2400</v>
      </c>
    </row>
    <row r="22" spans="1:2" x14ac:dyDescent="0.5">
      <c r="B22" s="12"/>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130F-EE9A-4115-9DEF-BE95C49F8D98}">
  <dimension ref="A3:G8"/>
  <sheetViews>
    <sheetView workbookViewId="0">
      <selection activeCell="C16" sqref="C16"/>
    </sheetView>
  </sheetViews>
  <sheetFormatPr defaultRowHeight="18" x14ac:dyDescent="0.5"/>
  <cols>
    <col min="1" max="1" width="12.44140625" customWidth="1"/>
    <col min="2" max="2" width="15.5546875" customWidth="1"/>
    <col min="3" max="4" width="4" customWidth="1"/>
    <col min="5" max="5" width="5" customWidth="1"/>
    <col min="6" max="6" width="4" customWidth="1"/>
    <col min="7" max="7" width="10.5546875" customWidth="1"/>
    <col min="8" max="8" width="10.44140625" customWidth="1"/>
    <col min="9" max="30" width="11.5546875" customWidth="1"/>
    <col min="31" max="31" width="11.88671875" customWidth="1"/>
    <col min="32" max="32" width="6.6640625" customWidth="1"/>
    <col min="33" max="33" width="11.6640625" customWidth="1"/>
    <col min="34" max="34" width="8.5546875" customWidth="1"/>
    <col min="35" max="35" width="6.6640625" customWidth="1"/>
    <col min="36" max="36" width="11.6640625" customWidth="1"/>
    <col min="37" max="89" width="11.44140625" customWidth="1"/>
    <col min="90" max="90" width="11.6640625" customWidth="1"/>
  </cols>
  <sheetData>
    <row r="3" spans="1:7" x14ac:dyDescent="0.5">
      <c r="A3" s="5" t="s">
        <v>2505</v>
      </c>
      <c r="B3" s="5" t="s">
        <v>2516</v>
      </c>
    </row>
    <row r="4" spans="1:7" x14ac:dyDescent="0.5">
      <c r="A4" s="5" t="s">
        <v>2514</v>
      </c>
      <c r="B4">
        <v>1</v>
      </c>
      <c r="C4">
        <v>2</v>
      </c>
      <c r="D4">
        <v>3</v>
      </c>
      <c r="E4">
        <v>4</v>
      </c>
      <c r="F4">
        <v>5</v>
      </c>
      <c r="G4" t="s">
        <v>2515</v>
      </c>
    </row>
    <row r="5" spans="1:7" x14ac:dyDescent="0.5">
      <c r="A5" s="6" t="s">
        <v>2524</v>
      </c>
      <c r="B5">
        <v>7</v>
      </c>
      <c r="C5">
        <v>37</v>
      </c>
      <c r="D5">
        <v>150</v>
      </c>
      <c r="E5">
        <v>312</v>
      </c>
      <c r="F5">
        <v>224</v>
      </c>
      <c r="G5">
        <v>730</v>
      </c>
    </row>
    <row r="6" spans="1:7" x14ac:dyDescent="0.5">
      <c r="A6" s="6" t="s">
        <v>2525</v>
      </c>
      <c r="B6">
        <v>8</v>
      </c>
      <c r="C6">
        <v>51</v>
      </c>
      <c r="D6">
        <v>182</v>
      </c>
      <c r="E6">
        <v>373</v>
      </c>
      <c r="F6">
        <v>247</v>
      </c>
      <c r="G6">
        <v>861</v>
      </c>
    </row>
    <row r="7" spans="1:7" x14ac:dyDescent="0.5">
      <c r="A7" s="6" t="s">
        <v>2526</v>
      </c>
      <c r="B7">
        <v>6</v>
      </c>
      <c r="C7">
        <v>39</v>
      </c>
      <c r="D7">
        <v>163</v>
      </c>
      <c r="E7">
        <v>351</v>
      </c>
      <c r="F7">
        <v>250</v>
      </c>
      <c r="G7">
        <v>809</v>
      </c>
    </row>
    <row r="8" spans="1:7" x14ac:dyDescent="0.5">
      <c r="A8" s="6" t="s">
        <v>2515</v>
      </c>
      <c r="B8">
        <v>21</v>
      </c>
      <c r="C8">
        <v>127</v>
      </c>
      <c r="D8">
        <v>495</v>
      </c>
      <c r="E8">
        <v>1036</v>
      </c>
      <c r="F8">
        <v>721</v>
      </c>
      <c r="G8">
        <v>2400</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I1" sqref="I1:I1048576"/>
    </sheetView>
  </sheetViews>
  <sheetFormatPr defaultRowHeight="13.8" x14ac:dyDescent="0.5"/>
  <cols>
    <col min="2" max="2" width="19.109375" customWidth="1"/>
    <col min="3" max="3" width="8.109375" customWidth="1"/>
    <col min="4" max="4" width="9.109375" customWidth="1"/>
    <col min="5" max="5" width="7.44140625" customWidth="1"/>
    <col min="6" max="7" width="10.33203125" style="2" customWidth="1"/>
    <col min="8" max="8" width="15.6640625" customWidth="1"/>
    <col min="9" max="9" width="10.6640625" customWidth="1"/>
    <col min="10" max="10" width="7.77734375" customWidth="1"/>
    <col min="11" max="11" width="8.77734375" customWidth="1"/>
    <col min="12" max="12" width="19.6640625" customWidth="1"/>
    <col min="13" max="13" width="13.33203125" customWidth="1"/>
    <col min="14" max="14" width="9.33203125" customWidth="1"/>
    <col min="15" max="15" width="12.109375" customWidth="1"/>
  </cols>
  <sheetData>
    <row r="1" spans="1:15" ht="18" x14ac:dyDescent="0.5">
      <c r="A1" t="s">
        <v>0</v>
      </c>
      <c r="B1" t="s">
        <v>1</v>
      </c>
      <c r="C1" t="s">
        <v>2</v>
      </c>
      <c r="D1" t="s">
        <v>3</v>
      </c>
      <c r="E1" t="s">
        <v>4</v>
      </c>
      <c r="F1" s="2" t="s">
        <v>5</v>
      </c>
      <c r="G1" s="2" t="s">
        <v>6</v>
      </c>
      <c r="H1" t="s">
        <v>7</v>
      </c>
      <c r="I1" t="s">
        <v>8</v>
      </c>
      <c r="J1" t="s">
        <v>9</v>
      </c>
      <c r="K1" t="s">
        <v>10</v>
      </c>
      <c r="L1" t="s">
        <v>11</v>
      </c>
      <c r="M1" s="1" t="s">
        <v>12</v>
      </c>
      <c r="N1" s="1" t="s">
        <v>13</v>
      </c>
      <c r="O1" s="1" t="s">
        <v>14</v>
      </c>
    </row>
    <row r="2" spans="1:15" ht="18" x14ac:dyDescent="0.5">
      <c r="A2" t="s">
        <v>15</v>
      </c>
      <c r="B2" t="s">
        <v>16</v>
      </c>
      <c r="C2">
        <v>1</v>
      </c>
      <c r="D2">
        <v>10.9</v>
      </c>
      <c r="E2">
        <v>10.9</v>
      </c>
      <c r="F2" s="2">
        <v>45658</v>
      </c>
      <c r="G2" s="2">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ht="18" x14ac:dyDescent="0.5">
      <c r="A3" t="s">
        <v>21</v>
      </c>
      <c r="B3" t="s">
        <v>22</v>
      </c>
      <c r="C3">
        <v>2</v>
      </c>
      <c r="D3">
        <v>30.6</v>
      </c>
      <c r="E3">
        <v>61.2</v>
      </c>
      <c r="F3" s="2">
        <v>45658</v>
      </c>
      <c r="G3" s="2">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ht="18" x14ac:dyDescent="0.5">
      <c r="A4" t="s">
        <v>25</v>
      </c>
      <c r="B4" t="s">
        <v>26</v>
      </c>
      <c r="C4">
        <v>3</v>
      </c>
      <c r="D4">
        <v>109.4</v>
      </c>
      <c r="E4">
        <v>328.20000000000005</v>
      </c>
      <c r="F4" s="2">
        <v>45658</v>
      </c>
      <c r="G4" s="2">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ht="18" x14ac:dyDescent="0.5">
      <c r="A5" t="s">
        <v>29</v>
      </c>
      <c r="B5" t="s">
        <v>30</v>
      </c>
      <c r="C5">
        <v>7</v>
      </c>
      <c r="D5">
        <v>37.700000000000003</v>
      </c>
      <c r="E5">
        <v>263.90000000000003</v>
      </c>
      <c r="F5" s="2">
        <v>45658</v>
      </c>
      <c r="G5" s="2">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ht="18" x14ac:dyDescent="0.5">
      <c r="A6" t="s">
        <v>31</v>
      </c>
      <c r="B6" t="s">
        <v>32</v>
      </c>
      <c r="C6">
        <v>3</v>
      </c>
      <c r="D6">
        <v>56.7</v>
      </c>
      <c r="E6">
        <v>170.10000000000002</v>
      </c>
      <c r="F6" s="2">
        <v>45658</v>
      </c>
      <c r="G6" s="2">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ht="18" x14ac:dyDescent="0.5">
      <c r="A7" t="s">
        <v>34</v>
      </c>
      <c r="B7" t="s">
        <v>22</v>
      </c>
      <c r="C7">
        <v>12</v>
      </c>
      <c r="D7">
        <v>83.5</v>
      </c>
      <c r="E7">
        <v>1002</v>
      </c>
      <c r="F7" s="2">
        <v>45658</v>
      </c>
      <c r="G7" s="2">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ht="18" x14ac:dyDescent="0.5">
      <c r="A8" t="s">
        <v>36</v>
      </c>
      <c r="B8" t="s">
        <v>37</v>
      </c>
      <c r="C8">
        <v>1</v>
      </c>
      <c r="D8">
        <v>55.3</v>
      </c>
      <c r="E8">
        <v>55.3</v>
      </c>
      <c r="F8" s="2">
        <v>45658</v>
      </c>
      <c r="G8" s="2">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ht="18" x14ac:dyDescent="0.5">
      <c r="A9" t="s">
        <v>38</v>
      </c>
      <c r="B9" t="s">
        <v>39</v>
      </c>
      <c r="C9">
        <v>2</v>
      </c>
      <c r="D9">
        <v>40.299999999999997</v>
      </c>
      <c r="E9">
        <v>80.599999999999994</v>
      </c>
      <c r="F9" s="2">
        <v>45658</v>
      </c>
      <c r="G9" s="2">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ht="18" x14ac:dyDescent="0.5">
      <c r="A10" t="s">
        <v>41</v>
      </c>
      <c r="B10" t="s">
        <v>42</v>
      </c>
      <c r="C10">
        <v>11</v>
      </c>
      <c r="D10">
        <v>35.700000000000003</v>
      </c>
      <c r="E10">
        <v>392.70000000000005</v>
      </c>
      <c r="F10" s="2">
        <v>45658</v>
      </c>
      <c r="G10" s="2">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ht="18" x14ac:dyDescent="0.5">
      <c r="A11" t="s">
        <v>43</v>
      </c>
      <c r="B11" t="s">
        <v>44</v>
      </c>
      <c r="C11">
        <v>7</v>
      </c>
      <c r="D11">
        <v>22.4</v>
      </c>
      <c r="E11">
        <v>156.79999999999998</v>
      </c>
      <c r="F11" s="2">
        <v>45658</v>
      </c>
      <c r="G11" s="2">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ht="18" x14ac:dyDescent="0.5">
      <c r="A12" t="s">
        <v>45</v>
      </c>
      <c r="B12" t="s">
        <v>46</v>
      </c>
      <c r="C12">
        <v>2</v>
      </c>
      <c r="D12">
        <v>54.4</v>
      </c>
      <c r="E12">
        <v>108.8</v>
      </c>
      <c r="F12" s="2">
        <v>45658</v>
      </c>
      <c r="G12" s="2">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ht="18" x14ac:dyDescent="0.5">
      <c r="A13" t="s">
        <v>47</v>
      </c>
      <c r="B13" t="s">
        <v>46</v>
      </c>
      <c r="C13">
        <v>2</v>
      </c>
      <c r="D13">
        <v>49</v>
      </c>
      <c r="E13">
        <v>98</v>
      </c>
      <c r="F13" s="2">
        <v>45658</v>
      </c>
      <c r="G13" s="2">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ht="18" x14ac:dyDescent="0.5">
      <c r="A14" t="s">
        <v>48</v>
      </c>
      <c r="B14" t="s">
        <v>37</v>
      </c>
      <c r="C14">
        <v>7</v>
      </c>
      <c r="D14">
        <v>118.6</v>
      </c>
      <c r="E14">
        <v>830.19999999999993</v>
      </c>
      <c r="F14" s="2">
        <v>45658</v>
      </c>
      <c r="G14" s="2">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ht="18" x14ac:dyDescent="0.5">
      <c r="A15" t="s">
        <v>50</v>
      </c>
      <c r="B15" t="s">
        <v>39</v>
      </c>
      <c r="C15">
        <v>27</v>
      </c>
      <c r="D15">
        <v>88.4</v>
      </c>
      <c r="E15">
        <v>2386.8000000000002</v>
      </c>
      <c r="F15" s="2">
        <v>45658</v>
      </c>
      <c r="G15" s="2">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ht="18" x14ac:dyDescent="0.5">
      <c r="A16" t="s">
        <v>53</v>
      </c>
      <c r="B16" t="s">
        <v>54</v>
      </c>
      <c r="C16">
        <v>1</v>
      </c>
      <c r="D16">
        <v>66.7</v>
      </c>
      <c r="E16">
        <v>66.7</v>
      </c>
      <c r="F16" s="2">
        <v>45658</v>
      </c>
      <c r="G16" s="2">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ht="18" x14ac:dyDescent="0.5">
      <c r="A17" t="s">
        <v>56</v>
      </c>
      <c r="B17" t="s">
        <v>46</v>
      </c>
      <c r="C17">
        <v>10</v>
      </c>
      <c r="D17">
        <v>30.9</v>
      </c>
      <c r="E17">
        <v>309</v>
      </c>
      <c r="F17" s="2">
        <v>45658</v>
      </c>
      <c r="G17" s="2">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ht="18" x14ac:dyDescent="0.5">
      <c r="A18" t="s">
        <v>57</v>
      </c>
      <c r="B18" t="s">
        <v>32</v>
      </c>
      <c r="C18">
        <v>3</v>
      </c>
      <c r="D18">
        <v>31.1</v>
      </c>
      <c r="E18">
        <v>93.300000000000011</v>
      </c>
      <c r="F18" s="2">
        <v>45658</v>
      </c>
      <c r="G18" s="2">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ht="18" x14ac:dyDescent="0.5">
      <c r="A19" t="s">
        <v>58</v>
      </c>
      <c r="B19" t="s">
        <v>42</v>
      </c>
      <c r="C19">
        <v>3</v>
      </c>
      <c r="D19">
        <v>36.6</v>
      </c>
      <c r="E19">
        <v>109.80000000000001</v>
      </c>
      <c r="F19" s="2">
        <v>45658</v>
      </c>
      <c r="G19" s="2">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ht="18" x14ac:dyDescent="0.5">
      <c r="A20" t="s">
        <v>60</v>
      </c>
      <c r="B20" t="s">
        <v>39</v>
      </c>
      <c r="C20">
        <v>8</v>
      </c>
      <c r="D20">
        <v>51.1</v>
      </c>
      <c r="E20">
        <v>408.8</v>
      </c>
      <c r="F20" s="2">
        <v>45658</v>
      </c>
      <c r="G20" s="2">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ht="18" x14ac:dyDescent="0.5">
      <c r="A21" t="s">
        <v>61</v>
      </c>
      <c r="B21" t="s">
        <v>46</v>
      </c>
      <c r="C21">
        <v>1</v>
      </c>
      <c r="D21">
        <v>25.2</v>
      </c>
      <c r="E21">
        <v>25.2</v>
      </c>
      <c r="F21" s="2">
        <v>45658</v>
      </c>
      <c r="G21" s="2">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ht="18" x14ac:dyDescent="0.5">
      <c r="A22" t="s">
        <v>63</v>
      </c>
      <c r="B22" t="s">
        <v>46</v>
      </c>
      <c r="C22">
        <v>5</v>
      </c>
      <c r="D22">
        <v>43.8</v>
      </c>
      <c r="E22">
        <v>219</v>
      </c>
      <c r="F22" s="2">
        <v>45658</v>
      </c>
      <c r="G22" s="2">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ht="18" x14ac:dyDescent="0.5">
      <c r="A23" t="s">
        <v>64</v>
      </c>
      <c r="B23" t="s">
        <v>44</v>
      </c>
      <c r="C23">
        <v>12</v>
      </c>
      <c r="D23">
        <v>46.7</v>
      </c>
      <c r="E23">
        <v>560.40000000000009</v>
      </c>
      <c r="F23" s="2">
        <v>45658</v>
      </c>
      <c r="G23" s="2">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ht="18" x14ac:dyDescent="0.5">
      <c r="A24" t="s">
        <v>65</v>
      </c>
      <c r="B24" t="s">
        <v>30</v>
      </c>
      <c r="C24">
        <v>19</v>
      </c>
      <c r="D24">
        <v>79.900000000000006</v>
      </c>
      <c r="E24">
        <v>1518.1000000000001</v>
      </c>
      <c r="F24" s="2">
        <v>45658</v>
      </c>
      <c r="G24" s="2">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ht="18" x14ac:dyDescent="0.5">
      <c r="A25" t="s">
        <v>66</v>
      </c>
      <c r="B25" t="s">
        <v>67</v>
      </c>
      <c r="C25">
        <v>8</v>
      </c>
      <c r="D25">
        <v>26.4</v>
      </c>
      <c r="E25">
        <v>211.2</v>
      </c>
      <c r="F25" s="2">
        <v>45658</v>
      </c>
      <c r="G25" s="2">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ht="18" x14ac:dyDescent="0.5">
      <c r="A26" t="s">
        <v>68</v>
      </c>
      <c r="B26" t="s">
        <v>69</v>
      </c>
      <c r="C26">
        <v>8</v>
      </c>
      <c r="D26">
        <v>88.8</v>
      </c>
      <c r="E26">
        <v>710.4</v>
      </c>
      <c r="F26" s="2">
        <v>45658</v>
      </c>
      <c r="G26" s="2">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ht="18" x14ac:dyDescent="0.5">
      <c r="A27" t="s">
        <v>71</v>
      </c>
      <c r="B27" t="s">
        <v>16</v>
      </c>
      <c r="C27">
        <v>10</v>
      </c>
      <c r="D27">
        <v>17.5</v>
      </c>
      <c r="E27">
        <v>175</v>
      </c>
      <c r="F27" s="2">
        <v>45658</v>
      </c>
      <c r="G27" s="2">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ht="18" x14ac:dyDescent="0.5">
      <c r="A28" t="s">
        <v>73</v>
      </c>
      <c r="B28" t="s">
        <v>22</v>
      </c>
      <c r="C28">
        <v>9</v>
      </c>
      <c r="D28">
        <v>38.700000000000003</v>
      </c>
      <c r="E28">
        <v>348.3</v>
      </c>
      <c r="F28" s="2">
        <v>45658</v>
      </c>
      <c r="G28" s="2">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ht="18" x14ac:dyDescent="0.5">
      <c r="A29" t="s">
        <v>75</v>
      </c>
      <c r="B29" t="s">
        <v>76</v>
      </c>
      <c r="C29">
        <v>4</v>
      </c>
      <c r="D29">
        <v>57.2</v>
      </c>
      <c r="E29">
        <v>228.8</v>
      </c>
      <c r="F29" s="2">
        <v>45658</v>
      </c>
      <c r="G29" s="2">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ht="18" x14ac:dyDescent="0.5">
      <c r="A30" t="s">
        <v>78</v>
      </c>
      <c r="B30" t="s">
        <v>39</v>
      </c>
      <c r="C30">
        <v>5</v>
      </c>
      <c r="D30">
        <v>50.9</v>
      </c>
      <c r="E30">
        <v>254.5</v>
      </c>
      <c r="F30" s="2">
        <v>45658</v>
      </c>
      <c r="G30" s="2">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ht="18" x14ac:dyDescent="0.5">
      <c r="A31" t="s">
        <v>80</v>
      </c>
      <c r="B31" t="s">
        <v>81</v>
      </c>
      <c r="C31">
        <v>7</v>
      </c>
      <c r="D31">
        <v>41</v>
      </c>
      <c r="E31">
        <v>287</v>
      </c>
      <c r="F31" s="2">
        <v>45658</v>
      </c>
      <c r="G31" s="2">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ht="18" x14ac:dyDescent="0.5">
      <c r="A32" t="s">
        <v>83</v>
      </c>
      <c r="B32" t="s">
        <v>44</v>
      </c>
      <c r="C32">
        <v>7</v>
      </c>
      <c r="D32">
        <v>19.100000000000001</v>
      </c>
      <c r="E32">
        <v>133.70000000000002</v>
      </c>
      <c r="F32" s="2">
        <v>45658</v>
      </c>
      <c r="G32" s="2">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ht="18" x14ac:dyDescent="0.5">
      <c r="A33" t="s">
        <v>85</v>
      </c>
      <c r="B33" t="s">
        <v>26</v>
      </c>
      <c r="C33">
        <v>5</v>
      </c>
      <c r="D33">
        <v>166.1</v>
      </c>
      <c r="E33">
        <v>830.5</v>
      </c>
      <c r="F33" s="2">
        <v>45658</v>
      </c>
      <c r="G33" s="2">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ht="18" x14ac:dyDescent="0.5">
      <c r="A34" t="s">
        <v>87</v>
      </c>
      <c r="B34" t="s">
        <v>32</v>
      </c>
      <c r="C34">
        <v>3</v>
      </c>
      <c r="D34">
        <v>29.9</v>
      </c>
      <c r="E34">
        <v>89.699999999999989</v>
      </c>
      <c r="F34" s="2">
        <v>45658</v>
      </c>
      <c r="G34" s="2">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ht="18" x14ac:dyDescent="0.5">
      <c r="A35" t="s">
        <v>88</v>
      </c>
      <c r="B35" t="s">
        <v>54</v>
      </c>
      <c r="C35">
        <v>6</v>
      </c>
      <c r="D35">
        <v>21.7</v>
      </c>
      <c r="E35">
        <v>130.19999999999999</v>
      </c>
      <c r="F35" s="2">
        <v>45658</v>
      </c>
      <c r="G35" s="2">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ht="18" x14ac:dyDescent="0.5">
      <c r="A36" t="s">
        <v>90</v>
      </c>
      <c r="B36" t="s">
        <v>67</v>
      </c>
      <c r="C36">
        <v>2</v>
      </c>
      <c r="D36">
        <v>32</v>
      </c>
      <c r="E36">
        <v>64</v>
      </c>
      <c r="F36" s="2">
        <v>45658</v>
      </c>
      <c r="G36" s="2">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ht="18" x14ac:dyDescent="0.5">
      <c r="A37" t="s">
        <v>91</v>
      </c>
      <c r="B37" t="s">
        <v>44</v>
      </c>
      <c r="C37">
        <v>2</v>
      </c>
      <c r="D37">
        <v>15.8</v>
      </c>
      <c r="E37">
        <v>31.6</v>
      </c>
      <c r="F37" s="2">
        <v>45658</v>
      </c>
      <c r="G37" s="2">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ht="18" x14ac:dyDescent="0.5">
      <c r="A38" t="s">
        <v>92</v>
      </c>
      <c r="B38" t="s">
        <v>26</v>
      </c>
      <c r="C38">
        <v>17</v>
      </c>
      <c r="D38">
        <v>203.1</v>
      </c>
      <c r="E38">
        <v>3452.7</v>
      </c>
      <c r="F38" s="2">
        <v>45658</v>
      </c>
      <c r="G38" s="2">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ht="18" x14ac:dyDescent="0.5">
      <c r="A39" t="s">
        <v>93</v>
      </c>
      <c r="B39" t="s">
        <v>42</v>
      </c>
      <c r="C39">
        <v>13</v>
      </c>
      <c r="D39">
        <v>39</v>
      </c>
      <c r="E39">
        <v>507</v>
      </c>
      <c r="F39" s="2">
        <v>45658</v>
      </c>
      <c r="G39" s="2">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ht="18" x14ac:dyDescent="0.5">
      <c r="A40" t="s">
        <v>94</v>
      </c>
      <c r="B40" t="s">
        <v>54</v>
      </c>
      <c r="C40">
        <v>1</v>
      </c>
      <c r="D40">
        <v>26.5</v>
      </c>
      <c r="E40">
        <v>26.5</v>
      </c>
      <c r="F40" s="2">
        <v>45659</v>
      </c>
      <c r="G40" s="2">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ht="18" x14ac:dyDescent="0.5">
      <c r="A41" t="s">
        <v>95</v>
      </c>
      <c r="B41" t="s">
        <v>37</v>
      </c>
      <c r="C41">
        <v>1</v>
      </c>
      <c r="D41">
        <v>43.1</v>
      </c>
      <c r="E41">
        <v>43.1</v>
      </c>
      <c r="F41" s="2">
        <v>45659</v>
      </c>
      <c r="G41" s="2">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ht="18" x14ac:dyDescent="0.5">
      <c r="A42" t="s">
        <v>96</v>
      </c>
      <c r="B42" t="s">
        <v>22</v>
      </c>
      <c r="C42">
        <v>3</v>
      </c>
      <c r="D42">
        <v>139</v>
      </c>
      <c r="E42">
        <v>417</v>
      </c>
      <c r="F42" s="2">
        <v>45659</v>
      </c>
      <c r="G42" s="2">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ht="18" x14ac:dyDescent="0.5">
      <c r="A43" t="s">
        <v>97</v>
      </c>
      <c r="B43" t="s">
        <v>69</v>
      </c>
      <c r="C43">
        <v>1</v>
      </c>
      <c r="D43">
        <v>80.7</v>
      </c>
      <c r="E43">
        <v>80.7</v>
      </c>
      <c r="F43" s="2">
        <v>45659</v>
      </c>
      <c r="G43" s="2">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ht="18" x14ac:dyDescent="0.5">
      <c r="A44" t="s">
        <v>99</v>
      </c>
      <c r="B44" t="s">
        <v>32</v>
      </c>
      <c r="C44">
        <v>2</v>
      </c>
      <c r="D44">
        <v>54.5</v>
      </c>
      <c r="E44">
        <v>109</v>
      </c>
      <c r="F44" s="2">
        <v>45659</v>
      </c>
      <c r="G44" s="2">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ht="18" x14ac:dyDescent="0.5">
      <c r="A45" t="s">
        <v>100</v>
      </c>
      <c r="B45" t="s">
        <v>39</v>
      </c>
      <c r="C45">
        <v>3</v>
      </c>
      <c r="D45">
        <v>68.599999999999994</v>
      </c>
      <c r="E45">
        <v>205.79999999999998</v>
      </c>
      <c r="F45" s="2">
        <v>45659</v>
      </c>
      <c r="G45" s="2">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ht="18" x14ac:dyDescent="0.5">
      <c r="A46" t="s">
        <v>101</v>
      </c>
      <c r="B46" t="s">
        <v>26</v>
      </c>
      <c r="C46">
        <v>4</v>
      </c>
      <c r="D46">
        <v>135.9</v>
      </c>
      <c r="E46">
        <v>543.6</v>
      </c>
      <c r="F46" s="2">
        <v>45659</v>
      </c>
      <c r="G46" s="2">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ht="18" x14ac:dyDescent="0.5">
      <c r="A47" t="s">
        <v>102</v>
      </c>
      <c r="B47" t="s">
        <v>26</v>
      </c>
      <c r="C47">
        <v>4</v>
      </c>
      <c r="D47">
        <v>70.900000000000006</v>
      </c>
      <c r="E47">
        <v>283.60000000000002</v>
      </c>
      <c r="F47" s="2">
        <v>45659</v>
      </c>
      <c r="G47" s="2">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ht="18" x14ac:dyDescent="0.5">
      <c r="A48" t="s">
        <v>104</v>
      </c>
      <c r="B48" t="s">
        <v>22</v>
      </c>
      <c r="C48">
        <v>5</v>
      </c>
      <c r="D48">
        <v>63.7</v>
      </c>
      <c r="E48">
        <v>318.5</v>
      </c>
      <c r="F48" s="2">
        <v>45659</v>
      </c>
      <c r="G48" s="2">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ht="18" x14ac:dyDescent="0.5">
      <c r="A49" t="s">
        <v>105</v>
      </c>
      <c r="B49" t="s">
        <v>76</v>
      </c>
      <c r="C49">
        <v>1</v>
      </c>
      <c r="D49">
        <v>29.7</v>
      </c>
      <c r="E49">
        <v>29.7</v>
      </c>
      <c r="F49" s="2">
        <v>45659</v>
      </c>
      <c r="G49" s="2">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ht="18" x14ac:dyDescent="0.5">
      <c r="A50" t="s">
        <v>106</v>
      </c>
      <c r="B50" t="s">
        <v>32</v>
      </c>
      <c r="C50">
        <v>3</v>
      </c>
      <c r="D50">
        <v>26.8</v>
      </c>
      <c r="E50">
        <v>80.400000000000006</v>
      </c>
      <c r="F50" s="2">
        <v>45659</v>
      </c>
      <c r="G50" s="2">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ht="18" x14ac:dyDescent="0.5">
      <c r="A51" t="s">
        <v>107</v>
      </c>
      <c r="B51" t="s">
        <v>81</v>
      </c>
      <c r="C51">
        <v>1</v>
      </c>
      <c r="D51">
        <v>27</v>
      </c>
      <c r="E51">
        <v>27</v>
      </c>
      <c r="F51" s="2">
        <v>45659</v>
      </c>
      <c r="G51" s="2">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ht="18" x14ac:dyDescent="0.5">
      <c r="A52" t="s">
        <v>109</v>
      </c>
      <c r="B52" t="s">
        <v>44</v>
      </c>
      <c r="C52">
        <v>1</v>
      </c>
      <c r="D52">
        <v>41.4</v>
      </c>
      <c r="E52">
        <v>41.4</v>
      </c>
      <c r="F52" s="2">
        <v>45659</v>
      </c>
      <c r="G52" s="2">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ht="18" x14ac:dyDescent="0.5">
      <c r="A53" t="s">
        <v>111</v>
      </c>
      <c r="B53" t="s">
        <v>44</v>
      </c>
      <c r="C53">
        <v>2</v>
      </c>
      <c r="D53">
        <v>24.3</v>
      </c>
      <c r="E53">
        <v>48.6</v>
      </c>
      <c r="F53" s="2">
        <v>45659</v>
      </c>
      <c r="G53" s="2">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ht="18" x14ac:dyDescent="0.5">
      <c r="A54" t="s">
        <v>112</v>
      </c>
      <c r="B54" t="s">
        <v>44</v>
      </c>
      <c r="C54">
        <v>3</v>
      </c>
      <c r="D54">
        <v>41.7</v>
      </c>
      <c r="E54">
        <v>125.10000000000001</v>
      </c>
      <c r="F54" s="2">
        <v>45659</v>
      </c>
      <c r="G54" s="2">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ht="18" x14ac:dyDescent="0.5">
      <c r="A55" t="s">
        <v>114</v>
      </c>
      <c r="B55" t="s">
        <v>16</v>
      </c>
      <c r="C55">
        <v>2</v>
      </c>
      <c r="D55">
        <v>18</v>
      </c>
      <c r="E55">
        <v>36</v>
      </c>
      <c r="F55" s="2">
        <v>45659</v>
      </c>
      <c r="G55" s="2">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ht="18" x14ac:dyDescent="0.5">
      <c r="A56" t="s">
        <v>116</v>
      </c>
      <c r="B56" t="s">
        <v>42</v>
      </c>
      <c r="C56">
        <v>3</v>
      </c>
      <c r="D56">
        <v>91.3</v>
      </c>
      <c r="E56">
        <v>273.89999999999998</v>
      </c>
      <c r="F56" s="2">
        <v>45659</v>
      </c>
      <c r="G56" s="2">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ht="18" x14ac:dyDescent="0.5">
      <c r="A57" t="s">
        <v>117</v>
      </c>
      <c r="B57" t="s">
        <v>44</v>
      </c>
      <c r="C57">
        <v>8</v>
      </c>
      <c r="D57">
        <v>19.3</v>
      </c>
      <c r="E57">
        <v>154.4</v>
      </c>
      <c r="F57" s="2">
        <v>45659</v>
      </c>
      <c r="G57" s="2">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ht="18" x14ac:dyDescent="0.5">
      <c r="A58" t="s">
        <v>118</v>
      </c>
      <c r="B58" t="s">
        <v>69</v>
      </c>
      <c r="C58">
        <v>13</v>
      </c>
      <c r="D58">
        <v>63.2</v>
      </c>
      <c r="E58">
        <v>821.6</v>
      </c>
      <c r="F58" s="2">
        <v>45659</v>
      </c>
      <c r="G58" s="2">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ht="18" x14ac:dyDescent="0.5">
      <c r="A59" t="s">
        <v>119</v>
      </c>
      <c r="B59" t="s">
        <v>54</v>
      </c>
      <c r="C59">
        <v>9</v>
      </c>
      <c r="D59">
        <v>33.299999999999997</v>
      </c>
      <c r="E59">
        <v>299.7</v>
      </c>
      <c r="F59" s="2">
        <v>45660</v>
      </c>
      <c r="G59" s="2">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ht="18" x14ac:dyDescent="0.5">
      <c r="A60" t="s">
        <v>120</v>
      </c>
      <c r="B60" t="s">
        <v>42</v>
      </c>
      <c r="C60">
        <v>2</v>
      </c>
      <c r="D60">
        <v>64.2</v>
      </c>
      <c r="E60">
        <v>128.4</v>
      </c>
      <c r="F60" s="2">
        <v>45660</v>
      </c>
      <c r="G60" s="2">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ht="18" x14ac:dyDescent="0.5">
      <c r="A61" t="s">
        <v>121</v>
      </c>
      <c r="B61" t="s">
        <v>46</v>
      </c>
      <c r="C61">
        <v>3</v>
      </c>
      <c r="D61">
        <v>23.1</v>
      </c>
      <c r="E61">
        <v>69.300000000000011</v>
      </c>
      <c r="F61" s="2">
        <v>45660</v>
      </c>
      <c r="G61" s="2">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ht="18" x14ac:dyDescent="0.5">
      <c r="A62" t="s">
        <v>122</v>
      </c>
      <c r="B62" t="s">
        <v>123</v>
      </c>
      <c r="C62">
        <v>2</v>
      </c>
      <c r="D62">
        <v>71.099999999999994</v>
      </c>
      <c r="E62">
        <v>142.19999999999999</v>
      </c>
      <c r="F62" s="2">
        <v>45660</v>
      </c>
      <c r="G62" s="2">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ht="18" x14ac:dyDescent="0.5">
      <c r="A63" t="s">
        <v>124</v>
      </c>
      <c r="B63" t="s">
        <v>16</v>
      </c>
      <c r="C63">
        <v>2</v>
      </c>
      <c r="D63">
        <v>11.5</v>
      </c>
      <c r="E63">
        <v>23</v>
      </c>
      <c r="F63" s="2">
        <v>45660</v>
      </c>
      <c r="G63" s="2">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ht="18" x14ac:dyDescent="0.5">
      <c r="A64" t="s">
        <v>125</v>
      </c>
      <c r="B64" t="s">
        <v>123</v>
      </c>
      <c r="C64">
        <v>19</v>
      </c>
      <c r="D64">
        <v>69.2</v>
      </c>
      <c r="E64">
        <v>1314.8</v>
      </c>
      <c r="F64" s="2">
        <v>45660</v>
      </c>
      <c r="G64" s="2">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ht="18" x14ac:dyDescent="0.5">
      <c r="A65" t="s">
        <v>126</v>
      </c>
      <c r="B65" t="s">
        <v>16</v>
      </c>
      <c r="C65">
        <v>1</v>
      </c>
      <c r="D65">
        <v>26.8</v>
      </c>
      <c r="E65">
        <v>26.8</v>
      </c>
      <c r="F65" s="2">
        <v>45660</v>
      </c>
      <c r="G65" s="2">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ht="18" x14ac:dyDescent="0.5">
      <c r="A66" t="s">
        <v>127</v>
      </c>
      <c r="B66" t="s">
        <v>128</v>
      </c>
      <c r="C66">
        <v>3</v>
      </c>
      <c r="D66">
        <v>31.2</v>
      </c>
      <c r="E66">
        <v>93.6</v>
      </c>
      <c r="F66" s="2">
        <v>45660</v>
      </c>
      <c r="G66" s="2">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ht="18" x14ac:dyDescent="0.5">
      <c r="A67" t="s">
        <v>129</v>
      </c>
      <c r="B67" t="s">
        <v>69</v>
      </c>
      <c r="C67">
        <v>2</v>
      </c>
      <c r="D67">
        <v>113.2</v>
      </c>
      <c r="E67">
        <v>226.4</v>
      </c>
      <c r="F67" s="2">
        <v>45660</v>
      </c>
      <c r="G67" s="2">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ht="18" x14ac:dyDescent="0.5">
      <c r="A68" t="s">
        <v>130</v>
      </c>
      <c r="B68" t="s">
        <v>54</v>
      </c>
      <c r="C68">
        <v>8</v>
      </c>
      <c r="D68">
        <v>21</v>
      </c>
      <c r="E68">
        <v>168</v>
      </c>
      <c r="F68" s="2">
        <v>45660</v>
      </c>
      <c r="G68" s="2">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ht="18" x14ac:dyDescent="0.5">
      <c r="A69" t="s">
        <v>131</v>
      </c>
      <c r="B69" t="s">
        <v>22</v>
      </c>
      <c r="C69">
        <v>2</v>
      </c>
      <c r="D69">
        <v>89.1</v>
      </c>
      <c r="E69">
        <v>178.2</v>
      </c>
      <c r="F69" s="2">
        <v>45660</v>
      </c>
      <c r="G69" s="2">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ht="18" x14ac:dyDescent="0.5">
      <c r="A70" t="s">
        <v>132</v>
      </c>
      <c r="B70" t="s">
        <v>22</v>
      </c>
      <c r="C70">
        <v>1</v>
      </c>
      <c r="D70">
        <v>97.7</v>
      </c>
      <c r="E70">
        <v>97.7</v>
      </c>
      <c r="F70" s="2">
        <v>45660</v>
      </c>
      <c r="G70" s="2">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ht="18" x14ac:dyDescent="0.5">
      <c r="A71" t="s">
        <v>133</v>
      </c>
      <c r="B71" t="s">
        <v>123</v>
      </c>
      <c r="C71">
        <v>4</v>
      </c>
      <c r="D71">
        <v>97.7</v>
      </c>
      <c r="E71">
        <v>390.8</v>
      </c>
      <c r="F71" s="2">
        <v>45660</v>
      </c>
      <c r="G71" s="2">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ht="18" x14ac:dyDescent="0.5">
      <c r="A72" t="s">
        <v>134</v>
      </c>
      <c r="B72" t="s">
        <v>135</v>
      </c>
      <c r="C72">
        <v>3</v>
      </c>
      <c r="D72">
        <v>47.4</v>
      </c>
      <c r="E72">
        <v>142.19999999999999</v>
      </c>
      <c r="F72" s="2">
        <v>45660</v>
      </c>
      <c r="G72" s="2">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ht="18" x14ac:dyDescent="0.5">
      <c r="A73" t="s">
        <v>136</v>
      </c>
      <c r="B73" t="s">
        <v>42</v>
      </c>
      <c r="C73">
        <v>1</v>
      </c>
      <c r="D73">
        <v>89.6</v>
      </c>
      <c r="E73">
        <v>89.6</v>
      </c>
      <c r="F73" s="2">
        <v>45660</v>
      </c>
      <c r="G73" s="2">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ht="18" x14ac:dyDescent="0.5">
      <c r="A74" t="s">
        <v>137</v>
      </c>
      <c r="B74" t="s">
        <v>54</v>
      </c>
      <c r="C74">
        <v>18</v>
      </c>
      <c r="D74">
        <v>28.4</v>
      </c>
      <c r="E74">
        <v>511.2</v>
      </c>
      <c r="F74" s="2">
        <v>45660</v>
      </c>
      <c r="G74" s="2">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ht="18" x14ac:dyDescent="0.5">
      <c r="A75" t="s">
        <v>138</v>
      </c>
      <c r="B75" t="s">
        <v>16</v>
      </c>
      <c r="C75">
        <v>2</v>
      </c>
      <c r="D75">
        <v>17.899999999999999</v>
      </c>
      <c r="E75">
        <v>35.799999999999997</v>
      </c>
      <c r="F75" s="2">
        <v>45660</v>
      </c>
      <c r="G75" s="2">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ht="18" x14ac:dyDescent="0.5">
      <c r="A76" t="s">
        <v>139</v>
      </c>
      <c r="B76" t="s">
        <v>46</v>
      </c>
      <c r="C76">
        <v>2</v>
      </c>
      <c r="D76">
        <v>48.4</v>
      </c>
      <c r="E76">
        <v>96.8</v>
      </c>
      <c r="F76" s="2">
        <v>45660</v>
      </c>
      <c r="G76" s="2">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ht="18" x14ac:dyDescent="0.5">
      <c r="A77" t="s">
        <v>140</v>
      </c>
      <c r="B77" t="s">
        <v>69</v>
      </c>
      <c r="C77">
        <v>4</v>
      </c>
      <c r="D77">
        <v>44.4</v>
      </c>
      <c r="E77">
        <v>177.6</v>
      </c>
      <c r="F77" s="2">
        <v>45660</v>
      </c>
      <c r="G77" s="2">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ht="18" x14ac:dyDescent="0.5">
      <c r="A78" t="s">
        <v>141</v>
      </c>
      <c r="B78" t="s">
        <v>26</v>
      </c>
      <c r="C78">
        <v>8</v>
      </c>
      <c r="D78">
        <v>103.7</v>
      </c>
      <c r="E78">
        <v>829.6</v>
      </c>
      <c r="F78" s="2">
        <v>45660</v>
      </c>
      <c r="G78" s="2">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ht="18" x14ac:dyDescent="0.5">
      <c r="A79" t="s">
        <v>142</v>
      </c>
      <c r="B79" t="s">
        <v>37</v>
      </c>
      <c r="C79">
        <v>4</v>
      </c>
      <c r="D79">
        <v>58.6</v>
      </c>
      <c r="E79">
        <v>234.4</v>
      </c>
      <c r="F79" s="2">
        <v>45660</v>
      </c>
      <c r="G79" s="2">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ht="18" x14ac:dyDescent="0.5">
      <c r="A80" t="s">
        <v>143</v>
      </c>
      <c r="B80" t="s">
        <v>46</v>
      </c>
      <c r="C80">
        <v>4</v>
      </c>
      <c r="D80">
        <v>54.8</v>
      </c>
      <c r="E80">
        <v>219.2</v>
      </c>
      <c r="F80" s="2">
        <v>45660</v>
      </c>
      <c r="G80" s="2">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ht="18" x14ac:dyDescent="0.5">
      <c r="A81" t="s">
        <v>144</v>
      </c>
      <c r="B81" t="s">
        <v>69</v>
      </c>
      <c r="C81">
        <v>3</v>
      </c>
      <c r="D81">
        <v>78.8</v>
      </c>
      <c r="E81">
        <v>236.39999999999998</v>
      </c>
      <c r="F81" s="2">
        <v>45660</v>
      </c>
      <c r="G81" s="2">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ht="18" x14ac:dyDescent="0.5">
      <c r="A82" t="s">
        <v>145</v>
      </c>
      <c r="B82" t="s">
        <v>146</v>
      </c>
      <c r="C82">
        <v>5</v>
      </c>
      <c r="D82">
        <v>36.799999999999997</v>
      </c>
      <c r="E82">
        <v>184</v>
      </c>
      <c r="F82" s="2">
        <v>45660</v>
      </c>
      <c r="G82" s="2">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ht="18" x14ac:dyDescent="0.5">
      <c r="A83" t="s">
        <v>148</v>
      </c>
      <c r="B83" t="s">
        <v>39</v>
      </c>
      <c r="C83">
        <v>6</v>
      </c>
      <c r="D83">
        <v>50.6</v>
      </c>
      <c r="E83">
        <v>303.60000000000002</v>
      </c>
      <c r="F83" s="2">
        <v>45660</v>
      </c>
      <c r="G83" s="2">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ht="18" x14ac:dyDescent="0.5">
      <c r="A84" t="s">
        <v>149</v>
      </c>
      <c r="B84" t="s">
        <v>123</v>
      </c>
      <c r="C84">
        <v>3</v>
      </c>
      <c r="D84">
        <v>36.799999999999997</v>
      </c>
      <c r="E84">
        <v>110.39999999999999</v>
      </c>
      <c r="F84" s="2">
        <v>45660</v>
      </c>
      <c r="G84" s="2">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ht="18" x14ac:dyDescent="0.5">
      <c r="A85" t="s">
        <v>150</v>
      </c>
      <c r="B85" t="s">
        <v>44</v>
      </c>
      <c r="C85">
        <v>9</v>
      </c>
      <c r="D85">
        <v>41.8</v>
      </c>
      <c r="E85">
        <v>376.2</v>
      </c>
      <c r="F85" s="2">
        <v>45661</v>
      </c>
      <c r="G85" s="2">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ht="18" x14ac:dyDescent="0.5">
      <c r="A86" t="s">
        <v>151</v>
      </c>
      <c r="B86" t="s">
        <v>146</v>
      </c>
      <c r="C86">
        <v>1</v>
      </c>
      <c r="D86">
        <v>77.3</v>
      </c>
      <c r="E86">
        <v>77.3</v>
      </c>
      <c r="F86" s="2">
        <v>45661</v>
      </c>
      <c r="G86" s="2">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ht="18" x14ac:dyDescent="0.5">
      <c r="A87" t="s">
        <v>152</v>
      </c>
      <c r="B87" t="s">
        <v>44</v>
      </c>
      <c r="C87">
        <v>4</v>
      </c>
      <c r="D87">
        <v>19.8</v>
      </c>
      <c r="E87">
        <v>79.2</v>
      </c>
      <c r="F87" s="2">
        <v>45661</v>
      </c>
      <c r="G87" s="2">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ht="18" x14ac:dyDescent="0.5">
      <c r="A88" t="s">
        <v>153</v>
      </c>
      <c r="B88" t="s">
        <v>76</v>
      </c>
      <c r="C88">
        <v>4</v>
      </c>
      <c r="D88">
        <v>15.5</v>
      </c>
      <c r="E88">
        <v>62</v>
      </c>
      <c r="F88" s="2">
        <v>45661</v>
      </c>
      <c r="G88" s="2">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ht="18" x14ac:dyDescent="0.5">
      <c r="A89" t="s">
        <v>154</v>
      </c>
      <c r="B89" t="s">
        <v>69</v>
      </c>
      <c r="C89">
        <v>1</v>
      </c>
      <c r="D89">
        <v>46.8</v>
      </c>
      <c r="E89">
        <v>46.8</v>
      </c>
      <c r="F89" s="2">
        <v>45661</v>
      </c>
      <c r="G89" s="2">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ht="18" x14ac:dyDescent="0.5">
      <c r="A90" t="s">
        <v>155</v>
      </c>
      <c r="B90" t="s">
        <v>46</v>
      </c>
      <c r="C90">
        <v>9</v>
      </c>
      <c r="D90">
        <v>28.6</v>
      </c>
      <c r="E90">
        <v>257.40000000000003</v>
      </c>
      <c r="F90" s="2">
        <v>45661</v>
      </c>
      <c r="G90" s="2">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ht="18" x14ac:dyDescent="0.5">
      <c r="A91" t="s">
        <v>156</v>
      </c>
      <c r="B91" t="s">
        <v>26</v>
      </c>
      <c r="C91">
        <v>1</v>
      </c>
      <c r="D91">
        <v>97.7</v>
      </c>
      <c r="E91">
        <v>97.7</v>
      </c>
      <c r="F91" s="2">
        <v>45661</v>
      </c>
      <c r="G91" s="2">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ht="18" x14ac:dyDescent="0.5">
      <c r="A92" t="s">
        <v>157</v>
      </c>
      <c r="B92" t="s">
        <v>46</v>
      </c>
      <c r="C92">
        <v>5</v>
      </c>
      <c r="D92">
        <v>54.7</v>
      </c>
      <c r="E92">
        <v>273.5</v>
      </c>
      <c r="F92" s="2">
        <v>45661</v>
      </c>
      <c r="G92" s="2">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ht="18" x14ac:dyDescent="0.5">
      <c r="A93" t="s">
        <v>159</v>
      </c>
      <c r="B93" t="s">
        <v>26</v>
      </c>
      <c r="C93">
        <v>6</v>
      </c>
      <c r="D93">
        <v>130.5</v>
      </c>
      <c r="E93">
        <v>783</v>
      </c>
      <c r="F93" s="2">
        <v>45661</v>
      </c>
      <c r="G93" s="2">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ht="18" x14ac:dyDescent="0.5">
      <c r="A94" t="s">
        <v>160</v>
      </c>
      <c r="B94" t="s">
        <v>67</v>
      </c>
      <c r="C94">
        <v>2</v>
      </c>
      <c r="D94">
        <v>50.4</v>
      </c>
      <c r="E94">
        <v>100.8</v>
      </c>
      <c r="F94" s="2">
        <v>45661</v>
      </c>
      <c r="G94" s="2">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ht="18" x14ac:dyDescent="0.5">
      <c r="A95" t="s">
        <v>161</v>
      </c>
      <c r="B95" t="s">
        <v>39</v>
      </c>
      <c r="C95">
        <v>13</v>
      </c>
      <c r="D95">
        <v>61.5</v>
      </c>
      <c r="E95">
        <v>799.5</v>
      </c>
      <c r="F95" s="2">
        <v>45661</v>
      </c>
      <c r="G95" s="2">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ht="18" x14ac:dyDescent="0.5">
      <c r="A96" t="s">
        <v>162</v>
      </c>
      <c r="B96" t="s">
        <v>46</v>
      </c>
      <c r="C96">
        <v>4</v>
      </c>
      <c r="D96">
        <v>30.1</v>
      </c>
      <c r="E96">
        <v>120.4</v>
      </c>
      <c r="F96" s="2">
        <v>45661</v>
      </c>
      <c r="G96" s="2">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ht="18" x14ac:dyDescent="0.5">
      <c r="A97" t="s">
        <v>163</v>
      </c>
      <c r="B97" t="s">
        <v>26</v>
      </c>
      <c r="C97">
        <v>5</v>
      </c>
      <c r="D97">
        <v>74.8</v>
      </c>
      <c r="E97">
        <v>374</v>
      </c>
      <c r="F97" s="2">
        <v>45661</v>
      </c>
      <c r="G97" s="2">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ht="18" x14ac:dyDescent="0.5">
      <c r="A98" t="s">
        <v>164</v>
      </c>
      <c r="B98" t="s">
        <v>128</v>
      </c>
      <c r="C98">
        <v>3</v>
      </c>
      <c r="D98">
        <v>64.900000000000006</v>
      </c>
      <c r="E98">
        <v>194.70000000000002</v>
      </c>
      <c r="F98" s="2">
        <v>45661</v>
      </c>
      <c r="G98" s="2">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ht="18" x14ac:dyDescent="0.5">
      <c r="A99" t="s">
        <v>165</v>
      </c>
      <c r="B99" t="s">
        <v>46</v>
      </c>
      <c r="C99">
        <v>2</v>
      </c>
      <c r="D99">
        <v>50.5</v>
      </c>
      <c r="E99">
        <v>101</v>
      </c>
      <c r="F99" s="2">
        <v>45661</v>
      </c>
      <c r="G99" s="2">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ht="18" x14ac:dyDescent="0.5">
      <c r="A100" t="s">
        <v>166</v>
      </c>
      <c r="B100" t="s">
        <v>67</v>
      </c>
      <c r="C100">
        <v>7</v>
      </c>
      <c r="D100">
        <v>63</v>
      </c>
      <c r="E100">
        <v>441</v>
      </c>
      <c r="F100" s="2">
        <v>45661</v>
      </c>
      <c r="G100" s="2">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ht="18" x14ac:dyDescent="0.5">
      <c r="A101" t="s">
        <v>167</v>
      </c>
      <c r="B101" t="s">
        <v>26</v>
      </c>
      <c r="C101">
        <v>3</v>
      </c>
      <c r="D101">
        <v>93.6</v>
      </c>
      <c r="E101">
        <v>280.79999999999995</v>
      </c>
      <c r="F101" s="2">
        <v>45661</v>
      </c>
      <c r="G101" s="2">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ht="18" x14ac:dyDescent="0.5">
      <c r="A102" t="s">
        <v>168</v>
      </c>
      <c r="B102" t="s">
        <v>37</v>
      </c>
      <c r="C102">
        <v>30</v>
      </c>
      <c r="D102">
        <v>41.4</v>
      </c>
      <c r="E102">
        <v>1242</v>
      </c>
      <c r="F102" s="2">
        <v>45661</v>
      </c>
      <c r="G102" s="2">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ht="18" x14ac:dyDescent="0.5">
      <c r="A103" t="s">
        <v>169</v>
      </c>
      <c r="B103" t="s">
        <v>26</v>
      </c>
      <c r="C103">
        <v>2</v>
      </c>
      <c r="D103">
        <v>160</v>
      </c>
      <c r="E103">
        <v>320</v>
      </c>
      <c r="F103" s="2">
        <v>45662</v>
      </c>
      <c r="G103" s="2">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ht="18" x14ac:dyDescent="0.5">
      <c r="A104" t="s">
        <v>170</v>
      </c>
      <c r="B104" t="s">
        <v>171</v>
      </c>
      <c r="C104">
        <v>11</v>
      </c>
      <c r="D104">
        <v>10.5</v>
      </c>
      <c r="E104">
        <v>115.5</v>
      </c>
      <c r="F104" s="2">
        <v>45662</v>
      </c>
      <c r="G104" s="2">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ht="18" x14ac:dyDescent="0.5">
      <c r="A105" t="s">
        <v>172</v>
      </c>
      <c r="B105" t="s">
        <v>54</v>
      </c>
      <c r="C105">
        <v>2</v>
      </c>
      <c r="D105">
        <v>53</v>
      </c>
      <c r="E105">
        <v>106</v>
      </c>
      <c r="F105" s="2">
        <v>45662</v>
      </c>
      <c r="G105" s="2">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ht="18" x14ac:dyDescent="0.5">
      <c r="A106" t="s">
        <v>173</v>
      </c>
      <c r="B106" t="s">
        <v>44</v>
      </c>
      <c r="C106">
        <v>3</v>
      </c>
      <c r="D106">
        <v>18.5</v>
      </c>
      <c r="E106">
        <v>55.5</v>
      </c>
      <c r="F106" s="2">
        <v>45662</v>
      </c>
      <c r="G106" s="2">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ht="18" x14ac:dyDescent="0.5">
      <c r="A107" t="s">
        <v>174</v>
      </c>
      <c r="B107" t="s">
        <v>128</v>
      </c>
      <c r="C107">
        <v>3</v>
      </c>
      <c r="D107">
        <v>84.5</v>
      </c>
      <c r="E107">
        <v>253.5</v>
      </c>
      <c r="F107" s="2">
        <v>45662</v>
      </c>
      <c r="G107" s="2">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ht="18" x14ac:dyDescent="0.5">
      <c r="A108" t="s">
        <v>175</v>
      </c>
      <c r="B108" t="s">
        <v>123</v>
      </c>
      <c r="C108">
        <v>7</v>
      </c>
      <c r="D108">
        <v>31.2</v>
      </c>
      <c r="E108">
        <v>218.4</v>
      </c>
      <c r="F108" s="2">
        <v>45662</v>
      </c>
      <c r="G108" s="2">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ht="18" x14ac:dyDescent="0.5">
      <c r="A109" t="s">
        <v>176</v>
      </c>
      <c r="B109" t="s">
        <v>44</v>
      </c>
      <c r="C109">
        <v>18</v>
      </c>
      <c r="D109">
        <v>32.6</v>
      </c>
      <c r="E109">
        <v>586.80000000000007</v>
      </c>
      <c r="F109" s="2">
        <v>45662</v>
      </c>
      <c r="G109" s="2">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ht="18" x14ac:dyDescent="0.5">
      <c r="A110" t="s">
        <v>177</v>
      </c>
      <c r="B110" t="s">
        <v>54</v>
      </c>
      <c r="C110">
        <v>4</v>
      </c>
      <c r="D110">
        <v>45.4</v>
      </c>
      <c r="E110">
        <v>181.6</v>
      </c>
      <c r="F110" s="2">
        <v>45662</v>
      </c>
      <c r="G110" s="2">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ht="18" x14ac:dyDescent="0.5">
      <c r="A111" t="s">
        <v>178</v>
      </c>
      <c r="B111" t="s">
        <v>26</v>
      </c>
      <c r="C111">
        <v>12</v>
      </c>
      <c r="D111">
        <v>120</v>
      </c>
      <c r="E111">
        <v>1440</v>
      </c>
      <c r="F111" s="2">
        <v>45662</v>
      </c>
      <c r="G111" s="2">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ht="18" x14ac:dyDescent="0.5">
      <c r="A112" t="s">
        <v>179</v>
      </c>
      <c r="B112" t="s">
        <v>16</v>
      </c>
      <c r="C112">
        <v>4</v>
      </c>
      <c r="D112">
        <v>18.899999999999999</v>
      </c>
      <c r="E112">
        <v>75.599999999999994</v>
      </c>
      <c r="F112" s="2">
        <v>45662</v>
      </c>
      <c r="G112" s="2">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ht="18" x14ac:dyDescent="0.5">
      <c r="A113" t="s">
        <v>180</v>
      </c>
      <c r="B113" t="s">
        <v>32</v>
      </c>
      <c r="C113">
        <v>1</v>
      </c>
      <c r="D113">
        <v>32</v>
      </c>
      <c r="E113">
        <v>32</v>
      </c>
      <c r="F113" s="2">
        <v>45662</v>
      </c>
      <c r="G113" s="2">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ht="18" x14ac:dyDescent="0.5">
      <c r="A114" t="s">
        <v>181</v>
      </c>
      <c r="B114" t="s">
        <v>42</v>
      </c>
      <c r="C114">
        <v>2</v>
      </c>
      <c r="D114">
        <v>37.299999999999997</v>
      </c>
      <c r="E114">
        <v>74.599999999999994</v>
      </c>
      <c r="F114" s="2">
        <v>45662</v>
      </c>
      <c r="G114" s="2">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ht="18" x14ac:dyDescent="0.5">
      <c r="A115" t="s">
        <v>182</v>
      </c>
      <c r="B115" t="s">
        <v>146</v>
      </c>
      <c r="C115">
        <v>1</v>
      </c>
      <c r="D115">
        <v>119.8</v>
      </c>
      <c r="E115">
        <v>119.8</v>
      </c>
      <c r="F115" s="2">
        <v>45662</v>
      </c>
      <c r="G115" s="2">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ht="18" x14ac:dyDescent="0.5">
      <c r="A116" t="s">
        <v>183</v>
      </c>
      <c r="B116" t="s">
        <v>54</v>
      </c>
      <c r="C116">
        <v>2</v>
      </c>
      <c r="D116">
        <v>26.4</v>
      </c>
      <c r="E116">
        <v>52.8</v>
      </c>
      <c r="F116" s="2">
        <v>45662</v>
      </c>
      <c r="G116" s="2">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ht="18" x14ac:dyDescent="0.5">
      <c r="A117" t="s">
        <v>184</v>
      </c>
      <c r="B117" t="s">
        <v>39</v>
      </c>
      <c r="C117">
        <v>6</v>
      </c>
      <c r="D117">
        <v>76.5</v>
      </c>
      <c r="E117">
        <v>459</v>
      </c>
      <c r="F117" s="2">
        <v>45662</v>
      </c>
      <c r="G117" s="2">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ht="18" x14ac:dyDescent="0.5">
      <c r="A118" t="s">
        <v>185</v>
      </c>
      <c r="B118" t="s">
        <v>32</v>
      </c>
      <c r="C118">
        <v>10</v>
      </c>
      <c r="D118">
        <v>45.7</v>
      </c>
      <c r="E118">
        <v>457</v>
      </c>
      <c r="F118" s="2">
        <v>45662</v>
      </c>
      <c r="G118" s="2">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ht="18" x14ac:dyDescent="0.5">
      <c r="A119" t="s">
        <v>187</v>
      </c>
      <c r="B119" t="s">
        <v>22</v>
      </c>
      <c r="C119">
        <v>12</v>
      </c>
      <c r="D119">
        <v>92.6</v>
      </c>
      <c r="E119">
        <v>1111.1999999999998</v>
      </c>
      <c r="F119" s="2">
        <v>45662</v>
      </c>
      <c r="G119" s="2">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ht="18" x14ac:dyDescent="0.5">
      <c r="A120" t="s">
        <v>189</v>
      </c>
      <c r="B120" t="s">
        <v>39</v>
      </c>
      <c r="C120">
        <v>6</v>
      </c>
      <c r="D120">
        <v>60.1</v>
      </c>
      <c r="E120">
        <v>360.6</v>
      </c>
      <c r="F120" s="2">
        <v>45662</v>
      </c>
      <c r="G120" s="2">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ht="18" x14ac:dyDescent="0.5">
      <c r="A121" t="s">
        <v>190</v>
      </c>
      <c r="B121" t="s">
        <v>22</v>
      </c>
      <c r="C121">
        <v>3</v>
      </c>
      <c r="D121">
        <v>73</v>
      </c>
      <c r="E121">
        <v>219</v>
      </c>
      <c r="F121" s="2">
        <v>45662</v>
      </c>
      <c r="G121" s="2">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ht="18" x14ac:dyDescent="0.5">
      <c r="A122" t="s">
        <v>191</v>
      </c>
      <c r="B122" t="s">
        <v>39</v>
      </c>
      <c r="C122">
        <v>3</v>
      </c>
      <c r="D122">
        <v>44.3</v>
      </c>
      <c r="E122">
        <v>132.89999999999998</v>
      </c>
      <c r="F122" s="2">
        <v>45662</v>
      </c>
      <c r="G122" s="2">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ht="18" x14ac:dyDescent="0.5">
      <c r="A123" t="s">
        <v>192</v>
      </c>
      <c r="B123" t="s">
        <v>39</v>
      </c>
      <c r="C123">
        <v>3</v>
      </c>
      <c r="D123">
        <v>63.3</v>
      </c>
      <c r="E123">
        <v>189.89999999999998</v>
      </c>
      <c r="F123" s="2">
        <v>45662</v>
      </c>
      <c r="G123" s="2">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ht="18" x14ac:dyDescent="0.5">
      <c r="A124" t="s">
        <v>193</v>
      </c>
      <c r="B124" t="s">
        <v>69</v>
      </c>
      <c r="C124">
        <v>1</v>
      </c>
      <c r="D124">
        <v>66.8</v>
      </c>
      <c r="E124">
        <v>66.8</v>
      </c>
      <c r="F124" s="2">
        <v>45662</v>
      </c>
      <c r="G124" s="2">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ht="18" x14ac:dyDescent="0.5">
      <c r="A125" t="s">
        <v>194</v>
      </c>
      <c r="B125" t="s">
        <v>26</v>
      </c>
      <c r="C125">
        <v>2</v>
      </c>
      <c r="D125">
        <v>59.7</v>
      </c>
      <c r="E125">
        <v>119.4</v>
      </c>
      <c r="F125" s="2">
        <v>45662</v>
      </c>
      <c r="G125" s="2">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ht="18" x14ac:dyDescent="0.5">
      <c r="A126" t="s">
        <v>195</v>
      </c>
      <c r="B126" t="s">
        <v>22</v>
      </c>
      <c r="C126">
        <v>6</v>
      </c>
      <c r="D126">
        <v>92</v>
      </c>
      <c r="E126">
        <v>552</v>
      </c>
      <c r="F126" s="2">
        <v>45662</v>
      </c>
      <c r="G126" s="2">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ht="18" x14ac:dyDescent="0.5">
      <c r="A127" t="s">
        <v>196</v>
      </c>
      <c r="B127" t="s">
        <v>42</v>
      </c>
      <c r="C127">
        <v>2</v>
      </c>
      <c r="D127">
        <v>87.6</v>
      </c>
      <c r="E127">
        <v>175.2</v>
      </c>
      <c r="F127" s="2">
        <v>45662</v>
      </c>
      <c r="G127" s="2">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ht="18" x14ac:dyDescent="0.5">
      <c r="A128" t="s">
        <v>197</v>
      </c>
      <c r="B128" t="s">
        <v>39</v>
      </c>
      <c r="C128">
        <v>3</v>
      </c>
      <c r="D128">
        <v>84.5</v>
      </c>
      <c r="E128">
        <v>253.5</v>
      </c>
      <c r="F128" s="2">
        <v>45662</v>
      </c>
      <c r="G128" s="2">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ht="18" x14ac:dyDescent="0.5">
      <c r="A129" t="s">
        <v>198</v>
      </c>
      <c r="B129" t="s">
        <v>22</v>
      </c>
      <c r="C129">
        <v>2</v>
      </c>
      <c r="D129">
        <v>116.3</v>
      </c>
      <c r="E129">
        <v>232.6</v>
      </c>
      <c r="F129" s="2">
        <v>45663</v>
      </c>
      <c r="G129" s="2">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ht="18" x14ac:dyDescent="0.5">
      <c r="A130" t="s">
        <v>199</v>
      </c>
      <c r="B130" t="s">
        <v>39</v>
      </c>
      <c r="C130">
        <v>5</v>
      </c>
      <c r="D130">
        <v>52.7</v>
      </c>
      <c r="E130">
        <v>263.5</v>
      </c>
      <c r="F130" s="2">
        <v>45663</v>
      </c>
      <c r="G130" s="2">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ht="18" x14ac:dyDescent="0.5">
      <c r="A131" t="s">
        <v>200</v>
      </c>
      <c r="B131" t="s">
        <v>128</v>
      </c>
      <c r="C131">
        <v>3</v>
      </c>
      <c r="D131">
        <v>34.200000000000003</v>
      </c>
      <c r="E131">
        <v>102.60000000000001</v>
      </c>
      <c r="F131" s="2">
        <v>45663</v>
      </c>
      <c r="G131" s="2">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ht="18" x14ac:dyDescent="0.5">
      <c r="A132" t="s">
        <v>202</v>
      </c>
      <c r="B132" t="s">
        <v>46</v>
      </c>
      <c r="C132">
        <v>1</v>
      </c>
      <c r="D132">
        <v>23.3</v>
      </c>
      <c r="E132">
        <v>23.3</v>
      </c>
      <c r="F132" s="2">
        <v>45663</v>
      </c>
      <c r="G132" s="2">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ht="18" x14ac:dyDescent="0.5">
      <c r="A133" t="s">
        <v>203</v>
      </c>
      <c r="B133" t="s">
        <v>16</v>
      </c>
      <c r="C133">
        <v>26</v>
      </c>
      <c r="D133">
        <v>25.9</v>
      </c>
      <c r="E133">
        <v>673.4</v>
      </c>
      <c r="F133" s="2">
        <v>45663</v>
      </c>
      <c r="G133" s="2">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ht="18" x14ac:dyDescent="0.5">
      <c r="A134" t="s">
        <v>204</v>
      </c>
      <c r="B134" t="s">
        <v>39</v>
      </c>
      <c r="C134">
        <v>29</v>
      </c>
      <c r="D134">
        <v>54.9</v>
      </c>
      <c r="E134">
        <v>1592.1</v>
      </c>
      <c r="F134" s="2">
        <v>45663</v>
      </c>
      <c r="G134" s="2">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ht="18" x14ac:dyDescent="0.5">
      <c r="A135" t="s">
        <v>205</v>
      </c>
      <c r="B135" t="s">
        <v>37</v>
      </c>
      <c r="C135">
        <v>3</v>
      </c>
      <c r="D135">
        <v>75.8</v>
      </c>
      <c r="E135">
        <v>227.39999999999998</v>
      </c>
      <c r="F135" s="2">
        <v>45663</v>
      </c>
      <c r="G135" s="2">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ht="18" x14ac:dyDescent="0.5">
      <c r="A136" t="s">
        <v>206</v>
      </c>
      <c r="B136" t="s">
        <v>22</v>
      </c>
      <c r="C136">
        <v>9</v>
      </c>
      <c r="D136">
        <v>44.9</v>
      </c>
      <c r="E136">
        <v>404.09999999999997</v>
      </c>
      <c r="F136" s="2">
        <v>45663</v>
      </c>
      <c r="G136" s="2">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ht="18" x14ac:dyDescent="0.5">
      <c r="A137" t="s">
        <v>207</v>
      </c>
      <c r="B137" t="s">
        <v>67</v>
      </c>
      <c r="C137">
        <v>2</v>
      </c>
      <c r="D137">
        <v>48.8</v>
      </c>
      <c r="E137">
        <v>97.6</v>
      </c>
      <c r="F137" s="2">
        <v>45663</v>
      </c>
      <c r="G137" s="2">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ht="18" x14ac:dyDescent="0.5">
      <c r="A138" t="s">
        <v>209</v>
      </c>
      <c r="B138" t="s">
        <v>123</v>
      </c>
      <c r="C138">
        <v>1</v>
      </c>
      <c r="D138">
        <v>20.3</v>
      </c>
      <c r="E138">
        <v>20.3</v>
      </c>
      <c r="F138" s="2">
        <v>45663</v>
      </c>
      <c r="G138" s="2">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ht="18" x14ac:dyDescent="0.5">
      <c r="A139" t="s">
        <v>210</v>
      </c>
      <c r="B139" t="s">
        <v>37</v>
      </c>
      <c r="C139">
        <v>7</v>
      </c>
      <c r="D139">
        <v>36.4</v>
      </c>
      <c r="E139">
        <v>254.79999999999998</v>
      </c>
      <c r="F139" s="2">
        <v>45663</v>
      </c>
      <c r="G139" s="2">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ht="18" x14ac:dyDescent="0.5">
      <c r="A140" t="s">
        <v>211</v>
      </c>
      <c r="B140" t="s">
        <v>16</v>
      </c>
      <c r="C140">
        <v>1</v>
      </c>
      <c r="D140">
        <v>19</v>
      </c>
      <c r="E140">
        <v>19</v>
      </c>
      <c r="F140" s="2">
        <v>45663</v>
      </c>
      <c r="G140" s="2">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ht="18" x14ac:dyDescent="0.5">
      <c r="A141" t="s">
        <v>212</v>
      </c>
      <c r="B141" t="s">
        <v>44</v>
      </c>
      <c r="C141">
        <v>1</v>
      </c>
      <c r="D141">
        <v>17.8</v>
      </c>
      <c r="E141">
        <v>17.8</v>
      </c>
      <c r="F141" s="2">
        <v>45663</v>
      </c>
      <c r="G141" s="2">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ht="18" x14ac:dyDescent="0.5">
      <c r="A142" t="s">
        <v>213</v>
      </c>
      <c r="B142" t="s">
        <v>26</v>
      </c>
      <c r="C142">
        <v>6</v>
      </c>
      <c r="D142">
        <v>139.6</v>
      </c>
      <c r="E142">
        <v>837.59999999999991</v>
      </c>
      <c r="F142" s="2">
        <v>45663</v>
      </c>
      <c r="G142" s="2">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ht="18" x14ac:dyDescent="0.5">
      <c r="A143" t="s">
        <v>214</v>
      </c>
      <c r="B143" t="s">
        <v>46</v>
      </c>
      <c r="C143">
        <v>1</v>
      </c>
      <c r="D143">
        <v>31.7</v>
      </c>
      <c r="E143">
        <v>31.7</v>
      </c>
      <c r="F143" s="2">
        <v>45663</v>
      </c>
      <c r="G143" s="2">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ht="18" x14ac:dyDescent="0.5">
      <c r="A144" t="s">
        <v>215</v>
      </c>
      <c r="B144" t="s">
        <v>44</v>
      </c>
      <c r="C144">
        <v>8</v>
      </c>
      <c r="D144">
        <v>26.3</v>
      </c>
      <c r="E144">
        <v>210.4</v>
      </c>
      <c r="F144" s="2">
        <v>45663</v>
      </c>
      <c r="G144" s="2">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ht="18" x14ac:dyDescent="0.5">
      <c r="A145" t="s">
        <v>216</v>
      </c>
      <c r="B145" t="s">
        <v>32</v>
      </c>
      <c r="C145">
        <v>2</v>
      </c>
      <c r="D145">
        <v>47.8</v>
      </c>
      <c r="E145">
        <v>95.6</v>
      </c>
      <c r="F145" s="2">
        <v>45663</v>
      </c>
      <c r="G145" s="2">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ht="18" x14ac:dyDescent="0.5">
      <c r="A146" t="s">
        <v>217</v>
      </c>
      <c r="B146" t="s">
        <v>46</v>
      </c>
      <c r="C146">
        <v>3</v>
      </c>
      <c r="D146">
        <v>69.400000000000006</v>
      </c>
      <c r="E146">
        <v>208.20000000000002</v>
      </c>
      <c r="F146" s="2">
        <v>45663</v>
      </c>
      <c r="G146" s="2">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ht="18" x14ac:dyDescent="0.5">
      <c r="A147" t="s">
        <v>218</v>
      </c>
      <c r="B147" t="s">
        <v>146</v>
      </c>
      <c r="C147">
        <v>12</v>
      </c>
      <c r="D147">
        <v>25.8</v>
      </c>
      <c r="E147">
        <v>309.60000000000002</v>
      </c>
      <c r="F147" s="2">
        <v>45663</v>
      </c>
      <c r="G147" s="2">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ht="18" x14ac:dyDescent="0.5">
      <c r="A148" t="s">
        <v>219</v>
      </c>
      <c r="B148" t="s">
        <v>16</v>
      </c>
      <c r="C148">
        <v>4</v>
      </c>
      <c r="D148">
        <v>26.4</v>
      </c>
      <c r="E148">
        <v>105.6</v>
      </c>
      <c r="F148" s="2">
        <v>45663</v>
      </c>
      <c r="G148" s="2">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ht="18" x14ac:dyDescent="0.5">
      <c r="A149" t="s">
        <v>220</v>
      </c>
      <c r="B149" t="s">
        <v>44</v>
      </c>
      <c r="C149">
        <v>4</v>
      </c>
      <c r="D149">
        <v>15.7</v>
      </c>
      <c r="E149">
        <v>62.8</v>
      </c>
      <c r="F149" s="2">
        <v>45663</v>
      </c>
      <c r="G149" s="2">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ht="18" x14ac:dyDescent="0.5">
      <c r="A150" t="s">
        <v>221</v>
      </c>
      <c r="B150" t="s">
        <v>44</v>
      </c>
      <c r="C150">
        <v>1</v>
      </c>
      <c r="D150">
        <v>39.700000000000003</v>
      </c>
      <c r="E150">
        <v>39.700000000000003</v>
      </c>
      <c r="F150" s="2">
        <v>45663</v>
      </c>
      <c r="G150" s="2">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ht="18" x14ac:dyDescent="0.5">
      <c r="A151" t="s">
        <v>222</v>
      </c>
      <c r="B151" t="s">
        <v>54</v>
      </c>
      <c r="C151">
        <v>4</v>
      </c>
      <c r="D151">
        <v>31.1</v>
      </c>
      <c r="E151">
        <v>124.4</v>
      </c>
      <c r="F151" s="2">
        <v>45663</v>
      </c>
      <c r="G151" s="2">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ht="18" x14ac:dyDescent="0.5">
      <c r="A152" t="s">
        <v>223</v>
      </c>
      <c r="B152" t="s">
        <v>76</v>
      </c>
      <c r="C152">
        <v>15</v>
      </c>
      <c r="D152">
        <v>23.4</v>
      </c>
      <c r="E152">
        <v>351</v>
      </c>
      <c r="F152" s="2">
        <v>45663</v>
      </c>
      <c r="G152" s="2">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ht="18" x14ac:dyDescent="0.5">
      <c r="A153" t="s">
        <v>224</v>
      </c>
      <c r="B153" t="s">
        <v>22</v>
      </c>
      <c r="C153">
        <v>4</v>
      </c>
      <c r="D153">
        <v>57.1</v>
      </c>
      <c r="E153">
        <v>228.4</v>
      </c>
      <c r="F153" s="2">
        <v>45664</v>
      </c>
      <c r="G153" s="2">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ht="18" x14ac:dyDescent="0.5">
      <c r="A154" t="s">
        <v>225</v>
      </c>
      <c r="B154" t="s">
        <v>26</v>
      </c>
      <c r="C154">
        <v>5</v>
      </c>
      <c r="D154">
        <v>89.9</v>
      </c>
      <c r="E154">
        <v>449.5</v>
      </c>
      <c r="F154" s="2">
        <v>45664</v>
      </c>
      <c r="G154" s="2">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ht="18" x14ac:dyDescent="0.5">
      <c r="A155" t="s">
        <v>226</v>
      </c>
      <c r="B155" t="s">
        <v>54</v>
      </c>
      <c r="C155">
        <v>7</v>
      </c>
      <c r="D155">
        <v>48.1</v>
      </c>
      <c r="E155">
        <v>336.7</v>
      </c>
      <c r="F155" s="2">
        <v>45664</v>
      </c>
      <c r="G155" s="2">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ht="18" x14ac:dyDescent="0.5">
      <c r="A156" t="s">
        <v>227</v>
      </c>
      <c r="B156" t="s">
        <v>44</v>
      </c>
      <c r="C156">
        <v>2</v>
      </c>
      <c r="D156">
        <v>29.3</v>
      </c>
      <c r="E156">
        <v>58.6</v>
      </c>
      <c r="F156" s="2">
        <v>45664</v>
      </c>
      <c r="G156" s="2">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ht="18" x14ac:dyDescent="0.5">
      <c r="A157" t="s">
        <v>228</v>
      </c>
      <c r="B157" t="s">
        <v>44</v>
      </c>
      <c r="C157">
        <v>4</v>
      </c>
      <c r="D157">
        <v>28.8</v>
      </c>
      <c r="E157">
        <v>115.2</v>
      </c>
      <c r="F157" s="2">
        <v>45664</v>
      </c>
      <c r="G157" s="2">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ht="18" x14ac:dyDescent="0.5">
      <c r="A158" t="s">
        <v>229</v>
      </c>
      <c r="B158" t="s">
        <v>54</v>
      </c>
      <c r="C158">
        <v>5</v>
      </c>
      <c r="D158">
        <v>40.5</v>
      </c>
      <c r="E158">
        <v>202.5</v>
      </c>
      <c r="F158" s="2">
        <v>45664</v>
      </c>
      <c r="G158" s="2">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ht="18" x14ac:dyDescent="0.5">
      <c r="A159" t="s">
        <v>230</v>
      </c>
      <c r="B159" t="s">
        <v>146</v>
      </c>
      <c r="C159">
        <v>14</v>
      </c>
      <c r="D159">
        <v>65.099999999999994</v>
      </c>
      <c r="E159">
        <v>911.39999999999986</v>
      </c>
      <c r="F159" s="2">
        <v>45664</v>
      </c>
      <c r="G159" s="2">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ht="18" x14ac:dyDescent="0.5">
      <c r="A160" t="s">
        <v>231</v>
      </c>
      <c r="B160" t="s">
        <v>44</v>
      </c>
      <c r="C160">
        <v>4</v>
      </c>
      <c r="D160">
        <v>40.299999999999997</v>
      </c>
      <c r="E160">
        <v>161.19999999999999</v>
      </c>
      <c r="F160" s="2">
        <v>45664</v>
      </c>
      <c r="G160" s="2">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ht="18" x14ac:dyDescent="0.5">
      <c r="A161" t="s">
        <v>232</v>
      </c>
      <c r="B161" t="s">
        <v>39</v>
      </c>
      <c r="C161">
        <v>5</v>
      </c>
      <c r="D161">
        <v>51.8</v>
      </c>
      <c r="E161">
        <v>259</v>
      </c>
      <c r="F161" s="2">
        <v>45664</v>
      </c>
      <c r="G161" s="2">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ht="18" x14ac:dyDescent="0.5">
      <c r="A162" t="s">
        <v>233</v>
      </c>
      <c r="B162" t="s">
        <v>39</v>
      </c>
      <c r="C162">
        <v>3</v>
      </c>
      <c r="D162">
        <v>61.3</v>
      </c>
      <c r="E162">
        <v>183.89999999999998</v>
      </c>
      <c r="F162" s="2">
        <v>45664</v>
      </c>
      <c r="G162" s="2">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ht="18" x14ac:dyDescent="0.5">
      <c r="A163" t="s">
        <v>234</v>
      </c>
      <c r="B163" t="s">
        <v>26</v>
      </c>
      <c r="C163">
        <v>4</v>
      </c>
      <c r="D163">
        <v>122.5</v>
      </c>
      <c r="E163">
        <v>490</v>
      </c>
      <c r="F163" s="2">
        <v>45664</v>
      </c>
      <c r="G163" s="2">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ht="18" x14ac:dyDescent="0.5">
      <c r="A164" t="s">
        <v>235</v>
      </c>
      <c r="B164" t="s">
        <v>16</v>
      </c>
      <c r="C164">
        <v>9</v>
      </c>
      <c r="D164">
        <v>12.5</v>
      </c>
      <c r="E164">
        <v>112.5</v>
      </c>
      <c r="F164" s="2">
        <v>45664</v>
      </c>
      <c r="G164" s="2">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ht="18" x14ac:dyDescent="0.5">
      <c r="A165" t="s">
        <v>236</v>
      </c>
      <c r="B165" t="s">
        <v>123</v>
      </c>
      <c r="C165">
        <v>8</v>
      </c>
      <c r="D165">
        <v>37.5</v>
      </c>
      <c r="E165">
        <v>300</v>
      </c>
      <c r="F165" s="2">
        <v>45664</v>
      </c>
      <c r="G165" s="2">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ht="18" x14ac:dyDescent="0.5">
      <c r="A166" t="s">
        <v>237</v>
      </c>
      <c r="B166" t="s">
        <v>39</v>
      </c>
      <c r="C166">
        <v>3</v>
      </c>
      <c r="D166">
        <v>40</v>
      </c>
      <c r="E166">
        <v>120</v>
      </c>
      <c r="F166" s="2">
        <v>45664</v>
      </c>
      <c r="G166" s="2">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ht="18" x14ac:dyDescent="0.5">
      <c r="A167" t="s">
        <v>238</v>
      </c>
      <c r="B167" t="s">
        <v>135</v>
      </c>
      <c r="C167">
        <v>8</v>
      </c>
      <c r="D167">
        <v>38.5</v>
      </c>
      <c r="E167">
        <v>308</v>
      </c>
      <c r="F167" s="2">
        <v>45664</v>
      </c>
      <c r="G167" s="2">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ht="18" x14ac:dyDescent="0.5">
      <c r="A168" t="s">
        <v>239</v>
      </c>
      <c r="B168" t="s">
        <v>26</v>
      </c>
      <c r="C168">
        <v>2</v>
      </c>
      <c r="D168">
        <v>86.4</v>
      </c>
      <c r="E168">
        <v>172.8</v>
      </c>
      <c r="F168" s="2">
        <v>45664</v>
      </c>
      <c r="G168" s="2">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ht="18" x14ac:dyDescent="0.5">
      <c r="A169" t="s">
        <v>240</v>
      </c>
      <c r="B169" t="s">
        <v>54</v>
      </c>
      <c r="C169">
        <v>1</v>
      </c>
      <c r="D169">
        <v>50.7</v>
      </c>
      <c r="E169">
        <v>50.7</v>
      </c>
      <c r="F169" s="2">
        <v>45664</v>
      </c>
      <c r="G169" s="2">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ht="18" x14ac:dyDescent="0.5">
      <c r="A170" t="s">
        <v>241</v>
      </c>
      <c r="B170" t="s">
        <v>54</v>
      </c>
      <c r="C170">
        <v>2</v>
      </c>
      <c r="D170">
        <v>61</v>
      </c>
      <c r="E170">
        <v>122</v>
      </c>
      <c r="F170" s="2">
        <v>45664</v>
      </c>
      <c r="G170" s="2">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ht="18" x14ac:dyDescent="0.5">
      <c r="A171" t="s">
        <v>242</v>
      </c>
      <c r="B171" t="s">
        <v>32</v>
      </c>
      <c r="C171">
        <v>2</v>
      </c>
      <c r="D171">
        <v>19.899999999999999</v>
      </c>
      <c r="E171">
        <v>39.799999999999997</v>
      </c>
      <c r="F171" s="2">
        <v>45664</v>
      </c>
      <c r="G171" s="2">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ht="18" x14ac:dyDescent="0.5">
      <c r="A172" t="s">
        <v>244</v>
      </c>
      <c r="B172" t="s">
        <v>37</v>
      </c>
      <c r="C172">
        <v>1</v>
      </c>
      <c r="D172">
        <v>78.3</v>
      </c>
      <c r="E172">
        <v>78.3</v>
      </c>
      <c r="F172" s="2">
        <v>45664</v>
      </c>
      <c r="G172" s="2">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ht="18" x14ac:dyDescent="0.5">
      <c r="A173" t="s">
        <v>245</v>
      </c>
      <c r="B173" t="s">
        <v>16</v>
      </c>
      <c r="C173">
        <v>19</v>
      </c>
      <c r="D173">
        <v>10.4</v>
      </c>
      <c r="E173">
        <v>197.6</v>
      </c>
      <c r="F173" s="2">
        <v>45664</v>
      </c>
      <c r="G173" s="2">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ht="18" x14ac:dyDescent="0.5">
      <c r="A174" t="s">
        <v>246</v>
      </c>
      <c r="B174" t="s">
        <v>54</v>
      </c>
      <c r="C174">
        <v>1</v>
      </c>
      <c r="D174">
        <v>36.1</v>
      </c>
      <c r="E174">
        <v>36.1</v>
      </c>
      <c r="F174" s="2">
        <v>45664</v>
      </c>
      <c r="G174" s="2">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ht="18" x14ac:dyDescent="0.5">
      <c r="A175" t="s">
        <v>247</v>
      </c>
      <c r="B175" t="s">
        <v>81</v>
      </c>
      <c r="C175">
        <v>2</v>
      </c>
      <c r="D175">
        <v>17.3</v>
      </c>
      <c r="E175">
        <v>34.6</v>
      </c>
      <c r="F175" s="2">
        <v>45664</v>
      </c>
      <c r="G175" s="2">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ht="18" x14ac:dyDescent="0.5">
      <c r="A176" t="s">
        <v>248</v>
      </c>
      <c r="B176" t="s">
        <v>54</v>
      </c>
      <c r="C176">
        <v>2</v>
      </c>
      <c r="D176">
        <v>30.5</v>
      </c>
      <c r="E176">
        <v>61</v>
      </c>
      <c r="F176" s="2">
        <v>45664</v>
      </c>
      <c r="G176" s="2">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ht="18" x14ac:dyDescent="0.5">
      <c r="A177" t="s">
        <v>249</v>
      </c>
      <c r="B177" t="s">
        <v>146</v>
      </c>
      <c r="C177">
        <v>62</v>
      </c>
      <c r="D177">
        <v>70.099999999999994</v>
      </c>
      <c r="E177">
        <v>4346.2</v>
      </c>
      <c r="F177" s="2">
        <v>45664</v>
      </c>
      <c r="G177" s="2">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ht="18" x14ac:dyDescent="0.5">
      <c r="A178" t="s">
        <v>250</v>
      </c>
      <c r="B178" t="s">
        <v>30</v>
      </c>
      <c r="C178">
        <v>1</v>
      </c>
      <c r="D178">
        <v>76.099999999999994</v>
      </c>
      <c r="E178">
        <v>76.099999999999994</v>
      </c>
      <c r="F178" s="2">
        <v>45664</v>
      </c>
      <c r="G178" s="2">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ht="18" x14ac:dyDescent="0.5">
      <c r="A179" t="s">
        <v>251</v>
      </c>
      <c r="B179" t="s">
        <v>123</v>
      </c>
      <c r="C179">
        <v>13</v>
      </c>
      <c r="D179">
        <v>34.200000000000003</v>
      </c>
      <c r="E179">
        <v>444.6</v>
      </c>
      <c r="F179" s="2">
        <v>45664</v>
      </c>
      <c r="G179" s="2">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ht="18" x14ac:dyDescent="0.5">
      <c r="A180" t="s">
        <v>252</v>
      </c>
      <c r="B180" t="s">
        <v>44</v>
      </c>
      <c r="C180">
        <v>5</v>
      </c>
      <c r="D180">
        <v>30.3</v>
      </c>
      <c r="E180">
        <v>151.5</v>
      </c>
      <c r="F180" s="2">
        <v>45664</v>
      </c>
      <c r="G180" s="2">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ht="18" x14ac:dyDescent="0.5">
      <c r="A181" t="s">
        <v>253</v>
      </c>
      <c r="B181" t="s">
        <v>39</v>
      </c>
      <c r="C181">
        <v>5</v>
      </c>
      <c r="D181">
        <v>52.5</v>
      </c>
      <c r="E181">
        <v>262.5</v>
      </c>
      <c r="F181" s="2">
        <v>45664</v>
      </c>
      <c r="G181" s="2">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ht="18" x14ac:dyDescent="0.5">
      <c r="A182" t="s">
        <v>254</v>
      </c>
      <c r="B182" t="s">
        <v>46</v>
      </c>
      <c r="C182">
        <v>11</v>
      </c>
      <c r="D182">
        <v>28.7</v>
      </c>
      <c r="E182">
        <v>315.7</v>
      </c>
      <c r="F182" s="2">
        <v>45664</v>
      </c>
      <c r="G182" s="2">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ht="18" x14ac:dyDescent="0.5">
      <c r="A183" t="s">
        <v>255</v>
      </c>
      <c r="B183" t="s">
        <v>42</v>
      </c>
      <c r="C183">
        <v>7</v>
      </c>
      <c r="D183">
        <v>52</v>
      </c>
      <c r="E183">
        <v>364</v>
      </c>
      <c r="F183" s="2">
        <v>45664</v>
      </c>
      <c r="G183" s="2">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ht="18" x14ac:dyDescent="0.5">
      <c r="A184" t="s">
        <v>256</v>
      </c>
      <c r="B184" t="s">
        <v>16</v>
      </c>
      <c r="C184">
        <v>1</v>
      </c>
      <c r="D184">
        <v>13.3</v>
      </c>
      <c r="E184">
        <v>13.3</v>
      </c>
      <c r="F184" s="2">
        <v>45665</v>
      </c>
      <c r="G184" s="2">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ht="18" x14ac:dyDescent="0.5">
      <c r="A185" t="s">
        <v>257</v>
      </c>
      <c r="B185" t="s">
        <v>16</v>
      </c>
      <c r="C185">
        <v>3</v>
      </c>
      <c r="D185">
        <v>15.7</v>
      </c>
      <c r="E185">
        <v>47.099999999999994</v>
      </c>
      <c r="F185" s="2">
        <v>45665</v>
      </c>
      <c r="G185" s="2">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ht="18" x14ac:dyDescent="0.5">
      <c r="A186" t="s">
        <v>259</v>
      </c>
      <c r="B186" t="s">
        <v>44</v>
      </c>
      <c r="C186">
        <v>2</v>
      </c>
      <c r="D186">
        <v>25.6</v>
      </c>
      <c r="E186">
        <v>51.2</v>
      </c>
      <c r="F186" s="2">
        <v>45665</v>
      </c>
      <c r="G186" s="2">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ht="18" x14ac:dyDescent="0.5">
      <c r="A187" t="s">
        <v>260</v>
      </c>
      <c r="B187" t="s">
        <v>44</v>
      </c>
      <c r="C187">
        <v>1</v>
      </c>
      <c r="D187">
        <v>43.4</v>
      </c>
      <c r="E187">
        <v>43.4</v>
      </c>
      <c r="F187" s="2">
        <v>45665</v>
      </c>
      <c r="G187" s="2">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ht="18" x14ac:dyDescent="0.5">
      <c r="A188" t="s">
        <v>261</v>
      </c>
      <c r="B188" t="s">
        <v>67</v>
      </c>
      <c r="C188">
        <v>9</v>
      </c>
      <c r="D188">
        <v>33.4</v>
      </c>
      <c r="E188">
        <v>300.59999999999997</v>
      </c>
      <c r="F188" s="2">
        <v>45665</v>
      </c>
      <c r="G188" s="2">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ht="18" x14ac:dyDescent="0.5">
      <c r="A189" t="s">
        <v>262</v>
      </c>
      <c r="B189" t="s">
        <v>44</v>
      </c>
      <c r="C189">
        <v>19</v>
      </c>
      <c r="D189">
        <v>55</v>
      </c>
      <c r="E189">
        <v>1045</v>
      </c>
      <c r="F189" s="2">
        <v>45665</v>
      </c>
      <c r="G189" s="2">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ht="18" x14ac:dyDescent="0.5">
      <c r="A190" t="s">
        <v>263</v>
      </c>
      <c r="B190" t="s">
        <v>44</v>
      </c>
      <c r="C190">
        <v>3</v>
      </c>
      <c r="D190">
        <v>23.6</v>
      </c>
      <c r="E190">
        <v>70.800000000000011</v>
      </c>
      <c r="F190" s="2">
        <v>45665</v>
      </c>
      <c r="G190" s="2">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ht="18" x14ac:dyDescent="0.5">
      <c r="A191" t="s">
        <v>264</v>
      </c>
      <c r="B191" t="s">
        <v>69</v>
      </c>
      <c r="C191">
        <v>9</v>
      </c>
      <c r="D191">
        <v>104</v>
      </c>
      <c r="E191">
        <v>936</v>
      </c>
      <c r="F191" s="2">
        <v>45665</v>
      </c>
      <c r="G191" s="2">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ht="18" x14ac:dyDescent="0.5">
      <c r="A192" t="s">
        <v>265</v>
      </c>
      <c r="B192" t="s">
        <v>39</v>
      </c>
      <c r="C192">
        <v>2</v>
      </c>
      <c r="D192">
        <v>51.8</v>
      </c>
      <c r="E192">
        <v>103.6</v>
      </c>
      <c r="F192" s="2">
        <v>45665</v>
      </c>
      <c r="G192" s="2">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ht="18" x14ac:dyDescent="0.5">
      <c r="A193" t="s">
        <v>266</v>
      </c>
      <c r="B193" t="s">
        <v>54</v>
      </c>
      <c r="C193">
        <v>5</v>
      </c>
      <c r="D193">
        <v>34.5</v>
      </c>
      <c r="E193">
        <v>172.5</v>
      </c>
      <c r="F193" s="2">
        <v>45665</v>
      </c>
      <c r="G193" s="2">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ht="18" x14ac:dyDescent="0.5">
      <c r="A194" t="s">
        <v>267</v>
      </c>
      <c r="B194" t="s">
        <v>39</v>
      </c>
      <c r="C194">
        <v>2</v>
      </c>
      <c r="D194">
        <v>51.8</v>
      </c>
      <c r="E194">
        <v>103.6</v>
      </c>
      <c r="F194" s="2">
        <v>45665</v>
      </c>
      <c r="G194" s="2">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ht="18" x14ac:dyDescent="0.5">
      <c r="A195" t="s">
        <v>269</v>
      </c>
      <c r="B195" t="s">
        <v>146</v>
      </c>
      <c r="C195">
        <v>43</v>
      </c>
      <c r="D195">
        <v>131.5</v>
      </c>
      <c r="E195">
        <v>5654.5</v>
      </c>
      <c r="F195" s="2">
        <v>45665</v>
      </c>
      <c r="G195" s="2">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ht="18" x14ac:dyDescent="0.5">
      <c r="A196" t="s">
        <v>270</v>
      </c>
      <c r="B196" t="s">
        <v>44</v>
      </c>
      <c r="C196">
        <v>7</v>
      </c>
      <c r="D196">
        <v>47.8</v>
      </c>
      <c r="E196">
        <v>334.59999999999997</v>
      </c>
      <c r="F196" s="2">
        <v>45665</v>
      </c>
      <c r="G196" s="2">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ht="18" x14ac:dyDescent="0.5">
      <c r="A197" t="s">
        <v>271</v>
      </c>
      <c r="B197" t="s">
        <v>16</v>
      </c>
      <c r="C197">
        <v>2</v>
      </c>
      <c r="D197">
        <v>10.199999999999999</v>
      </c>
      <c r="E197">
        <v>20.399999999999999</v>
      </c>
      <c r="F197" s="2">
        <v>45665</v>
      </c>
      <c r="G197" s="2">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ht="18" x14ac:dyDescent="0.5">
      <c r="A198" t="s">
        <v>272</v>
      </c>
      <c r="B198" t="s">
        <v>44</v>
      </c>
      <c r="C198">
        <v>8</v>
      </c>
      <c r="D198">
        <v>41</v>
      </c>
      <c r="E198">
        <v>328</v>
      </c>
      <c r="F198" s="2">
        <v>45665</v>
      </c>
      <c r="G198" s="2">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ht="18" x14ac:dyDescent="0.5">
      <c r="A199" t="s">
        <v>273</v>
      </c>
      <c r="B199" t="s">
        <v>54</v>
      </c>
      <c r="C199">
        <v>7</v>
      </c>
      <c r="D199">
        <v>50.8</v>
      </c>
      <c r="E199">
        <v>355.59999999999997</v>
      </c>
      <c r="F199" s="2">
        <v>45665</v>
      </c>
      <c r="G199" s="2">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ht="18" x14ac:dyDescent="0.5">
      <c r="A200" t="s">
        <v>274</v>
      </c>
      <c r="B200" t="s">
        <v>146</v>
      </c>
      <c r="C200">
        <v>3</v>
      </c>
      <c r="D200">
        <v>39.6</v>
      </c>
      <c r="E200">
        <v>118.80000000000001</v>
      </c>
      <c r="F200" s="2">
        <v>45665</v>
      </c>
      <c r="G200" s="2">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ht="18" x14ac:dyDescent="0.5">
      <c r="A201" t="s">
        <v>275</v>
      </c>
      <c r="B201" t="s">
        <v>37</v>
      </c>
      <c r="C201">
        <v>2</v>
      </c>
      <c r="D201">
        <v>69.5</v>
      </c>
      <c r="E201">
        <v>139</v>
      </c>
      <c r="F201" s="2">
        <v>45665</v>
      </c>
      <c r="G201" s="2">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ht="18" x14ac:dyDescent="0.5">
      <c r="A202" t="s">
        <v>276</v>
      </c>
      <c r="B202" t="s">
        <v>44</v>
      </c>
      <c r="C202">
        <v>8</v>
      </c>
      <c r="D202">
        <v>32.6</v>
      </c>
      <c r="E202">
        <v>260.8</v>
      </c>
      <c r="F202" s="2">
        <v>45665</v>
      </c>
      <c r="G202" s="2">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ht="18" x14ac:dyDescent="0.5">
      <c r="A203" t="s">
        <v>277</v>
      </c>
      <c r="B203" t="s">
        <v>42</v>
      </c>
      <c r="C203">
        <v>2</v>
      </c>
      <c r="D203">
        <v>49.1</v>
      </c>
      <c r="E203">
        <v>98.2</v>
      </c>
      <c r="F203" s="2">
        <v>45665</v>
      </c>
      <c r="G203" s="2">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ht="18" x14ac:dyDescent="0.5">
      <c r="A204" t="s">
        <v>278</v>
      </c>
      <c r="B204" t="s">
        <v>39</v>
      </c>
      <c r="C204">
        <v>2</v>
      </c>
      <c r="D204">
        <v>49.4</v>
      </c>
      <c r="E204">
        <v>98.8</v>
      </c>
      <c r="F204" s="2">
        <v>45666</v>
      </c>
      <c r="G204" s="2">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ht="18" x14ac:dyDescent="0.5">
      <c r="A205" t="s">
        <v>279</v>
      </c>
      <c r="B205" t="s">
        <v>42</v>
      </c>
      <c r="C205">
        <v>7</v>
      </c>
      <c r="D205">
        <v>65.099999999999994</v>
      </c>
      <c r="E205">
        <v>455.69999999999993</v>
      </c>
      <c r="F205" s="2">
        <v>45666</v>
      </c>
      <c r="G205" s="2">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ht="18" x14ac:dyDescent="0.5">
      <c r="A206" t="s">
        <v>280</v>
      </c>
      <c r="B206" t="s">
        <v>30</v>
      </c>
      <c r="C206">
        <v>2</v>
      </c>
      <c r="D206">
        <v>52.1</v>
      </c>
      <c r="E206">
        <v>104.2</v>
      </c>
      <c r="F206" s="2">
        <v>45666</v>
      </c>
      <c r="G206" s="2">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ht="18" x14ac:dyDescent="0.5">
      <c r="A207" t="s">
        <v>281</v>
      </c>
      <c r="B207" t="s">
        <v>26</v>
      </c>
      <c r="C207">
        <v>4</v>
      </c>
      <c r="D207">
        <v>129.19999999999999</v>
      </c>
      <c r="E207">
        <v>516.79999999999995</v>
      </c>
      <c r="F207" s="2">
        <v>45666</v>
      </c>
      <c r="G207" s="2">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ht="18" x14ac:dyDescent="0.5">
      <c r="A208" t="s">
        <v>282</v>
      </c>
      <c r="B208" t="s">
        <v>22</v>
      </c>
      <c r="C208">
        <v>19</v>
      </c>
      <c r="D208">
        <v>81.8</v>
      </c>
      <c r="E208">
        <v>1554.2</v>
      </c>
      <c r="F208" s="2">
        <v>45666</v>
      </c>
      <c r="G208" s="2">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ht="18" x14ac:dyDescent="0.5">
      <c r="A209" t="s">
        <v>283</v>
      </c>
      <c r="B209" t="s">
        <v>135</v>
      </c>
      <c r="C209">
        <v>1</v>
      </c>
      <c r="D209">
        <v>24.9</v>
      </c>
      <c r="E209">
        <v>24.9</v>
      </c>
      <c r="F209" s="2">
        <v>45666</v>
      </c>
      <c r="G209" s="2">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ht="18" x14ac:dyDescent="0.5">
      <c r="A210" t="s">
        <v>284</v>
      </c>
      <c r="B210" t="s">
        <v>16</v>
      </c>
      <c r="C210">
        <v>3</v>
      </c>
      <c r="D210">
        <v>49.4</v>
      </c>
      <c r="E210">
        <v>148.19999999999999</v>
      </c>
      <c r="F210" s="2">
        <v>45666</v>
      </c>
      <c r="G210" s="2">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ht="18" x14ac:dyDescent="0.5">
      <c r="A211" t="s">
        <v>285</v>
      </c>
      <c r="B211" t="s">
        <v>44</v>
      </c>
      <c r="C211">
        <v>2</v>
      </c>
      <c r="D211">
        <v>22.7</v>
      </c>
      <c r="E211">
        <v>45.4</v>
      </c>
      <c r="F211" s="2">
        <v>45666</v>
      </c>
      <c r="G211" s="2">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ht="18" x14ac:dyDescent="0.5">
      <c r="A212" t="s">
        <v>286</v>
      </c>
      <c r="B212" t="s">
        <v>22</v>
      </c>
      <c r="C212">
        <v>1</v>
      </c>
      <c r="D212">
        <v>77.3</v>
      </c>
      <c r="E212">
        <v>77.3</v>
      </c>
      <c r="F212" s="2">
        <v>45666</v>
      </c>
      <c r="G212" s="2">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ht="18" x14ac:dyDescent="0.5">
      <c r="A213" t="s">
        <v>287</v>
      </c>
      <c r="B213" t="s">
        <v>22</v>
      </c>
      <c r="C213">
        <v>5</v>
      </c>
      <c r="D213">
        <v>109.1</v>
      </c>
      <c r="E213">
        <v>545.5</v>
      </c>
      <c r="F213" s="2">
        <v>45666</v>
      </c>
      <c r="G213" s="2">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ht="18" x14ac:dyDescent="0.5">
      <c r="A214" t="s">
        <v>288</v>
      </c>
      <c r="B214" t="s">
        <v>26</v>
      </c>
      <c r="C214">
        <v>4</v>
      </c>
      <c r="D214">
        <v>53.9</v>
      </c>
      <c r="E214">
        <v>215.6</v>
      </c>
      <c r="F214" s="2">
        <v>45666</v>
      </c>
      <c r="G214" s="2">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ht="18" x14ac:dyDescent="0.5">
      <c r="A215" t="s">
        <v>289</v>
      </c>
      <c r="B215" t="s">
        <v>46</v>
      </c>
      <c r="C215">
        <v>26</v>
      </c>
      <c r="D215">
        <v>21.2</v>
      </c>
      <c r="E215">
        <v>551.19999999999993</v>
      </c>
      <c r="F215" s="2">
        <v>45666</v>
      </c>
      <c r="G215" s="2">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ht="18" x14ac:dyDescent="0.5">
      <c r="A216" t="s">
        <v>290</v>
      </c>
      <c r="B216" t="s">
        <v>128</v>
      </c>
      <c r="C216">
        <v>4</v>
      </c>
      <c r="D216">
        <v>69</v>
      </c>
      <c r="E216">
        <v>276</v>
      </c>
      <c r="F216" s="2">
        <v>45666</v>
      </c>
      <c r="G216" s="2">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ht="18" x14ac:dyDescent="0.5">
      <c r="A217" t="s">
        <v>291</v>
      </c>
      <c r="B217" t="s">
        <v>39</v>
      </c>
      <c r="C217">
        <v>3</v>
      </c>
      <c r="D217">
        <v>46.2</v>
      </c>
      <c r="E217">
        <v>138.60000000000002</v>
      </c>
      <c r="F217" s="2">
        <v>45666</v>
      </c>
      <c r="G217" s="2">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ht="18" x14ac:dyDescent="0.5">
      <c r="A218" t="s">
        <v>293</v>
      </c>
      <c r="B218" t="s">
        <v>22</v>
      </c>
      <c r="C218">
        <v>5</v>
      </c>
      <c r="D218">
        <v>97.4</v>
      </c>
      <c r="E218">
        <v>487</v>
      </c>
      <c r="F218" s="2">
        <v>45666</v>
      </c>
      <c r="G218" s="2">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ht="18" x14ac:dyDescent="0.5">
      <c r="A219" t="s">
        <v>294</v>
      </c>
      <c r="B219" t="s">
        <v>44</v>
      </c>
      <c r="C219">
        <v>5</v>
      </c>
      <c r="D219">
        <v>21</v>
      </c>
      <c r="E219">
        <v>105</v>
      </c>
      <c r="F219" s="2">
        <v>45666</v>
      </c>
      <c r="G219" s="2">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ht="18" x14ac:dyDescent="0.5">
      <c r="A220" t="s">
        <v>295</v>
      </c>
      <c r="B220" t="s">
        <v>37</v>
      </c>
      <c r="C220">
        <v>2</v>
      </c>
      <c r="D220">
        <v>32.700000000000003</v>
      </c>
      <c r="E220">
        <v>65.400000000000006</v>
      </c>
      <c r="F220" s="2">
        <v>45667</v>
      </c>
      <c r="G220" s="2">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ht="18" x14ac:dyDescent="0.5">
      <c r="A221" t="s">
        <v>296</v>
      </c>
      <c r="B221" t="s">
        <v>39</v>
      </c>
      <c r="C221">
        <v>4</v>
      </c>
      <c r="D221">
        <v>48</v>
      </c>
      <c r="E221">
        <v>192</v>
      </c>
      <c r="F221" s="2">
        <v>45667</v>
      </c>
      <c r="G221" s="2">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ht="18" x14ac:dyDescent="0.5">
      <c r="A222" t="s">
        <v>297</v>
      </c>
      <c r="B222" t="s">
        <v>39</v>
      </c>
      <c r="C222">
        <v>3</v>
      </c>
      <c r="D222">
        <v>68.2</v>
      </c>
      <c r="E222">
        <v>204.60000000000002</v>
      </c>
      <c r="F222" s="2">
        <v>45667</v>
      </c>
      <c r="G222" s="2">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ht="18" x14ac:dyDescent="0.5">
      <c r="A223" t="s">
        <v>298</v>
      </c>
      <c r="B223" t="s">
        <v>37</v>
      </c>
      <c r="C223">
        <v>1</v>
      </c>
      <c r="D223">
        <v>45.4</v>
      </c>
      <c r="E223">
        <v>45.4</v>
      </c>
      <c r="F223" s="2">
        <v>45667</v>
      </c>
      <c r="G223" s="2">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ht="18" x14ac:dyDescent="0.5">
      <c r="A224" t="s">
        <v>299</v>
      </c>
      <c r="B224" t="s">
        <v>69</v>
      </c>
      <c r="C224">
        <v>2</v>
      </c>
      <c r="D224">
        <v>53.9</v>
      </c>
      <c r="E224">
        <v>107.8</v>
      </c>
      <c r="F224" s="2">
        <v>45667</v>
      </c>
      <c r="G224" s="2">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ht="18" x14ac:dyDescent="0.5">
      <c r="A225" t="s">
        <v>300</v>
      </c>
      <c r="B225" t="s">
        <v>26</v>
      </c>
      <c r="C225">
        <v>4</v>
      </c>
      <c r="D225">
        <v>62.1</v>
      </c>
      <c r="E225">
        <v>248.4</v>
      </c>
      <c r="F225" s="2">
        <v>45667</v>
      </c>
      <c r="G225" s="2">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ht="18" x14ac:dyDescent="0.5">
      <c r="A226" t="s">
        <v>301</v>
      </c>
      <c r="B226" t="s">
        <v>76</v>
      </c>
      <c r="C226">
        <v>7</v>
      </c>
      <c r="D226">
        <v>33.1</v>
      </c>
      <c r="E226">
        <v>231.70000000000002</v>
      </c>
      <c r="F226" s="2">
        <v>45667</v>
      </c>
      <c r="G226" s="2">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ht="18" x14ac:dyDescent="0.5">
      <c r="A227" t="s">
        <v>302</v>
      </c>
      <c r="B227" t="s">
        <v>146</v>
      </c>
      <c r="C227">
        <v>5</v>
      </c>
      <c r="D227">
        <v>35.200000000000003</v>
      </c>
      <c r="E227">
        <v>176</v>
      </c>
      <c r="F227" s="2">
        <v>45667</v>
      </c>
      <c r="G227" s="2">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ht="18" x14ac:dyDescent="0.5">
      <c r="A228" t="s">
        <v>303</v>
      </c>
      <c r="B228" t="s">
        <v>46</v>
      </c>
      <c r="C228">
        <v>3</v>
      </c>
      <c r="D228">
        <v>32.1</v>
      </c>
      <c r="E228">
        <v>96.300000000000011</v>
      </c>
      <c r="F228" s="2">
        <v>45667</v>
      </c>
      <c r="G228" s="2">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ht="18" x14ac:dyDescent="0.5">
      <c r="A229" t="s">
        <v>304</v>
      </c>
      <c r="B229" t="s">
        <v>67</v>
      </c>
      <c r="C229">
        <v>1</v>
      </c>
      <c r="D229">
        <v>38.1</v>
      </c>
      <c r="E229">
        <v>38.1</v>
      </c>
      <c r="F229" s="2">
        <v>45667</v>
      </c>
      <c r="G229" s="2">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ht="18" x14ac:dyDescent="0.5">
      <c r="A230" t="s">
        <v>305</v>
      </c>
      <c r="B230" t="s">
        <v>44</v>
      </c>
      <c r="C230">
        <v>1</v>
      </c>
      <c r="D230">
        <v>65.2</v>
      </c>
      <c r="E230">
        <v>65.2</v>
      </c>
      <c r="F230" s="2">
        <v>45667</v>
      </c>
      <c r="G230" s="2">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ht="18" x14ac:dyDescent="0.5">
      <c r="A231" t="s">
        <v>306</v>
      </c>
      <c r="B231" t="s">
        <v>54</v>
      </c>
      <c r="C231">
        <v>7</v>
      </c>
      <c r="D231">
        <v>55.2</v>
      </c>
      <c r="E231">
        <v>386.40000000000003</v>
      </c>
      <c r="F231" s="2">
        <v>45667</v>
      </c>
      <c r="G231" s="2">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ht="18" x14ac:dyDescent="0.5">
      <c r="A232" t="s">
        <v>307</v>
      </c>
      <c r="B232" t="s">
        <v>39</v>
      </c>
      <c r="C232">
        <v>1</v>
      </c>
      <c r="D232">
        <v>62</v>
      </c>
      <c r="E232">
        <v>62</v>
      </c>
      <c r="F232" s="2">
        <v>45667</v>
      </c>
      <c r="G232" s="2">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ht="18" x14ac:dyDescent="0.5">
      <c r="A233" t="s">
        <v>308</v>
      </c>
      <c r="B233" t="s">
        <v>42</v>
      </c>
      <c r="C233">
        <v>3</v>
      </c>
      <c r="D233">
        <v>45.9</v>
      </c>
      <c r="E233">
        <v>137.69999999999999</v>
      </c>
      <c r="F233" s="2">
        <v>45667</v>
      </c>
      <c r="G233" s="2">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ht="18" x14ac:dyDescent="0.5">
      <c r="A234" t="s">
        <v>310</v>
      </c>
      <c r="B234" t="s">
        <v>146</v>
      </c>
      <c r="C234">
        <v>3</v>
      </c>
      <c r="D234">
        <v>58.3</v>
      </c>
      <c r="E234">
        <v>174.89999999999998</v>
      </c>
      <c r="F234" s="2">
        <v>45667</v>
      </c>
      <c r="G234" s="2">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ht="18" x14ac:dyDescent="0.5">
      <c r="A235" t="s">
        <v>311</v>
      </c>
      <c r="B235" t="s">
        <v>44</v>
      </c>
      <c r="C235">
        <v>2</v>
      </c>
      <c r="D235">
        <v>22.3</v>
      </c>
      <c r="E235">
        <v>44.6</v>
      </c>
      <c r="F235" s="2">
        <v>45667</v>
      </c>
      <c r="G235" s="2">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ht="18" x14ac:dyDescent="0.5">
      <c r="A236" t="s">
        <v>312</v>
      </c>
      <c r="B236" t="s">
        <v>171</v>
      </c>
      <c r="C236">
        <v>5</v>
      </c>
      <c r="D236">
        <v>24</v>
      </c>
      <c r="E236">
        <v>120</v>
      </c>
      <c r="F236" s="2">
        <v>45667</v>
      </c>
      <c r="G236" s="2">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ht="18" x14ac:dyDescent="0.5">
      <c r="A237" t="s">
        <v>313</v>
      </c>
      <c r="B237" t="s">
        <v>16</v>
      </c>
      <c r="C237">
        <v>10</v>
      </c>
      <c r="D237">
        <v>21.3</v>
      </c>
      <c r="E237">
        <v>213</v>
      </c>
      <c r="F237" s="2">
        <v>45667</v>
      </c>
      <c r="G237" s="2">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ht="18" x14ac:dyDescent="0.5">
      <c r="A238" t="s">
        <v>314</v>
      </c>
      <c r="B238" t="s">
        <v>39</v>
      </c>
      <c r="C238">
        <v>41</v>
      </c>
      <c r="D238">
        <v>57.8</v>
      </c>
      <c r="E238">
        <v>2369.7999999999997</v>
      </c>
      <c r="F238" s="2">
        <v>45667</v>
      </c>
      <c r="G238" s="2">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ht="18" x14ac:dyDescent="0.5">
      <c r="A239" t="s">
        <v>315</v>
      </c>
      <c r="B239" t="s">
        <v>54</v>
      </c>
      <c r="C239">
        <v>3</v>
      </c>
      <c r="D239">
        <v>67.599999999999994</v>
      </c>
      <c r="E239">
        <v>202.79999999999998</v>
      </c>
      <c r="F239" s="2">
        <v>45667</v>
      </c>
      <c r="G239" s="2">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ht="18" x14ac:dyDescent="0.5">
      <c r="A240" t="s">
        <v>316</v>
      </c>
      <c r="B240" t="s">
        <v>39</v>
      </c>
      <c r="C240">
        <v>6</v>
      </c>
      <c r="D240">
        <v>66.7</v>
      </c>
      <c r="E240">
        <v>400.20000000000005</v>
      </c>
      <c r="F240" s="2">
        <v>45667</v>
      </c>
      <c r="G240" s="2">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ht="18" x14ac:dyDescent="0.5">
      <c r="A241" t="s">
        <v>317</v>
      </c>
      <c r="B241" t="s">
        <v>22</v>
      </c>
      <c r="C241">
        <v>4</v>
      </c>
      <c r="D241">
        <v>53.1</v>
      </c>
      <c r="E241">
        <v>212.4</v>
      </c>
      <c r="F241" s="2">
        <v>45667</v>
      </c>
      <c r="G241" s="2">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ht="18" x14ac:dyDescent="0.5">
      <c r="A242" t="s">
        <v>318</v>
      </c>
      <c r="B242" t="s">
        <v>69</v>
      </c>
      <c r="C242">
        <v>3</v>
      </c>
      <c r="D242">
        <v>57.4</v>
      </c>
      <c r="E242">
        <v>172.2</v>
      </c>
      <c r="F242" s="2">
        <v>45667</v>
      </c>
      <c r="G242" s="2">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ht="18" x14ac:dyDescent="0.5">
      <c r="A243" t="s">
        <v>319</v>
      </c>
      <c r="B243" t="s">
        <v>26</v>
      </c>
      <c r="C243">
        <v>5</v>
      </c>
      <c r="D243">
        <v>58.1</v>
      </c>
      <c r="E243">
        <v>290.5</v>
      </c>
      <c r="F243" s="2">
        <v>45667</v>
      </c>
      <c r="G243" s="2">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ht="18" x14ac:dyDescent="0.5">
      <c r="A244" t="s">
        <v>320</v>
      </c>
      <c r="B244" t="s">
        <v>37</v>
      </c>
      <c r="C244">
        <v>3</v>
      </c>
      <c r="D244">
        <v>31.8</v>
      </c>
      <c r="E244">
        <v>95.4</v>
      </c>
      <c r="F244" s="2">
        <v>45668</v>
      </c>
      <c r="G244" s="2">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ht="18" x14ac:dyDescent="0.5">
      <c r="A245" t="s">
        <v>321</v>
      </c>
      <c r="B245" t="s">
        <v>32</v>
      </c>
      <c r="C245">
        <v>3</v>
      </c>
      <c r="D245">
        <v>31.5</v>
      </c>
      <c r="E245">
        <v>94.5</v>
      </c>
      <c r="F245" s="2">
        <v>45668</v>
      </c>
      <c r="G245" s="2">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ht="18" x14ac:dyDescent="0.5">
      <c r="A246" t="s">
        <v>322</v>
      </c>
      <c r="B246" t="s">
        <v>39</v>
      </c>
      <c r="C246">
        <v>7</v>
      </c>
      <c r="D246">
        <v>55.9</v>
      </c>
      <c r="E246">
        <v>391.3</v>
      </c>
      <c r="F246" s="2">
        <v>45668</v>
      </c>
      <c r="G246" s="2">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ht="18" x14ac:dyDescent="0.5">
      <c r="A247" t="s">
        <v>323</v>
      </c>
      <c r="B247" t="s">
        <v>44</v>
      </c>
      <c r="C247">
        <v>2</v>
      </c>
      <c r="D247">
        <v>36.4</v>
      </c>
      <c r="E247">
        <v>72.8</v>
      </c>
      <c r="F247" s="2">
        <v>45668</v>
      </c>
      <c r="G247" s="2">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ht="18" x14ac:dyDescent="0.5">
      <c r="A248" t="s">
        <v>324</v>
      </c>
      <c r="B248" t="s">
        <v>22</v>
      </c>
      <c r="C248">
        <v>5</v>
      </c>
      <c r="D248">
        <v>47.3</v>
      </c>
      <c r="E248">
        <v>236.5</v>
      </c>
      <c r="F248" s="2">
        <v>45668</v>
      </c>
      <c r="G248" s="2">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ht="18" x14ac:dyDescent="0.5">
      <c r="A249" t="s">
        <v>325</v>
      </c>
      <c r="B249" t="s">
        <v>39</v>
      </c>
      <c r="C249">
        <v>3</v>
      </c>
      <c r="D249">
        <v>82.5</v>
      </c>
      <c r="E249">
        <v>247.5</v>
      </c>
      <c r="F249" s="2">
        <v>45668</v>
      </c>
      <c r="G249" s="2">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ht="18" x14ac:dyDescent="0.5">
      <c r="A250" t="s">
        <v>326</v>
      </c>
      <c r="B250" t="s">
        <v>16</v>
      </c>
      <c r="C250">
        <v>1</v>
      </c>
      <c r="D250">
        <v>14.3</v>
      </c>
      <c r="E250">
        <v>14.3</v>
      </c>
      <c r="F250" s="2">
        <v>45668</v>
      </c>
      <c r="G250" s="2">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ht="18" x14ac:dyDescent="0.5">
      <c r="A251" t="s">
        <v>327</v>
      </c>
      <c r="B251" t="s">
        <v>26</v>
      </c>
      <c r="C251">
        <v>6</v>
      </c>
      <c r="D251">
        <v>57.6</v>
      </c>
      <c r="E251">
        <v>345.6</v>
      </c>
      <c r="F251" s="2">
        <v>45668</v>
      </c>
      <c r="G251" s="2">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ht="18" x14ac:dyDescent="0.5">
      <c r="A252" t="s">
        <v>328</v>
      </c>
      <c r="B252" t="s">
        <v>26</v>
      </c>
      <c r="C252">
        <v>3</v>
      </c>
      <c r="D252">
        <v>142.4</v>
      </c>
      <c r="E252">
        <v>427.20000000000005</v>
      </c>
      <c r="F252" s="2">
        <v>45668</v>
      </c>
      <c r="G252" s="2">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ht="18" x14ac:dyDescent="0.5">
      <c r="A253" t="s">
        <v>329</v>
      </c>
      <c r="B253" t="s">
        <v>69</v>
      </c>
      <c r="C253">
        <v>1</v>
      </c>
      <c r="D253">
        <v>30.2</v>
      </c>
      <c r="E253">
        <v>30.2</v>
      </c>
      <c r="F253" s="2">
        <v>45668</v>
      </c>
      <c r="G253" s="2">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ht="18" x14ac:dyDescent="0.5">
      <c r="A254" t="s">
        <v>330</v>
      </c>
      <c r="B254" t="s">
        <v>146</v>
      </c>
      <c r="C254">
        <v>3</v>
      </c>
      <c r="D254">
        <v>65.3</v>
      </c>
      <c r="E254">
        <v>195.89999999999998</v>
      </c>
      <c r="F254" s="2">
        <v>45668</v>
      </c>
      <c r="G254" s="2">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ht="18" x14ac:dyDescent="0.5">
      <c r="A255" t="s">
        <v>332</v>
      </c>
      <c r="B255" t="s">
        <v>16</v>
      </c>
      <c r="C255">
        <v>2</v>
      </c>
      <c r="D255">
        <v>33.4</v>
      </c>
      <c r="E255">
        <v>66.8</v>
      </c>
      <c r="F255" s="2">
        <v>45668</v>
      </c>
      <c r="G255" s="2">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ht="18" x14ac:dyDescent="0.5">
      <c r="A256" t="s">
        <v>333</v>
      </c>
      <c r="B256" t="s">
        <v>42</v>
      </c>
      <c r="C256">
        <v>2</v>
      </c>
      <c r="D256">
        <v>45.1</v>
      </c>
      <c r="E256">
        <v>90.2</v>
      </c>
      <c r="F256" s="2">
        <v>45668</v>
      </c>
      <c r="G256" s="2">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ht="18" x14ac:dyDescent="0.5">
      <c r="A257" t="s">
        <v>335</v>
      </c>
      <c r="B257" t="s">
        <v>26</v>
      </c>
      <c r="C257">
        <v>7</v>
      </c>
      <c r="D257">
        <v>61.7</v>
      </c>
      <c r="E257">
        <v>431.90000000000003</v>
      </c>
      <c r="F257" s="2">
        <v>45668</v>
      </c>
      <c r="G257" s="2">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ht="18" x14ac:dyDescent="0.5">
      <c r="A258" t="s">
        <v>336</v>
      </c>
      <c r="B258" t="s">
        <v>46</v>
      </c>
      <c r="C258">
        <v>3</v>
      </c>
      <c r="D258">
        <v>45.1</v>
      </c>
      <c r="E258">
        <v>135.30000000000001</v>
      </c>
      <c r="F258" s="2">
        <v>45669</v>
      </c>
      <c r="G258" s="2">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ht="18" x14ac:dyDescent="0.5">
      <c r="A259" t="s">
        <v>337</v>
      </c>
      <c r="B259" t="s">
        <v>123</v>
      </c>
      <c r="C259">
        <v>5</v>
      </c>
      <c r="D259">
        <v>22.7</v>
      </c>
      <c r="E259">
        <v>113.5</v>
      </c>
      <c r="F259" s="2">
        <v>45669</v>
      </c>
      <c r="G259" s="2">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ht="18" x14ac:dyDescent="0.5">
      <c r="A260" t="s">
        <v>339</v>
      </c>
      <c r="B260" t="s">
        <v>44</v>
      </c>
      <c r="C260">
        <v>1</v>
      </c>
      <c r="D260">
        <v>17.600000000000001</v>
      </c>
      <c r="E260">
        <v>17.600000000000001</v>
      </c>
      <c r="F260" s="2">
        <v>45669</v>
      </c>
      <c r="G260" s="2">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ht="18" x14ac:dyDescent="0.5">
      <c r="A261" t="s">
        <v>340</v>
      </c>
      <c r="B261" t="s">
        <v>81</v>
      </c>
      <c r="C261">
        <v>2</v>
      </c>
      <c r="D261">
        <v>11.3</v>
      </c>
      <c r="E261">
        <v>22.6</v>
      </c>
      <c r="F261" s="2">
        <v>45669</v>
      </c>
      <c r="G261" s="2">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ht="18" x14ac:dyDescent="0.5">
      <c r="A262" t="s">
        <v>341</v>
      </c>
      <c r="B262" t="s">
        <v>39</v>
      </c>
      <c r="C262">
        <v>3</v>
      </c>
      <c r="D262">
        <v>53.4</v>
      </c>
      <c r="E262">
        <v>160.19999999999999</v>
      </c>
      <c r="F262" s="2">
        <v>45669</v>
      </c>
      <c r="G262" s="2">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ht="18" x14ac:dyDescent="0.5">
      <c r="A263" t="s">
        <v>343</v>
      </c>
      <c r="B263" t="s">
        <v>39</v>
      </c>
      <c r="C263">
        <v>11</v>
      </c>
      <c r="D263">
        <v>51.1</v>
      </c>
      <c r="E263">
        <v>562.1</v>
      </c>
      <c r="F263" s="2">
        <v>45669</v>
      </c>
      <c r="G263" s="2">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ht="18" x14ac:dyDescent="0.5">
      <c r="A264" t="s">
        <v>344</v>
      </c>
      <c r="B264" t="s">
        <v>44</v>
      </c>
      <c r="C264">
        <v>2</v>
      </c>
      <c r="D264">
        <v>27.5</v>
      </c>
      <c r="E264">
        <v>55</v>
      </c>
      <c r="F264" s="2">
        <v>45669</v>
      </c>
      <c r="G264" s="2">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ht="18" x14ac:dyDescent="0.5">
      <c r="A265" t="s">
        <v>345</v>
      </c>
      <c r="B265" t="s">
        <v>46</v>
      </c>
      <c r="C265">
        <v>1</v>
      </c>
      <c r="D265">
        <v>33.5</v>
      </c>
      <c r="E265">
        <v>33.5</v>
      </c>
      <c r="F265" s="2">
        <v>45669</v>
      </c>
      <c r="G265" s="2">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ht="18" x14ac:dyDescent="0.5">
      <c r="A266" t="s">
        <v>346</v>
      </c>
      <c r="B266" t="s">
        <v>32</v>
      </c>
      <c r="C266">
        <v>1</v>
      </c>
      <c r="D266">
        <v>59.5</v>
      </c>
      <c r="E266">
        <v>59.5</v>
      </c>
      <c r="F266" s="2">
        <v>45669</v>
      </c>
      <c r="G266" s="2">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ht="18" x14ac:dyDescent="0.5">
      <c r="A267" t="s">
        <v>347</v>
      </c>
      <c r="B267" t="s">
        <v>135</v>
      </c>
      <c r="C267">
        <v>4</v>
      </c>
      <c r="D267">
        <v>23.5</v>
      </c>
      <c r="E267">
        <v>94</v>
      </c>
      <c r="F267" s="2">
        <v>45669</v>
      </c>
      <c r="G267" s="2">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ht="18" x14ac:dyDescent="0.5">
      <c r="A268" t="s">
        <v>348</v>
      </c>
      <c r="B268" t="s">
        <v>39</v>
      </c>
      <c r="C268">
        <v>1</v>
      </c>
      <c r="D268">
        <v>49.7</v>
      </c>
      <c r="E268">
        <v>49.7</v>
      </c>
      <c r="F268" s="2">
        <v>45669</v>
      </c>
      <c r="G268" s="2">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ht="18" x14ac:dyDescent="0.5">
      <c r="A269" t="s">
        <v>349</v>
      </c>
      <c r="B269" t="s">
        <v>39</v>
      </c>
      <c r="C269">
        <v>4</v>
      </c>
      <c r="D269">
        <v>44.2</v>
      </c>
      <c r="E269">
        <v>176.8</v>
      </c>
      <c r="F269" s="2">
        <v>45669</v>
      </c>
      <c r="G269" s="2">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ht="18" x14ac:dyDescent="0.5">
      <c r="A270" t="s">
        <v>350</v>
      </c>
      <c r="B270" t="s">
        <v>44</v>
      </c>
      <c r="C270">
        <v>1</v>
      </c>
      <c r="D270">
        <v>22.1</v>
      </c>
      <c r="E270">
        <v>22.1</v>
      </c>
      <c r="F270" s="2">
        <v>45669</v>
      </c>
      <c r="G270" s="2">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ht="18" x14ac:dyDescent="0.5">
      <c r="A271" t="s">
        <v>351</v>
      </c>
      <c r="B271" t="s">
        <v>39</v>
      </c>
      <c r="C271">
        <v>3</v>
      </c>
      <c r="D271">
        <v>90.9</v>
      </c>
      <c r="E271">
        <v>272.70000000000005</v>
      </c>
      <c r="F271" s="2">
        <v>45669</v>
      </c>
      <c r="G271" s="2">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ht="18" x14ac:dyDescent="0.5">
      <c r="A272" t="s">
        <v>352</v>
      </c>
      <c r="B272" t="s">
        <v>44</v>
      </c>
      <c r="C272">
        <v>3</v>
      </c>
      <c r="D272">
        <v>44.5</v>
      </c>
      <c r="E272">
        <v>133.5</v>
      </c>
      <c r="F272" s="2">
        <v>45669</v>
      </c>
      <c r="G272" s="2">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ht="18" x14ac:dyDescent="0.5">
      <c r="A273" t="s">
        <v>353</v>
      </c>
      <c r="B273" t="s">
        <v>46</v>
      </c>
      <c r="C273">
        <v>6</v>
      </c>
      <c r="D273">
        <v>32.299999999999997</v>
      </c>
      <c r="E273">
        <v>193.79999999999998</v>
      </c>
      <c r="F273" s="2">
        <v>45669</v>
      </c>
      <c r="G273" s="2">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ht="18" x14ac:dyDescent="0.5">
      <c r="A274" t="s">
        <v>354</v>
      </c>
      <c r="B274" t="s">
        <v>135</v>
      </c>
      <c r="C274">
        <v>3</v>
      </c>
      <c r="D274">
        <v>87.5</v>
      </c>
      <c r="E274">
        <v>262.5</v>
      </c>
      <c r="F274" s="2">
        <v>45669</v>
      </c>
      <c r="G274" s="2">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ht="18" x14ac:dyDescent="0.5">
      <c r="A275" t="s">
        <v>355</v>
      </c>
      <c r="B275" t="s">
        <v>128</v>
      </c>
      <c r="C275">
        <v>5</v>
      </c>
      <c r="D275">
        <v>48.7</v>
      </c>
      <c r="E275">
        <v>243.5</v>
      </c>
      <c r="F275" s="2">
        <v>45669</v>
      </c>
      <c r="G275" s="2">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ht="18" x14ac:dyDescent="0.5">
      <c r="A276" t="s">
        <v>356</v>
      </c>
      <c r="B276" t="s">
        <v>16</v>
      </c>
      <c r="C276">
        <v>5</v>
      </c>
      <c r="D276">
        <v>22.5</v>
      </c>
      <c r="E276">
        <v>112.5</v>
      </c>
      <c r="F276" s="2">
        <v>45669</v>
      </c>
      <c r="G276" s="2">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ht="18" x14ac:dyDescent="0.5">
      <c r="A277" t="s">
        <v>357</v>
      </c>
      <c r="B277" t="s">
        <v>22</v>
      </c>
      <c r="C277">
        <v>8</v>
      </c>
      <c r="D277">
        <v>65.900000000000006</v>
      </c>
      <c r="E277">
        <v>527.20000000000005</v>
      </c>
      <c r="F277" s="2">
        <v>45669</v>
      </c>
      <c r="G277" s="2">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ht="18" x14ac:dyDescent="0.5">
      <c r="A278" t="s">
        <v>358</v>
      </c>
      <c r="B278" t="s">
        <v>39</v>
      </c>
      <c r="C278">
        <v>5</v>
      </c>
      <c r="D278">
        <v>41.9</v>
      </c>
      <c r="E278">
        <v>209.5</v>
      </c>
      <c r="F278" s="2">
        <v>45669</v>
      </c>
      <c r="G278" s="2">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ht="18" x14ac:dyDescent="0.5">
      <c r="A279" t="s">
        <v>359</v>
      </c>
      <c r="B279" t="s">
        <v>22</v>
      </c>
      <c r="C279">
        <v>5</v>
      </c>
      <c r="D279">
        <v>67.5</v>
      </c>
      <c r="E279">
        <v>337.5</v>
      </c>
      <c r="F279" s="2">
        <v>45669</v>
      </c>
      <c r="G279" s="2">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ht="18" x14ac:dyDescent="0.5">
      <c r="A280" t="s">
        <v>360</v>
      </c>
      <c r="B280" t="s">
        <v>46</v>
      </c>
      <c r="C280">
        <v>1</v>
      </c>
      <c r="D280">
        <v>60.4</v>
      </c>
      <c r="E280">
        <v>60.4</v>
      </c>
      <c r="F280" s="2">
        <v>45670</v>
      </c>
      <c r="G280" s="2">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ht="18" x14ac:dyDescent="0.5">
      <c r="A281" t="s">
        <v>361</v>
      </c>
      <c r="B281" t="s">
        <v>22</v>
      </c>
      <c r="C281">
        <v>7</v>
      </c>
      <c r="D281">
        <v>30.4</v>
      </c>
      <c r="E281">
        <v>212.79999999999998</v>
      </c>
      <c r="F281" s="2">
        <v>45670</v>
      </c>
      <c r="G281" s="2">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ht="18" x14ac:dyDescent="0.5">
      <c r="A282" t="s">
        <v>362</v>
      </c>
      <c r="B282" t="s">
        <v>81</v>
      </c>
      <c r="C282">
        <v>2</v>
      </c>
      <c r="D282">
        <v>24.5</v>
      </c>
      <c r="E282">
        <v>49</v>
      </c>
      <c r="F282" s="2">
        <v>45670</v>
      </c>
      <c r="G282" s="2">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ht="18" x14ac:dyDescent="0.5">
      <c r="A283" t="s">
        <v>363</v>
      </c>
      <c r="B283" t="s">
        <v>26</v>
      </c>
      <c r="C283">
        <v>3</v>
      </c>
      <c r="D283">
        <v>105.9</v>
      </c>
      <c r="E283">
        <v>317.70000000000005</v>
      </c>
      <c r="F283" s="2">
        <v>45670</v>
      </c>
      <c r="G283" s="2">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ht="18" x14ac:dyDescent="0.5">
      <c r="A284" t="s">
        <v>365</v>
      </c>
      <c r="B284" t="s">
        <v>54</v>
      </c>
      <c r="C284">
        <v>24</v>
      </c>
      <c r="D284">
        <v>25.9</v>
      </c>
      <c r="E284">
        <v>621.59999999999991</v>
      </c>
      <c r="F284" s="2">
        <v>45670</v>
      </c>
      <c r="G284" s="2">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ht="18" x14ac:dyDescent="0.5">
      <c r="A285" t="s">
        <v>366</v>
      </c>
      <c r="B285" t="s">
        <v>39</v>
      </c>
      <c r="C285">
        <v>3</v>
      </c>
      <c r="D285">
        <v>66.8</v>
      </c>
      <c r="E285">
        <v>200.39999999999998</v>
      </c>
      <c r="F285" s="2">
        <v>45670</v>
      </c>
      <c r="G285" s="2">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ht="18" x14ac:dyDescent="0.5">
      <c r="A286" t="s">
        <v>367</v>
      </c>
      <c r="B286" t="s">
        <v>39</v>
      </c>
      <c r="C286">
        <v>3</v>
      </c>
      <c r="D286">
        <v>112.3</v>
      </c>
      <c r="E286">
        <v>336.9</v>
      </c>
      <c r="F286" s="2">
        <v>45670</v>
      </c>
      <c r="G286" s="2">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ht="18" x14ac:dyDescent="0.5">
      <c r="A287" t="s">
        <v>368</v>
      </c>
      <c r="B287" t="s">
        <v>22</v>
      </c>
      <c r="C287">
        <v>6</v>
      </c>
      <c r="D287">
        <v>94.1</v>
      </c>
      <c r="E287">
        <v>564.59999999999991</v>
      </c>
      <c r="F287" s="2">
        <v>45670</v>
      </c>
      <c r="G287" s="2">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ht="18" x14ac:dyDescent="0.5">
      <c r="A288" t="s">
        <v>369</v>
      </c>
      <c r="B288" t="s">
        <v>37</v>
      </c>
      <c r="C288">
        <v>1</v>
      </c>
      <c r="D288">
        <v>40.700000000000003</v>
      </c>
      <c r="E288">
        <v>40.700000000000003</v>
      </c>
      <c r="F288" s="2">
        <v>45670</v>
      </c>
      <c r="G288" s="2">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ht="18" x14ac:dyDescent="0.5">
      <c r="A289" t="s">
        <v>370</v>
      </c>
      <c r="B289" t="s">
        <v>30</v>
      </c>
      <c r="C289">
        <v>2</v>
      </c>
      <c r="D289">
        <v>71.400000000000006</v>
      </c>
      <c r="E289">
        <v>142.80000000000001</v>
      </c>
      <c r="F289" s="2">
        <v>45670</v>
      </c>
      <c r="G289" s="2">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ht="18" x14ac:dyDescent="0.5">
      <c r="A290" t="s">
        <v>371</v>
      </c>
      <c r="B290" t="s">
        <v>16</v>
      </c>
      <c r="C290">
        <v>18</v>
      </c>
      <c r="D290">
        <v>15.6</v>
      </c>
      <c r="E290">
        <v>280.8</v>
      </c>
      <c r="F290" s="2">
        <v>45670</v>
      </c>
      <c r="G290" s="2">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ht="18" x14ac:dyDescent="0.5">
      <c r="A291" t="s">
        <v>372</v>
      </c>
      <c r="B291" t="s">
        <v>54</v>
      </c>
      <c r="C291">
        <v>4</v>
      </c>
      <c r="D291">
        <v>37.799999999999997</v>
      </c>
      <c r="E291">
        <v>151.19999999999999</v>
      </c>
      <c r="F291" s="2">
        <v>45670</v>
      </c>
      <c r="G291" s="2">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ht="18" x14ac:dyDescent="0.5">
      <c r="A292" t="s">
        <v>373</v>
      </c>
      <c r="B292" t="s">
        <v>32</v>
      </c>
      <c r="C292">
        <v>3</v>
      </c>
      <c r="D292">
        <v>28.1</v>
      </c>
      <c r="E292">
        <v>84.300000000000011</v>
      </c>
      <c r="F292" s="2">
        <v>45670</v>
      </c>
      <c r="G292" s="2">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ht="18" x14ac:dyDescent="0.5">
      <c r="A293" t="s">
        <v>374</v>
      </c>
      <c r="B293" t="s">
        <v>42</v>
      </c>
      <c r="C293">
        <v>6</v>
      </c>
      <c r="D293">
        <v>51.4</v>
      </c>
      <c r="E293">
        <v>308.39999999999998</v>
      </c>
      <c r="F293" s="2">
        <v>45670</v>
      </c>
      <c r="G293" s="2">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ht="18" x14ac:dyDescent="0.5">
      <c r="A294" t="s">
        <v>375</v>
      </c>
      <c r="B294" t="s">
        <v>42</v>
      </c>
      <c r="C294">
        <v>2</v>
      </c>
      <c r="D294">
        <v>97.7</v>
      </c>
      <c r="E294">
        <v>195.4</v>
      </c>
      <c r="F294" s="2">
        <v>45670</v>
      </c>
      <c r="G294" s="2">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ht="18" x14ac:dyDescent="0.5">
      <c r="A295" t="s">
        <v>376</v>
      </c>
      <c r="B295" t="s">
        <v>22</v>
      </c>
      <c r="C295">
        <v>4</v>
      </c>
      <c r="D295">
        <v>63.8</v>
      </c>
      <c r="E295">
        <v>255.2</v>
      </c>
      <c r="F295" s="2">
        <v>45670</v>
      </c>
      <c r="G295" s="2">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ht="18" x14ac:dyDescent="0.5">
      <c r="A296" t="s">
        <v>378</v>
      </c>
      <c r="B296" t="s">
        <v>76</v>
      </c>
      <c r="C296">
        <v>2</v>
      </c>
      <c r="D296">
        <v>20.100000000000001</v>
      </c>
      <c r="E296">
        <v>40.200000000000003</v>
      </c>
      <c r="F296" s="2">
        <v>45670</v>
      </c>
      <c r="G296" s="2">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ht="18" x14ac:dyDescent="0.5">
      <c r="A297" t="s">
        <v>379</v>
      </c>
      <c r="B297" t="s">
        <v>67</v>
      </c>
      <c r="C297">
        <v>3</v>
      </c>
      <c r="D297">
        <v>50.4</v>
      </c>
      <c r="E297">
        <v>151.19999999999999</v>
      </c>
      <c r="F297" s="2">
        <v>45670</v>
      </c>
      <c r="G297" s="2">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ht="18" x14ac:dyDescent="0.5">
      <c r="A298" t="s">
        <v>380</v>
      </c>
      <c r="B298" t="s">
        <v>16</v>
      </c>
      <c r="C298">
        <v>1</v>
      </c>
      <c r="D298">
        <v>16.2</v>
      </c>
      <c r="E298">
        <v>16.2</v>
      </c>
      <c r="F298" s="2">
        <v>45670</v>
      </c>
      <c r="G298" s="2">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ht="18" x14ac:dyDescent="0.5">
      <c r="A299" t="s">
        <v>381</v>
      </c>
      <c r="B299" t="s">
        <v>39</v>
      </c>
      <c r="C299">
        <v>7</v>
      </c>
      <c r="D299">
        <v>80.900000000000006</v>
      </c>
      <c r="E299">
        <v>566.30000000000007</v>
      </c>
      <c r="F299" s="2">
        <v>45670</v>
      </c>
      <c r="G299" s="2">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ht="18" x14ac:dyDescent="0.5">
      <c r="A300" t="s">
        <v>382</v>
      </c>
      <c r="B300" t="s">
        <v>46</v>
      </c>
      <c r="C300">
        <v>6</v>
      </c>
      <c r="D300">
        <v>95.2</v>
      </c>
      <c r="E300">
        <v>571.20000000000005</v>
      </c>
      <c r="F300" s="2">
        <v>45670</v>
      </c>
      <c r="G300" s="2">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ht="18" x14ac:dyDescent="0.5">
      <c r="A301" t="s">
        <v>383</v>
      </c>
      <c r="B301" t="s">
        <v>37</v>
      </c>
      <c r="C301">
        <v>8</v>
      </c>
      <c r="D301">
        <v>70.400000000000006</v>
      </c>
      <c r="E301">
        <v>563.20000000000005</v>
      </c>
      <c r="F301" s="2">
        <v>45670</v>
      </c>
      <c r="G301" s="2">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ht="18" x14ac:dyDescent="0.5">
      <c r="A302" t="s">
        <v>384</v>
      </c>
      <c r="B302" t="s">
        <v>16</v>
      </c>
      <c r="C302">
        <v>5</v>
      </c>
      <c r="D302">
        <v>10.7</v>
      </c>
      <c r="E302">
        <v>53.5</v>
      </c>
      <c r="F302" s="2">
        <v>45670</v>
      </c>
      <c r="G302" s="2">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ht="18" x14ac:dyDescent="0.5">
      <c r="A303" t="s">
        <v>385</v>
      </c>
      <c r="B303" t="s">
        <v>44</v>
      </c>
      <c r="C303">
        <v>5</v>
      </c>
      <c r="D303">
        <v>19.600000000000001</v>
      </c>
      <c r="E303">
        <v>98</v>
      </c>
      <c r="F303" s="2">
        <v>45670</v>
      </c>
      <c r="G303" s="2">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ht="18" x14ac:dyDescent="0.5">
      <c r="A304" t="s">
        <v>386</v>
      </c>
      <c r="B304" t="s">
        <v>44</v>
      </c>
      <c r="C304">
        <v>11</v>
      </c>
      <c r="D304">
        <v>34.700000000000003</v>
      </c>
      <c r="E304">
        <v>381.70000000000005</v>
      </c>
      <c r="F304" s="2">
        <v>45670</v>
      </c>
      <c r="G304" s="2">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ht="18" x14ac:dyDescent="0.5">
      <c r="A305" t="s">
        <v>387</v>
      </c>
      <c r="B305" t="s">
        <v>54</v>
      </c>
      <c r="C305">
        <v>9</v>
      </c>
      <c r="D305">
        <v>34.1</v>
      </c>
      <c r="E305">
        <v>306.90000000000003</v>
      </c>
      <c r="F305" s="2">
        <v>45670</v>
      </c>
      <c r="G305" s="2">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ht="18" x14ac:dyDescent="0.5">
      <c r="A306" t="s">
        <v>388</v>
      </c>
      <c r="B306" t="s">
        <v>16</v>
      </c>
      <c r="C306">
        <v>49</v>
      </c>
      <c r="D306">
        <v>29.3</v>
      </c>
      <c r="E306">
        <v>1435.7</v>
      </c>
      <c r="F306" s="2">
        <v>45670</v>
      </c>
      <c r="G306" s="2">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ht="18" x14ac:dyDescent="0.5">
      <c r="A307" t="s">
        <v>389</v>
      </c>
      <c r="B307" t="s">
        <v>22</v>
      </c>
      <c r="C307">
        <v>1</v>
      </c>
      <c r="D307">
        <v>55.2</v>
      </c>
      <c r="E307">
        <v>55.2</v>
      </c>
      <c r="F307" s="2">
        <v>45670</v>
      </c>
      <c r="G307" s="2">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ht="18" x14ac:dyDescent="0.5">
      <c r="A308" t="s">
        <v>390</v>
      </c>
      <c r="B308" t="s">
        <v>146</v>
      </c>
      <c r="C308">
        <v>3</v>
      </c>
      <c r="D308">
        <v>26</v>
      </c>
      <c r="E308">
        <v>78</v>
      </c>
      <c r="F308" s="2">
        <v>45670</v>
      </c>
      <c r="G308" s="2">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ht="18" x14ac:dyDescent="0.5">
      <c r="A309" t="s">
        <v>391</v>
      </c>
      <c r="B309" t="s">
        <v>81</v>
      </c>
      <c r="C309">
        <v>2</v>
      </c>
      <c r="D309">
        <v>14.2</v>
      </c>
      <c r="E309">
        <v>28.4</v>
      </c>
      <c r="F309" s="2">
        <v>45670</v>
      </c>
      <c r="G309" s="2">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ht="18" x14ac:dyDescent="0.5">
      <c r="A310" t="s">
        <v>393</v>
      </c>
      <c r="B310" t="s">
        <v>44</v>
      </c>
      <c r="C310">
        <v>9</v>
      </c>
      <c r="D310">
        <v>22.7</v>
      </c>
      <c r="E310">
        <v>204.29999999999998</v>
      </c>
      <c r="F310" s="2">
        <v>45671</v>
      </c>
      <c r="G310" s="2">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ht="18" x14ac:dyDescent="0.5">
      <c r="A311" t="s">
        <v>394</v>
      </c>
      <c r="B311" t="s">
        <v>16</v>
      </c>
      <c r="C311">
        <v>15</v>
      </c>
      <c r="D311">
        <v>19.8</v>
      </c>
      <c r="E311">
        <v>297</v>
      </c>
      <c r="F311" s="2">
        <v>45671</v>
      </c>
      <c r="G311" s="2">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ht="18" x14ac:dyDescent="0.5">
      <c r="A312" t="s">
        <v>395</v>
      </c>
      <c r="B312" t="s">
        <v>16</v>
      </c>
      <c r="C312">
        <v>3</v>
      </c>
      <c r="D312">
        <v>31.7</v>
      </c>
      <c r="E312">
        <v>95.1</v>
      </c>
      <c r="F312" s="2">
        <v>45671</v>
      </c>
      <c r="G312" s="2">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ht="18" x14ac:dyDescent="0.5">
      <c r="A313" t="s">
        <v>396</v>
      </c>
      <c r="B313" t="s">
        <v>44</v>
      </c>
      <c r="C313">
        <v>4</v>
      </c>
      <c r="D313">
        <v>30.4</v>
      </c>
      <c r="E313">
        <v>121.6</v>
      </c>
      <c r="F313" s="2">
        <v>45671</v>
      </c>
      <c r="G313" s="2">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ht="18" x14ac:dyDescent="0.5">
      <c r="A314" t="s">
        <v>397</v>
      </c>
      <c r="B314" t="s">
        <v>16</v>
      </c>
      <c r="C314">
        <v>4</v>
      </c>
      <c r="D314">
        <v>25.6</v>
      </c>
      <c r="E314">
        <v>102.4</v>
      </c>
      <c r="F314" s="2">
        <v>45671</v>
      </c>
      <c r="G314" s="2">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ht="18" x14ac:dyDescent="0.5">
      <c r="A315" t="s">
        <v>398</v>
      </c>
      <c r="B315" t="s">
        <v>37</v>
      </c>
      <c r="C315">
        <v>2</v>
      </c>
      <c r="D315">
        <v>34.9</v>
      </c>
      <c r="E315">
        <v>69.8</v>
      </c>
      <c r="F315" s="2">
        <v>45671</v>
      </c>
      <c r="G315" s="2">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ht="18" x14ac:dyDescent="0.5">
      <c r="A316" t="s">
        <v>399</v>
      </c>
      <c r="B316" t="s">
        <v>42</v>
      </c>
      <c r="C316">
        <v>6</v>
      </c>
      <c r="D316">
        <v>42.7</v>
      </c>
      <c r="E316">
        <v>256.20000000000005</v>
      </c>
      <c r="F316" s="2">
        <v>45671</v>
      </c>
      <c r="G316" s="2">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ht="18" x14ac:dyDescent="0.5">
      <c r="A317" t="s">
        <v>400</v>
      </c>
      <c r="B317" t="s">
        <v>44</v>
      </c>
      <c r="C317">
        <v>1</v>
      </c>
      <c r="D317">
        <v>23.9</v>
      </c>
      <c r="E317">
        <v>23.9</v>
      </c>
      <c r="F317" s="2">
        <v>45671</v>
      </c>
      <c r="G317" s="2">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ht="18" x14ac:dyDescent="0.5">
      <c r="A318" t="s">
        <v>401</v>
      </c>
      <c r="B318" t="s">
        <v>39</v>
      </c>
      <c r="C318">
        <v>1</v>
      </c>
      <c r="D318">
        <v>124.3</v>
      </c>
      <c r="E318">
        <v>124.3</v>
      </c>
      <c r="F318" s="2">
        <v>45671</v>
      </c>
      <c r="G318" s="2">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ht="18" x14ac:dyDescent="0.5">
      <c r="A319" t="s">
        <v>402</v>
      </c>
      <c r="B319" t="s">
        <v>44</v>
      </c>
      <c r="C319">
        <v>6</v>
      </c>
      <c r="D319">
        <v>35.9</v>
      </c>
      <c r="E319">
        <v>215.39999999999998</v>
      </c>
      <c r="F319" s="2">
        <v>45671</v>
      </c>
      <c r="G319" s="2">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ht="18" x14ac:dyDescent="0.5">
      <c r="A320" t="s">
        <v>403</v>
      </c>
      <c r="B320" t="s">
        <v>26</v>
      </c>
      <c r="C320">
        <v>2</v>
      </c>
      <c r="D320">
        <v>69.099999999999994</v>
      </c>
      <c r="E320">
        <v>138.19999999999999</v>
      </c>
      <c r="F320" s="2">
        <v>45671</v>
      </c>
      <c r="G320" s="2">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ht="18" x14ac:dyDescent="0.5">
      <c r="A321" t="s">
        <v>404</v>
      </c>
      <c r="B321" t="s">
        <v>42</v>
      </c>
      <c r="C321">
        <v>1</v>
      </c>
      <c r="D321">
        <v>58.4</v>
      </c>
      <c r="E321">
        <v>58.4</v>
      </c>
      <c r="F321" s="2">
        <v>45671</v>
      </c>
      <c r="G321" s="2">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ht="18" x14ac:dyDescent="0.5">
      <c r="A322" t="s">
        <v>405</v>
      </c>
      <c r="B322" t="s">
        <v>37</v>
      </c>
      <c r="C322">
        <v>1</v>
      </c>
      <c r="D322">
        <v>65.2</v>
      </c>
      <c r="E322">
        <v>65.2</v>
      </c>
      <c r="F322" s="2">
        <v>45671</v>
      </c>
      <c r="G322" s="2">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ht="18" x14ac:dyDescent="0.5">
      <c r="A323" t="s">
        <v>406</v>
      </c>
      <c r="B323" t="s">
        <v>44</v>
      </c>
      <c r="C323">
        <v>17</v>
      </c>
      <c r="D323">
        <v>32.700000000000003</v>
      </c>
      <c r="E323">
        <v>555.90000000000009</v>
      </c>
      <c r="F323" s="2">
        <v>45671</v>
      </c>
      <c r="G323" s="2">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ht="18" x14ac:dyDescent="0.5">
      <c r="A324" t="s">
        <v>407</v>
      </c>
      <c r="B324" t="s">
        <v>54</v>
      </c>
      <c r="C324">
        <v>7</v>
      </c>
      <c r="D324">
        <v>24.4</v>
      </c>
      <c r="E324">
        <v>170.79999999999998</v>
      </c>
      <c r="F324" s="2">
        <v>45671</v>
      </c>
      <c r="G324" s="2">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ht="18" x14ac:dyDescent="0.5">
      <c r="A325" t="s">
        <v>408</v>
      </c>
      <c r="B325" t="s">
        <v>81</v>
      </c>
      <c r="C325">
        <v>2</v>
      </c>
      <c r="D325">
        <v>50.4</v>
      </c>
      <c r="E325">
        <v>100.8</v>
      </c>
      <c r="F325" s="2">
        <v>45671</v>
      </c>
      <c r="G325" s="2">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ht="18" x14ac:dyDescent="0.5">
      <c r="A326" t="s">
        <v>409</v>
      </c>
      <c r="B326" t="s">
        <v>22</v>
      </c>
      <c r="C326">
        <v>2</v>
      </c>
      <c r="D326">
        <v>100</v>
      </c>
      <c r="E326">
        <v>200</v>
      </c>
      <c r="F326" s="2">
        <v>45671</v>
      </c>
      <c r="G326" s="2">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ht="18" x14ac:dyDescent="0.5">
      <c r="A327" t="s">
        <v>410</v>
      </c>
      <c r="B327" t="s">
        <v>54</v>
      </c>
      <c r="C327">
        <v>3</v>
      </c>
      <c r="D327">
        <v>43</v>
      </c>
      <c r="E327">
        <v>129</v>
      </c>
      <c r="F327" s="2">
        <v>45672</v>
      </c>
      <c r="G327" s="2">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ht="18" x14ac:dyDescent="0.5">
      <c r="A328" t="s">
        <v>411</v>
      </c>
      <c r="B328" t="s">
        <v>22</v>
      </c>
      <c r="C328">
        <v>5</v>
      </c>
      <c r="D328">
        <v>64.400000000000006</v>
      </c>
      <c r="E328">
        <v>322</v>
      </c>
      <c r="F328" s="2">
        <v>45672</v>
      </c>
      <c r="G328" s="2">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ht="18" x14ac:dyDescent="0.5">
      <c r="A329" t="s">
        <v>412</v>
      </c>
      <c r="B329" t="s">
        <v>146</v>
      </c>
      <c r="C329">
        <v>2</v>
      </c>
      <c r="D329">
        <v>57.4</v>
      </c>
      <c r="E329">
        <v>114.8</v>
      </c>
      <c r="F329" s="2">
        <v>45672</v>
      </c>
      <c r="G329" s="2">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ht="18" x14ac:dyDescent="0.5">
      <c r="A330" t="s">
        <v>413</v>
      </c>
      <c r="B330" t="s">
        <v>26</v>
      </c>
      <c r="C330">
        <v>3</v>
      </c>
      <c r="D330">
        <v>55.1</v>
      </c>
      <c r="E330">
        <v>165.3</v>
      </c>
      <c r="F330" s="2">
        <v>45672</v>
      </c>
      <c r="G330" s="2">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ht="18" x14ac:dyDescent="0.5">
      <c r="A331" t="s">
        <v>414</v>
      </c>
      <c r="B331" t="s">
        <v>42</v>
      </c>
      <c r="C331">
        <v>4</v>
      </c>
      <c r="D331">
        <v>45.4</v>
      </c>
      <c r="E331">
        <v>181.6</v>
      </c>
      <c r="F331" s="2">
        <v>45672</v>
      </c>
      <c r="G331" s="2">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ht="18" x14ac:dyDescent="0.5">
      <c r="A332" t="s">
        <v>415</v>
      </c>
      <c r="B332" t="s">
        <v>30</v>
      </c>
      <c r="C332">
        <v>3</v>
      </c>
      <c r="D332">
        <v>93.3</v>
      </c>
      <c r="E332">
        <v>279.89999999999998</v>
      </c>
      <c r="F332" s="2">
        <v>45672</v>
      </c>
      <c r="G332" s="2">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ht="18" x14ac:dyDescent="0.5">
      <c r="A333" t="s">
        <v>417</v>
      </c>
      <c r="B333" t="s">
        <v>26</v>
      </c>
      <c r="C333">
        <v>19</v>
      </c>
      <c r="D333">
        <v>158.19999999999999</v>
      </c>
      <c r="E333">
        <v>3005.7999999999997</v>
      </c>
      <c r="F333" s="2">
        <v>45672</v>
      </c>
      <c r="G333" s="2">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ht="18" x14ac:dyDescent="0.5">
      <c r="A334" t="s">
        <v>418</v>
      </c>
      <c r="B334" t="s">
        <v>26</v>
      </c>
      <c r="C334">
        <v>2</v>
      </c>
      <c r="D334">
        <v>74.900000000000006</v>
      </c>
      <c r="E334">
        <v>149.80000000000001</v>
      </c>
      <c r="F334" s="2">
        <v>45672</v>
      </c>
      <c r="G334" s="2">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ht="18" x14ac:dyDescent="0.5">
      <c r="A335" t="s">
        <v>419</v>
      </c>
      <c r="B335" t="s">
        <v>44</v>
      </c>
      <c r="C335">
        <v>7</v>
      </c>
      <c r="D335">
        <v>26</v>
      </c>
      <c r="E335">
        <v>182</v>
      </c>
      <c r="F335" s="2">
        <v>45672</v>
      </c>
      <c r="G335" s="2">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ht="18" x14ac:dyDescent="0.5">
      <c r="A336" t="s">
        <v>420</v>
      </c>
      <c r="B336" t="s">
        <v>46</v>
      </c>
      <c r="C336">
        <v>6</v>
      </c>
      <c r="D336">
        <v>37.5</v>
      </c>
      <c r="E336">
        <v>225</v>
      </c>
      <c r="F336" s="2">
        <v>45672</v>
      </c>
      <c r="G336" s="2">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ht="18" x14ac:dyDescent="0.5">
      <c r="A337" t="s">
        <v>421</v>
      </c>
      <c r="B337" t="s">
        <v>39</v>
      </c>
      <c r="C337">
        <v>2</v>
      </c>
      <c r="D337">
        <v>75.8</v>
      </c>
      <c r="E337">
        <v>151.6</v>
      </c>
      <c r="F337" s="2">
        <v>45672</v>
      </c>
      <c r="G337" s="2">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ht="18" x14ac:dyDescent="0.5">
      <c r="A338" t="s">
        <v>422</v>
      </c>
      <c r="B338" t="s">
        <v>42</v>
      </c>
      <c r="C338">
        <v>1</v>
      </c>
      <c r="D338">
        <v>48.5</v>
      </c>
      <c r="E338">
        <v>48.5</v>
      </c>
      <c r="F338" s="2">
        <v>45672</v>
      </c>
      <c r="G338" s="2">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ht="18" x14ac:dyDescent="0.5">
      <c r="A339" t="s">
        <v>423</v>
      </c>
      <c r="B339" t="s">
        <v>39</v>
      </c>
      <c r="C339">
        <v>3</v>
      </c>
      <c r="D339">
        <v>98.9</v>
      </c>
      <c r="E339">
        <v>296.70000000000005</v>
      </c>
      <c r="F339" s="2">
        <v>45672</v>
      </c>
      <c r="G339" s="2">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ht="18" x14ac:dyDescent="0.5">
      <c r="A340" t="s">
        <v>424</v>
      </c>
      <c r="B340" t="s">
        <v>22</v>
      </c>
      <c r="C340">
        <v>12</v>
      </c>
      <c r="D340">
        <v>50.9</v>
      </c>
      <c r="E340">
        <v>610.79999999999995</v>
      </c>
      <c r="F340" s="2">
        <v>45672</v>
      </c>
      <c r="G340" s="2">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ht="18" x14ac:dyDescent="0.5">
      <c r="A341" t="s">
        <v>425</v>
      </c>
      <c r="B341" t="s">
        <v>69</v>
      </c>
      <c r="C341">
        <v>6</v>
      </c>
      <c r="D341">
        <v>84.7</v>
      </c>
      <c r="E341">
        <v>508.20000000000005</v>
      </c>
      <c r="F341" s="2">
        <v>45672</v>
      </c>
      <c r="G341" s="2">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ht="18" x14ac:dyDescent="0.5">
      <c r="A342" t="s">
        <v>426</v>
      </c>
      <c r="B342" t="s">
        <v>44</v>
      </c>
      <c r="C342">
        <v>1</v>
      </c>
      <c r="D342">
        <v>20.7</v>
      </c>
      <c r="E342">
        <v>20.7</v>
      </c>
      <c r="F342" s="2">
        <v>45672</v>
      </c>
      <c r="G342" s="2">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ht="18" x14ac:dyDescent="0.5">
      <c r="A343" t="s">
        <v>427</v>
      </c>
      <c r="B343" t="s">
        <v>69</v>
      </c>
      <c r="C343">
        <v>9</v>
      </c>
      <c r="D343">
        <v>57.8</v>
      </c>
      <c r="E343">
        <v>520.19999999999993</v>
      </c>
      <c r="F343" s="2">
        <v>45672</v>
      </c>
      <c r="G343" s="2">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ht="18" x14ac:dyDescent="0.5">
      <c r="A344" t="s">
        <v>428</v>
      </c>
      <c r="B344" t="s">
        <v>26</v>
      </c>
      <c r="C344">
        <v>2</v>
      </c>
      <c r="D344">
        <v>106.9</v>
      </c>
      <c r="E344">
        <v>213.8</v>
      </c>
      <c r="F344" s="2">
        <v>45672</v>
      </c>
      <c r="G344" s="2">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ht="18" x14ac:dyDescent="0.5">
      <c r="A345" t="s">
        <v>430</v>
      </c>
      <c r="B345" t="s">
        <v>30</v>
      </c>
      <c r="C345">
        <v>5</v>
      </c>
      <c r="D345">
        <v>45.2</v>
      </c>
      <c r="E345">
        <v>226</v>
      </c>
      <c r="F345" s="2">
        <v>45672</v>
      </c>
      <c r="G345" s="2">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ht="18" x14ac:dyDescent="0.5">
      <c r="A346" t="s">
        <v>431</v>
      </c>
      <c r="B346" t="s">
        <v>44</v>
      </c>
      <c r="C346">
        <v>13</v>
      </c>
      <c r="D346">
        <v>34.6</v>
      </c>
      <c r="E346">
        <v>449.8</v>
      </c>
      <c r="F346" s="2">
        <v>45672</v>
      </c>
      <c r="G346" s="2">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ht="18" x14ac:dyDescent="0.5">
      <c r="A347" t="s">
        <v>432</v>
      </c>
      <c r="B347" t="s">
        <v>123</v>
      </c>
      <c r="C347">
        <v>1</v>
      </c>
      <c r="D347">
        <v>43.8</v>
      </c>
      <c r="E347">
        <v>43.8</v>
      </c>
      <c r="F347" s="2">
        <v>45672</v>
      </c>
      <c r="G347" s="2">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ht="18" x14ac:dyDescent="0.5">
      <c r="A348" t="s">
        <v>433</v>
      </c>
      <c r="B348" t="s">
        <v>123</v>
      </c>
      <c r="C348">
        <v>1</v>
      </c>
      <c r="D348">
        <v>20.399999999999999</v>
      </c>
      <c r="E348">
        <v>20.399999999999999</v>
      </c>
      <c r="F348" s="2">
        <v>45672</v>
      </c>
      <c r="G348" s="2">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ht="18" x14ac:dyDescent="0.5">
      <c r="A349" t="s">
        <v>434</v>
      </c>
      <c r="B349" t="s">
        <v>22</v>
      </c>
      <c r="C349">
        <v>1</v>
      </c>
      <c r="D349">
        <v>36.700000000000003</v>
      </c>
      <c r="E349">
        <v>36.700000000000003</v>
      </c>
      <c r="F349" s="2">
        <v>45672</v>
      </c>
      <c r="G349" s="2">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ht="18" x14ac:dyDescent="0.5">
      <c r="A350" t="s">
        <v>435</v>
      </c>
      <c r="B350" t="s">
        <v>44</v>
      </c>
      <c r="C350">
        <v>3</v>
      </c>
      <c r="D350">
        <v>27.2</v>
      </c>
      <c r="E350">
        <v>81.599999999999994</v>
      </c>
      <c r="F350" s="2">
        <v>45672</v>
      </c>
      <c r="G350" s="2">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ht="18" x14ac:dyDescent="0.5">
      <c r="A351" t="s">
        <v>436</v>
      </c>
      <c r="B351" t="s">
        <v>39</v>
      </c>
      <c r="C351">
        <v>1</v>
      </c>
      <c r="D351">
        <v>58.2</v>
      </c>
      <c r="E351">
        <v>58.2</v>
      </c>
      <c r="F351" s="2">
        <v>45672</v>
      </c>
      <c r="G351" s="2">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ht="18" x14ac:dyDescent="0.5">
      <c r="A352" t="s">
        <v>438</v>
      </c>
      <c r="B352" t="s">
        <v>44</v>
      </c>
      <c r="C352">
        <v>3</v>
      </c>
      <c r="D352">
        <v>25.6</v>
      </c>
      <c r="E352">
        <v>76.800000000000011</v>
      </c>
      <c r="F352" s="2">
        <v>45672</v>
      </c>
      <c r="G352" s="2">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ht="18" x14ac:dyDescent="0.5">
      <c r="A353" t="s">
        <v>439</v>
      </c>
      <c r="B353" t="s">
        <v>54</v>
      </c>
      <c r="C353">
        <v>1</v>
      </c>
      <c r="D353">
        <v>21.2</v>
      </c>
      <c r="E353">
        <v>21.2</v>
      </c>
      <c r="F353" s="2">
        <v>45672</v>
      </c>
      <c r="G353" s="2">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ht="18" x14ac:dyDescent="0.5">
      <c r="A354" t="s">
        <v>440</v>
      </c>
      <c r="B354" t="s">
        <v>39</v>
      </c>
      <c r="C354">
        <v>2</v>
      </c>
      <c r="D354">
        <v>48.2</v>
      </c>
      <c r="E354">
        <v>96.4</v>
      </c>
      <c r="F354" s="2">
        <v>45672</v>
      </c>
      <c r="G354" s="2">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ht="18" x14ac:dyDescent="0.5">
      <c r="A355" t="s">
        <v>441</v>
      </c>
      <c r="B355" t="s">
        <v>22</v>
      </c>
      <c r="C355">
        <v>4</v>
      </c>
      <c r="D355">
        <v>83.4</v>
      </c>
      <c r="E355">
        <v>333.6</v>
      </c>
      <c r="F355" s="2">
        <v>45673</v>
      </c>
      <c r="G355" s="2">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ht="18" x14ac:dyDescent="0.5">
      <c r="A356" t="s">
        <v>442</v>
      </c>
      <c r="B356" t="s">
        <v>46</v>
      </c>
      <c r="C356">
        <v>3</v>
      </c>
      <c r="D356">
        <v>45.3</v>
      </c>
      <c r="E356">
        <v>135.89999999999998</v>
      </c>
      <c r="F356" s="2">
        <v>45673</v>
      </c>
      <c r="G356" s="2">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ht="18" x14ac:dyDescent="0.5">
      <c r="A357" t="s">
        <v>443</v>
      </c>
      <c r="B357" t="s">
        <v>135</v>
      </c>
      <c r="C357">
        <v>1</v>
      </c>
      <c r="D357">
        <v>42</v>
      </c>
      <c r="E357">
        <v>42</v>
      </c>
      <c r="F357" s="2">
        <v>45673</v>
      </c>
      <c r="G357" s="2">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ht="18" x14ac:dyDescent="0.5">
      <c r="A358" t="s">
        <v>444</v>
      </c>
      <c r="B358" t="s">
        <v>16</v>
      </c>
      <c r="C358">
        <v>9</v>
      </c>
      <c r="D358">
        <v>21.8</v>
      </c>
      <c r="E358">
        <v>196.20000000000002</v>
      </c>
      <c r="F358" s="2">
        <v>45673</v>
      </c>
      <c r="G358" s="2">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ht="18" x14ac:dyDescent="0.5">
      <c r="A359" t="s">
        <v>445</v>
      </c>
      <c r="B359" t="s">
        <v>44</v>
      </c>
      <c r="C359">
        <v>18</v>
      </c>
      <c r="D359">
        <v>21.4</v>
      </c>
      <c r="E359">
        <v>385.2</v>
      </c>
      <c r="F359" s="2">
        <v>45673</v>
      </c>
      <c r="G359" s="2">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ht="18" x14ac:dyDescent="0.5">
      <c r="A360" t="s">
        <v>446</v>
      </c>
      <c r="B360" t="s">
        <v>54</v>
      </c>
      <c r="C360">
        <v>3</v>
      </c>
      <c r="D360">
        <v>45</v>
      </c>
      <c r="E360">
        <v>135</v>
      </c>
      <c r="F360" s="2">
        <v>45673</v>
      </c>
      <c r="G360" s="2">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ht="18" x14ac:dyDescent="0.5">
      <c r="A361" t="s">
        <v>447</v>
      </c>
      <c r="B361" t="s">
        <v>81</v>
      </c>
      <c r="C361">
        <v>1</v>
      </c>
      <c r="D361">
        <v>39.6</v>
      </c>
      <c r="E361">
        <v>39.6</v>
      </c>
      <c r="F361" s="2">
        <v>45673</v>
      </c>
      <c r="G361" s="2">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ht="18" x14ac:dyDescent="0.5">
      <c r="A362" t="s">
        <v>448</v>
      </c>
      <c r="B362" t="s">
        <v>69</v>
      </c>
      <c r="C362">
        <v>3</v>
      </c>
      <c r="D362">
        <v>79.8</v>
      </c>
      <c r="E362">
        <v>239.39999999999998</v>
      </c>
      <c r="F362" s="2">
        <v>45673</v>
      </c>
      <c r="G362" s="2">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ht="18" x14ac:dyDescent="0.5">
      <c r="A363" t="s">
        <v>449</v>
      </c>
      <c r="B363" t="s">
        <v>22</v>
      </c>
      <c r="C363">
        <v>4</v>
      </c>
      <c r="D363">
        <v>63.6</v>
      </c>
      <c r="E363">
        <v>254.4</v>
      </c>
      <c r="F363" s="2">
        <v>45673</v>
      </c>
      <c r="G363" s="2">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ht="18" x14ac:dyDescent="0.5">
      <c r="A364" t="s">
        <v>450</v>
      </c>
      <c r="B364" t="s">
        <v>42</v>
      </c>
      <c r="C364">
        <v>10</v>
      </c>
      <c r="D364">
        <v>92.7</v>
      </c>
      <c r="E364">
        <v>927</v>
      </c>
      <c r="F364" s="2">
        <v>45673</v>
      </c>
      <c r="G364" s="2">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ht="18" x14ac:dyDescent="0.5">
      <c r="A365" t="s">
        <v>451</v>
      </c>
      <c r="B365" t="s">
        <v>22</v>
      </c>
      <c r="C365">
        <v>4</v>
      </c>
      <c r="D365">
        <v>48.4</v>
      </c>
      <c r="E365">
        <v>193.6</v>
      </c>
      <c r="F365" s="2">
        <v>45673</v>
      </c>
      <c r="G365" s="2">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ht="18" x14ac:dyDescent="0.5">
      <c r="A366" t="s">
        <v>452</v>
      </c>
      <c r="B366" t="s">
        <v>46</v>
      </c>
      <c r="C366">
        <v>8</v>
      </c>
      <c r="D366">
        <v>36</v>
      </c>
      <c r="E366">
        <v>288</v>
      </c>
      <c r="F366" s="2">
        <v>45673</v>
      </c>
      <c r="G366" s="2">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ht="18" x14ac:dyDescent="0.5">
      <c r="A367" t="s">
        <v>453</v>
      </c>
      <c r="B367" t="s">
        <v>44</v>
      </c>
      <c r="C367">
        <v>12</v>
      </c>
      <c r="D367">
        <v>27</v>
      </c>
      <c r="E367">
        <v>324</v>
      </c>
      <c r="F367" s="2">
        <v>45673</v>
      </c>
      <c r="G367" s="2">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ht="18" x14ac:dyDescent="0.5">
      <c r="A368" t="s">
        <v>454</v>
      </c>
      <c r="B368" t="s">
        <v>26</v>
      </c>
      <c r="C368">
        <v>8</v>
      </c>
      <c r="D368">
        <v>53.9</v>
      </c>
      <c r="E368">
        <v>431.2</v>
      </c>
      <c r="F368" s="2">
        <v>45673</v>
      </c>
      <c r="G368" s="2">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ht="18" x14ac:dyDescent="0.5">
      <c r="A369" t="s">
        <v>455</v>
      </c>
      <c r="B369" t="s">
        <v>30</v>
      </c>
      <c r="C369">
        <v>9</v>
      </c>
      <c r="D369">
        <v>48.4</v>
      </c>
      <c r="E369">
        <v>435.59999999999997</v>
      </c>
      <c r="F369" s="2">
        <v>45673</v>
      </c>
      <c r="G369" s="2">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ht="18" x14ac:dyDescent="0.5">
      <c r="A370" t="s">
        <v>456</v>
      </c>
      <c r="B370" t="s">
        <v>135</v>
      </c>
      <c r="C370">
        <v>2</v>
      </c>
      <c r="D370">
        <v>49.9</v>
      </c>
      <c r="E370">
        <v>99.8</v>
      </c>
      <c r="F370" s="2">
        <v>45673</v>
      </c>
      <c r="G370" s="2">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ht="18" x14ac:dyDescent="0.5">
      <c r="A371" t="s">
        <v>457</v>
      </c>
      <c r="B371" t="s">
        <v>22</v>
      </c>
      <c r="C371">
        <v>3</v>
      </c>
      <c r="D371">
        <v>51.7</v>
      </c>
      <c r="E371">
        <v>155.10000000000002</v>
      </c>
      <c r="F371" s="2">
        <v>45673</v>
      </c>
      <c r="G371" s="2">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ht="18" x14ac:dyDescent="0.5">
      <c r="A372" t="s">
        <v>458</v>
      </c>
      <c r="B372" t="s">
        <v>44</v>
      </c>
      <c r="C372">
        <v>3</v>
      </c>
      <c r="D372">
        <v>41.8</v>
      </c>
      <c r="E372">
        <v>125.39999999999999</v>
      </c>
      <c r="F372" s="2">
        <v>45673</v>
      </c>
      <c r="G372" s="2">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ht="18" x14ac:dyDescent="0.5">
      <c r="A373" t="s">
        <v>459</v>
      </c>
      <c r="B373" t="s">
        <v>32</v>
      </c>
      <c r="C373">
        <v>4</v>
      </c>
      <c r="D373">
        <v>36.200000000000003</v>
      </c>
      <c r="E373">
        <v>144.80000000000001</v>
      </c>
      <c r="F373" s="2">
        <v>45674</v>
      </c>
      <c r="G373" s="2">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ht="18" x14ac:dyDescent="0.5">
      <c r="A374" t="s">
        <v>460</v>
      </c>
      <c r="B374" t="s">
        <v>26</v>
      </c>
      <c r="C374">
        <v>1</v>
      </c>
      <c r="D374">
        <v>150.9</v>
      </c>
      <c r="E374">
        <v>150.9</v>
      </c>
      <c r="F374" s="2">
        <v>45674</v>
      </c>
      <c r="G374" s="2">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ht="18" x14ac:dyDescent="0.5">
      <c r="A375" t="s">
        <v>461</v>
      </c>
      <c r="B375" t="s">
        <v>146</v>
      </c>
      <c r="C375">
        <v>4</v>
      </c>
      <c r="D375">
        <v>77.599999999999994</v>
      </c>
      <c r="E375">
        <v>310.39999999999998</v>
      </c>
      <c r="F375" s="2">
        <v>45674</v>
      </c>
      <c r="G375" s="2">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ht="18" x14ac:dyDescent="0.5">
      <c r="A376" t="s">
        <v>462</v>
      </c>
      <c r="B376" t="s">
        <v>76</v>
      </c>
      <c r="C376">
        <v>5</v>
      </c>
      <c r="D376">
        <v>65.5</v>
      </c>
      <c r="E376">
        <v>327.5</v>
      </c>
      <c r="F376" s="2">
        <v>45674</v>
      </c>
      <c r="G376" s="2">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ht="18" x14ac:dyDescent="0.5">
      <c r="A377" t="s">
        <v>463</v>
      </c>
      <c r="B377" t="s">
        <v>39</v>
      </c>
      <c r="C377">
        <v>3</v>
      </c>
      <c r="D377">
        <v>90.1</v>
      </c>
      <c r="E377">
        <v>270.29999999999995</v>
      </c>
      <c r="F377" s="2">
        <v>45674</v>
      </c>
      <c r="G377" s="2">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ht="18" x14ac:dyDescent="0.5">
      <c r="A378" t="s">
        <v>464</v>
      </c>
      <c r="B378" t="s">
        <v>22</v>
      </c>
      <c r="C378">
        <v>2</v>
      </c>
      <c r="D378">
        <v>108.3</v>
      </c>
      <c r="E378">
        <v>216.6</v>
      </c>
      <c r="F378" s="2">
        <v>45674</v>
      </c>
      <c r="G378" s="2">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ht="18" x14ac:dyDescent="0.5">
      <c r="A379" t="s">
        <v>465</v>
      </c>
      <c r="B379" t="s">
        <v>37</v>
      </c>
      <c r="C379">
        <v>3</v>
      </c>
      <c r="D379">
        <v>59.9</v>
      </c>
      <c r="E379">
        <v>179.7</v>
      </c>
      <c r="F379" s="2">
        <v>45674</v>
      </c>
      <c r="G379" s="2">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ht="18" x14ac:dyDescent="0.5">
      <c r="A380" t="s">
        <v>466</v>
      </c>
      <c r="B380" t="s">
        <v>26</v>
      </c>
      <c r="C380">
        <v>17</v>
      </c>
      <c r="D380">
        <v>139</v>
      </c>
      <c r="E380">
        <v>2363</v>
      </c>
      <c r="F380" s="2">
        <v>45674</v>
      </c>
      <c r="G380" s="2">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ht="18" x14ac:dyDescent="0.5">
      <c r="A381" t="s">
        <v>467</v>
      </c>
      <c r="B381" t="s">
        <v>39</v>
      </c>
      <c r="C381">
        <v>3</v>
      </c>
      <c r="D381">
        <v>87.3</v>
      </c>
      <c r="E381">
        <v>261.89999999999998</v>
      </c>
      <c r="F381" s="2">
        <v>45674</v>
      </c>
      <c r="G381" s="2">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ht="18" x14ac:dyDescent="0.5">
      <c r="A382" t="s">
        <v>468</v>
      </c>
      <c r="B382" t="s">
        <v>67</v>
      </c>
      <c r="C382">
        <v>4</v>
      </c>
      <c r="D382">
        <v>42.3</v>
      </c>
      <c r="E382">
        <v>169.2</v>
      </c>
      <c r="F382" s="2">
        <v>45674</v>
      </c>
      <c r="G382" s="2">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ht="18" x14ac:dyDescent="0.5">
      <c r="A383" t="s">
        <v>469</v>
      </c>
      <c r="B383" t="s">
        <v>81</v>
      </c>
      <c r="C383">
        <v>8</v>
      </c>
      <c r="D383">
        <v>103.6</v>
      </c>
      <c r="E383">
        <v>828.8</v>
      </c>
      <c r="F383" s="2">
        <v>45674</v>
      </c>
      <c r="G383" s="2">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ht="18" x14ac:dyDescent="0.5">
      <c r="A384" t="s">
        <v>470</v>
      </c>
      <c r="B384" t="s">
        <v>39</v>
      </c>
      <c r="C384">
        <v>2</v>
      </c>
      <c r="D384">
        <v>90.9</v>
      </c>
      <c r="E384">
        <v>181.8</v>
      </c>
      <c r="F384" s="2">
        <v>45674</v>
      </c>
      <c r="G384" s="2">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ht="18" x14ac:dyDescent="0.5">
      <c r="A385" t="s">
        <v>471</v>
      </c>
      <c r="B385" t="s">
        <v>46</v>
      </c>
      <c r="C385">
        <v>16</v>
      </c>
      <c r="D385">
        <v>100.9</v>
      </c>
      <c r="E385">
        <v>1614.4</v>
      </c>
      <c r="F385" s="2">
        <v>45674</v>
      </c>
      <c r="G385" s="2">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ht="18" x14ac:dyDescent="0.5">
      <c r="A386" t="s">
        <v>472</v>
      </c>
      <c r="B386" t="s">
        <v>32</v>
      </c>
      <c r="C386">
        <v>5</v>
      </c>
      <c r="D386">
        <v>36</v>
      </c>
      <c r="E386">
        <v>180</v>
      </c>
      <c r="F386" s="2">
        <v>45674</v>
      </c>
      <c r="G386" s="2">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ht="18" x14ac:dyDescent="0.5">
      <c r="A387" t="s">
        <v>473</v>
      </c>
      <c r="B387" t="s">
        <v>39</v>
      </c>
      <c r="C387">
        <v>6</v>
      </c>
      <c r="D387">
        <v>83.3</v>
      </c>
      <c r="E387">
        <v>499.79999999999995</v>
      </c>
      <c r="F387" s="2">
        <v>45674</v>
      </c>
      <c r="G387" s="2">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ht="18" x14ac:dyDescent="0.5">
      <c r="A388" t="s">
        <v>474</v>
      </c>
      <c r="B388" t="s">
        <v>26</v>
      </c>
      <c r="C388">
        <v>17</v>
      </c>
      <c r="D388">
        <v>60.3</v>
      </c>
      <c r="E388">
        <v>1025.0999999999999</v>
      </c>
      <c r="F388" s="2">
        <v>45674</v>
      </c>
      <c r="G388" s="2">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ht="18" x14ac:dyDescent="0.5">
      <c r="A389" t="s">
        <v>475</v>
      </c>
      <c r="B389" t="s">
        <v>26</v>
      </c>
      <c r="C389">
        <v>6</v>
      </c>
      <c r="D389">
        <v>120.3</v>
      </c>
      <c r="E389">
        <v>721.8</v>
      </c>
      <c r="F389" s="2">
        <v>45674</v>
      </c>
      <c r="G389" s="2">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ht="18" x14ac:dyDescent="0.5">
      <c r="A390" t="s">
        <v>476</v>
      </c>
      <c r="B390" t="s">
        <v>32</v>
      </c>
      <c r="C390">
        <v>10</v>
      </c>
      <c r="D390">
        <v>34</v>
      </c>
      <c r="E390">
        <v>340</v>
      </c>
      <c r="F390" s="2">
        <v>45674</v>
      </c>
      <c r="G390" s="2">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ht="18" x14ac:dyDescent="0.5">
      <c r="A391" t="s">
        <v>477</v>
      </c>
      <c r="B391" t="s">
        <v>54</v>
      </c>
      <c r="C391">
        <v>5</v>
      </c>
      <c r="D391">
        <v>42.6</v>
      </c>
      <c r="E391">
        <v>213</v>
      </c>
      <c r="F391" s="2">
        <v>45674</v>
      </c>
      <c r="G391" s="2">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ht="18" x14ac:dyDescent="0.5">
      <c r="A392" t="s">
        <v>478</v>
      </c>
      <c r="B392" t="s">
        <v>37</v>
      </c>
      <c r="C392">
        <v>20</v>
      </c>
      <c r="D392">
        <v>47.4</v>
      </c>
      <c r="E392">
        <v>948</v>
      </c>
      <c r="F392" s="2">
        <v>45674</v>
      </c>
      <c r="G392" s="2">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ht="18" x14ac:dyDescent="0.5">
      <c r="A393" t="s">
        <v>479</v>
      </c>
      <c r="B393" t="s">
        <v>26</v>
      </c>
      <c r="C393">
        <v>1</v>
      </c>
      <c r="D393">
        <v>74</v>
      </c>
      <c r="E393">
        <v>74</v>
      </c>
      <c r="F393" s="2">
        <v>45675</v>
      </c>
      <c r="G393" s="2">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ht="18" x14ac:dyDescent="0.5">
      <c r="A394" t="s">
        <v>480</v>
      </c>
      <c r="B394" t="s">
        <v>26</v>
      </c>
      <c r="C394">
        <v>5</v>
      </c>
      <c r="D394">
        <v>60.4</v>
      </c>
      <c r="E394">
        <v>302</v>
      </c>
      <c r="F394" s="2">
        <v>45675</v>
      </c>
      <c r="G394" s="2">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ht="18" x14ac:dyDescent="0.5">
      <c r="A395" t="s">
        <v>481</v>
      </c>
      <c r="B395" t="s">
        <v>69</v>
      </c>
      <c r="C395">
        <v>2</v>
      </c>
      <c r="D395">
        <v>69.3</v>
      </c>
      <c r="E395">
        <v>138.6</v>
      </c>
      <c r="F395" s="2">
        <v>45675</v>
      </c>
      <c r="G395" s="2">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ht="18" x14ac:dyDescent="0.5">
      <c r="A396" t="s">
        <v>482</v>
      </c>
      <c r="B396" t="s">
        <v>37</v>
      </c>
      <c r="C396">
        <v>5</v>
      </c>
      <c r="D396">
        <v>81</v>
      </c>
      <c r="E396">
        <v>405</v>
      </c>
      <c r="F396" s="2">
        <v>45675</v>
      </c>
      <c r="G396" s="2">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ht="18" x14ac:dyDescent="0.5">
      <c r="A397" t="s">
        <v>483</v>
      </c>
      <c r="B397" t="s">
        <v>123</v>
      </c>
      <c r="C397">
        <v>3</v>
      </c>
      <c r="D397">
        <v>41.5</v>
      </c>
      <c r="E397">
        <v>124.5</v>
      </c>
      <c r="F397" s="2">
        <v>45675</v>
      </c>
      <c r="G397" s="2">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ht="18" x14ac:dyDescent="0.5">
      <c r="A398" t="s">
        <v>484</v>
      </c>
      <c r="B398" t="s">
        <v>146</v>
      </c>
      <c r="C398">
        <v>2</v>
      </c>
      <c r="D398">
        <v>69.7</v>
      </c>
      <c r="E398">
        <v>139.4</v>
      </c>
      <c r="F398" s="2">
        <v>45675</v>
      </c>
      <c r="G398" s="2">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ht="18" x14ac:dyDescent="0.5">
      <c r="A399" t="s">
        <v>485</v>
      </c>
      <c r="B399" t="s">
        <v>26</v>
      </c>
      <c r="C399">
        <v>5</v>
      </c>
      <c r="D399">
        <v>83.6</v>
      </c>
      <c r="E399">
        <v>418</v>
      </c>
      <c r="F399" s="2">
        <v>45675</v>
      </c>
      <c r="G399" s="2">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ht="18" x14ac:dyDescent="0.5">
      <c r="A400" t="s">
        <v>486</v>
      </c>
      <c r="B400" t="s">
        <v>44</v>
      </c>
      <c r="C400">
        <v>7</v>
      </c>
      <c r="D400">
        <v>21.5</v>
      </c>
      <c r="E400">
        <v>150.5</v>
      </c>
      <c r="F400" s="2">
        <v>45675</v>
      </c>
      <c r="G400" s="2">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ht="18" x14ac:dyDescent="0.5">
      <c r="A401" t="s">
        <v>487</v>
      </c>
      <c r="B401" t="s">
        <v>44</v>
      </c>
      <c r="C401">
        <v>8</v>
      </c>
      <c r="D401">
        <v>28.6</v>
      </c>
      <c r="E401">
        <v>228.8</v>
      </c>
      <c r="F401" s="2">
        <v>45675</v>
      </c>
      <c r="G401" s="2">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ht="18" x14ac:dyDescent="0.5">
      <c r="A402" t="s">
        <v>488</v>
      </c>
      <c r="B402" t="s">
        <v>44</v>
      </c>
      <c r="C402">
        <v>6</v>
      </c>
      <c r="D402">
        <v>18.8</v>
      </c>
      <c r="E402">
        <v>112.80000000000001</v>
      </c>
      <c r="F402" s="2">
        <v>45675</v>
      </c>
      <c r="G402" s="2">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ht="18" x14ac:dyDescent="0.5">
      <c r="A403" t="s">
        <v>489</v>
      </c>
      <c r="B403" t="s">
        <v>54</v>
      </c>
      <c r="C403">
        <v>4</v>
      </c>
      <c r="D403">
        <v>35.1</v>
      </c>
      <c r="E403">
        <v>140.4</v>
      </c>
      <c r="F403" s="2">
        <v>45675</v>
      </c>
      <c r="G403" s="2">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ht="18" x14ac:dyDescent="0.5">
      <c r="A404" t="s">
        <v>490</v>
      </c>
      <c r="B404" t="s">
        <v>16</v>
      </c>
      <c r="C404">
        <v>2</v>
      </c>
      <c r="D404">
        <v>12.7</v>
      </c>
      <c r="E404">
        <v>25.4</v>
      </c>
      <c r="F404" s="2">
        <v>45675</v>
      </c>
      <c r="G404" s="2">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ht="18" x14ac:dyDescent="0.5">
      <c r="A405" t="s">
        <v>491</v>
      </c>
      <c r="B405" t="s">
        <v>44</v>
      </c>
      <c r="C405">
        <v>5</v>
      </c>
      <c r="D405">
        <v>27.4</v>
      </c>
      <c r="E405">
        <v>137</v>
      </c>
      <c r="F405" s="2">
        <v>45675</v>
      </c>
      <c r="G405" s="2">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ht="18" x14ac:dyDescent="0.5">
      <c r="A406" t="s">
        <v>492</v>
      </c>
      <c r="B406" t="s">
        <v>54</v>
      </c>
      <c r="C406">
        <v>2</v>
      </c>
      <c r="D406">
        <v>61.3</v>
      </c>
      <c r="E406">
        <v>122.6</v>
      </c>
      <c r="F406" s="2">
        <v>45675</v>
      </c>
      <c r="G406" s="2">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ht="18" x14ac:dyDescent="0.5">
      <c r="A407" t="s">
        <v>493</v>
      </c>
      <c r="B407" t="s">
        <v>44</v>
      </c>
      <c r="C407">
        <v>2</v>
      </c>
      <c r="D407">
        <v>64.7</v>
      </c>
      <c r="E407">
        <v>129.4</v>
      </c>
      <c r="F407" s="2">
        <v>45675</v>
      </c>
      <c r="G407" s="2">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ht="18" x14ac:dyDescent="0.5">
      <c r="A408" t="s">
        <v>494</v>
      </c>
      <c r="B408" t="s">
        <v>42</v>
      </c>
      <c r="C408">
        <v>4</v>
      </c>
      <c r="D408">
        <v>91.4</v>
      </c>
      <c r="E408">
        <v>365.6</v>
      </c>
      <c r="F408" s="2">
        <v>45675</v>
      </c>
      <c r="G408" s="2">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ht="18" x14ac:dyDescent="0.5">
      <c r="A409" t="s">
        <v>495</v>
      </c>
      <c r="B409" t="s">
        <v>16</v>
      </c>
      <c r="C409">
        <v>2</v>
      </c>
      <c r="D409">
        <v>33.1</v>
      </c>
      <c r="E409">
        <v>66.2</v>
      </c>
      <c r="F409" s="2">
        <v>45676</v>
      </c>
      <c r="G409" s="2">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ht="18" x14ac:dyDescent="0.5">
      <c r="A410" t="s">
        <v>496</v>
      </c>
      <c r="B410" t="s">
        <v>30</v>
      </c>
      <c r="C410">
        <v>2</v>
      </c>
      <c r="D410">
        <v>105.6</v>
      </c>
      <c r="E410">
        <v>211.2</v>
      </c>
      <c r="F410" s="2">
        <v>45676</v>
      </c>
      <c r="G410" s="2">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ht="18" x14ac:dyDescent="0.5">
      <c r="A411" t="s">
        <v>497</v>
      </c>
      <c r="B411" t="s">
        <v>54</v>
      </c>
      <c r="C411">
        <v>3</v>
      </c>
      <c r="D411">
        <v>46.4</v>
      </c>
      <c r="E411">
        <v>139.19999999999999</v>
      </c>
      <c r="F411" s="2">
        <v>45676</v>
      </c>
      <c r="G411" s="2">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ht="18" x14ac:dyDescent="0.5">
      <c r="A412" t="s">
        <v>498</v>
      </c>
      <c r="B412" t="s">
        <v>46</v>
      </c>
      <c r="C412">
        <v>14</v>
      </c>
      <c r="D412">
        <v>35.299999999999997</v>
      </c>
      <c r="E412">
        <v>494.19999999999993</v>
      </c>
      <c r="F412" s="2">
        <v>45676</v>
      </c>
      <c r="G412" s="2">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ht="18" x14ac:dyDescent="0.5">
      <c r="A413" t="s">
        <v>499</v>
      </c>
      <c r="B413" t="s">
        <v>16</v>
      </c>
      <c r="C413">
        <v>2</v>
      </c>
      <c r="D413">
        <v>16.100000000000001</v>
      </c>
      <c r="E413">
        <v>32.200000000000003</v>
      </c>
      <c r="F413" s="2">
        <v>45676</v>
      </c>
      <c r="G413" s="2">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ht="18" x14ac:dyDescent="0.5">
      <c r="A414" t="s">
        <v>500</v>
      </c>
      <c r="B414" t="s">
        <v>32</v>
      </c>
      <c r="C414">
        <v>2</v>
      </c>
      <c r="D414">
        <v>27.9</v>
      </c>
      <c r="E414">
        <v>55.8</v>
      </c>
      <c r="F414" s="2">
        <v>45676</v>
      </c>
      <c r="G414" s="2">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ht="18" x14ac:dyDescent="0.5">
      <c r="A415" t="s">
        <v>501</v>
      </c>
      <c r="B415" t="s">
        <v>44</v>
      </c>
      <c r="C415">
        <v>1</v>
      </c>
      <c r="D415">
        <v>47.1</v>
      </c>
      <c r="E415">
        <v>47.1</v>
      </c>
      <c r="F415" s="2">
        <v>45676</v>
      </c>
      <c r="G415" s="2">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ht="18" x14ac:dyDescent="0.5">
      <c r="A416" t="s">
        <v>502</v>
      </c>
      <c r="B416" t="s">
        <v>39</v>
      </c>
      <c r="C416">
        <v>2</v>
      </c>
      <c r="D416">
        <v>85</v>
      </c>
      <c r="E416">
        <v>170</v>
      </c>
      <c r="F416" s="2">
        <v>45676</v>
      </c>
      <c r="G416" s="2">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ht="18" x14ac:dyDescent="0.5">
      <c r="A417" t="s">
        <v>503</v>
      </c>
      <c r="B417" t="s">
        <v>146</v>
      </c>
      <c r="C417">
        <v>2</v>
      </c>
      <c r="D417">
        <v>89</v>
      </c>
      <c r="E417">
        <v>178</v>
      </c>
      <c r="F417" s="2">
        <v>45676</v>
      </c>
      <c r="G417" s="2">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ht="18" x14ac:dyDescent="0.5">
      <c r="A418" t="s">
        <v>504</v>
      </c>
      <c r="B418" t="s">
        <v>128</v>
      </c>
      <c r="C418">
        <v>3</v>
      </c>
      <c r="D418">
        <v>36.6</v>
      </c>
      <c r="E418">
        <v>109.80000000000001</v>
      </c>
      <c r="F418" s="2">
        <v>45676</v>
      </c>
      <c r="G418" s="2">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ht="18" x14ac:dyDescent="0.5">
      <c r="A419" t="s">
        <v>505</v>
      </c>
      <c r="B419" t="s">
        <v>39</v>
      </c>
      <c r="C419">
        <v>7</v>
      </c>
      <c r="D419">
        <v>43.5</v>
      </c>
      <c r="E419">
        <v>304.5</v>
      </c>
      <c r="F419" s="2">
        <v>45676</v>
      </c>
      <c r="G419" s="2">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ht="18" x14ac:dyDescent="0.5">
      <c r="A420" t="s">
        <v>506</v>
      </c>
      <c r="B420" t="s">
        <v>46</v>
      </c>
      <c r="C420">
        <v>19</v>
      </c>
      <c r="D420">
        <v>30.5</v>
      </c>
      <c r="E420">
        <v>579.5</v>
      </c>
      <c r="F420" s="2">
        <v>45676</v>
      </c>
      <c r="G420" s="2">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ht="18" x14ac:dyDescent="0.5">
      <c r="A421" t="s">
        <v>507</v>
      </c>
      <c r="B421" t="s">
        <v>22</v>
      </c>
      <c r="C421">
        <v>2</v>
      </c>
      <c r="D421">
        <v>107.7</v>
      </c>
      <c r="E421">
        <v>215.4</v>
      </c>
      <c r="F421" s="2">
        <v>45676</v>
      </c>
      <c r="G421" s="2">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ht="18" x14ac:dyDescent="0.5">
      <c r="A422" t="s">
        <v>508</v>
      </c>
      <c r="B422" t="s">
        <v>135</v>
      </c>
      <c r="C422">
        <v>26</v>
      </c>
      <c r="D422">
        <v>57.1</v>
      </c>
      <c r="E422">
        <v>1484.6000000000001</v>
      </c>
      <c r="F422" s="2">
        <v>45676</v>
      </c>
      <c r="G422" s="2">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ht="18" x14ac:dyDescent="0.5">
      <c r="A423" t="s">
        <v>509</v>
      </c>
      <c r="B423" t="s">
        <v>26</v>
      </c>
      <c r="C423">
        <v>10</v>
      </c>
      <c r="D423">
        <v>111.7</v>
      </c>
      <c r="E423">
        <v>1117</v>
      </c>
      <c r="F423" s="2">
        <v>45676</v>
      </c>
      <c r="G423" s="2">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ht="18" x14ac:dyDescent="0.5">
      <c r="A424" t="s">
        <v>510</v>
      </c>
      <c r="B424" t="s">
        <v>146</v>
      </c>
      <c r="C424">
        <v>7</v>
      </c>
      <c r="D424">
        <v>44.3</v>
      </c>
      <c r="E424">
        <v>310.09999999999997</v>
      </c>
      <c r="F424" s="2">
        <v>45676</v>
      </c>
      <c r="G424" s="2">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ht="18" x14ac:dyDescent="0.5">
      <c r="A425" t="s">
        <v>511</v>
      </c>
      <c r="B425" t="s">
        <v>26</v>
      </c>
      <c r="C425">
        <v>8</v>
      </c>
      <c r="D425">
        <v>95.8</v>
      </c>
      <c r="E425">
        <v>766.4</v>
      </c>
      <c r="F425" s="2">
        <v>45676</v>
      </c>
      <c r="G425" s="2">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ht="18" x14ac:dyDescent="0.5">
      <c r="A426" t="s">
        <v>512</v>
      </c>
      <c r="B426" t="s">
        <v>54</v>
      </c>
      <c r="C426">
        <v>7</v>
      </c>
      <c r="D426">
        <v>22.6</v>
      </c>
      <c r="E426">
        <v>158.20000000000002</v>
      </c>
      <c r="F426" s="2">
        <v>45676</v>
      </c>
      <c r="G426" s="2">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ht="18" x14ac:dyDescent="0.5">
      <c r="A427" t="s">
        <v>513</v>
      </c>
      <c r="B427" t="s">
        <v>44</v>
      </c>
      <c r="C427">
        <v>8</v>
      </c>
      <c r="D427">
        <v>25.6</v>
      </c>
      <c r="E427">
        <v>204.8</v>
      </c>
      <c r="F427" s="2">
        <v>45676</v>
      </c>
      <c r="G427" s="2">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ht="18" x14ac:dyDescent="0.5">
      <c r="A428" t="s">
        <v>514</v>
      </c>
      <c r="B428" t="s">
        <v>39</v>
      </c>
      <c r="C428">
        <v>16</v>
      </c>
      <c r="D428">
        <v>54.3</v>
      </c>
      <c r="E428">
        <v>868.8</v>
      </c>
      <c r="F428" s="2">
        <v>45676</v>
      </c>
      <c r="G428" s="2">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ht="18" x14ac:dyDescent="0.5">
      <c r="A429" t="s">
        <v>515</v>
      </c>
      <c r="B429" t="s">
        <v>146</v>
      </c>
      <c r="C429">
        <v>13</v>
      </c>
      <c r="D429">
        <v>51.3</v>
      </c>
      <c r="E429">
        <v>666.9</v>
      </c>
      <c r="F429" s="2">
        <v>45676</v>
      </c>
      <c r="G429" s="2">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ht="18" x14ac:dyDescent="0.5">
      <c r="A430" t="s">
        <v>516</v>
      </c>
      <c r="B430" t="s">
        <v>16</v>
      </c>
      <c r="C430">
        <v>8</v>
      </c>
      <c r="D430">
        <v>25.6</v>
      </c>
      <c r="E430">
        <v>204.8</v>
      </c>
      <c r="F430" s="2">
        <v>45676</v>
      </c>
      <c r="G430" s="2">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ht="18" x14ac:dyDescent="0.5">
      <c r="A431" t="s">
        <v>517</v>
      </c>
      <c r="B431" t="s">
        <v>16</v>
      </c>
      <c r="C431">
        <v>2</v>
      </c>
      <c r="D431">
        <v>15.6</v>
      </c>
      <c r="E431">
        <v>31.2</v>
      </c>
      <c r="F431" s="2">
        <v>45676</v>
      </c>
      <c r="G431" s="2">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ht="18" x14ac:dyDescent="0.5">
      <c r="A432" t="s">
        <v>518</v>
      </c>
      <c r="B432" t="s">
        <v>44</v>
      </c>
      <c r="C432">
        <v>3</v>
      </c>
      <c r="D432">
        <v>30.3</v>
      </c>
      <c r="E432">
        <v>90.9</v>
      </c>
      <c r="F432" s="2">
        <v>45676</v>
      </c>
      <c r="G432" s="2">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ht="18" x14ac:dyDescent="0.5">
      <c r="A433" t="s">
        <v>519</v>
      </c>
      <c r="B433" t="s">
        <v>69</v>
      </c>
      <c r="C433">
        <v>2</v>
      </c>
      <c r="D433">
        <v>30.3</v>
      </c>
      <c r="E433">
        <v>60.6</v>
      </c>
      <c r="F433" s="2">
        <v>45676</v>
      </c>
      <c r="G433" s="2">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ht="18" x14ac:dyDescent="0.5">
      <c r="A434" t="s">
        <v>520</v>
      </c>
      <c r="B434" t="s">
        <v>54</v>
      </c>
      <c r="C434">
        <v>3</v>
      </c>
      <c r="D434">
        <v>53</v>
      </c>
      <c r="E434">
        <v>159</v>
      </c>
      <c r="F434" s="2">
        <v>45676</v>
      </c>
      <c r="G434" s="2">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ht="18" x14ac:dyDescent="0.5">
      <c r="A435" t="s">
        <v>521</v>
      </c>
      <c r="B435" t="s">
        <v>37</v>
      </c>
      <c r="C435">
        <v>18</v>
      </c>
      <c r="D435">
        <v>59.9</v>
      </c>
      <c r="E435">
        <v>1078.2</v>
      </c>
      <c r="F435" s="2">
        <v>45676</v>
      </c>
      <c r="G435" s="2">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ht="18" x14ac:dyDescent="0.5">
      <c r="A436" t="s">
        <v>522</v>
      </c>
      <c r="B436" t="s">
        <v>46</v>
      </c>
      <c r="C436">
        <v>2</v>
      </c>
      <c r="D436">
        <v>45.7</v>
      </c>
      <c r="E436">
        <v>91.4</v>
      </c>
      <c r="F436" s="2">
        <v>45676</v>
      </c>
      <c r="G436" s="2">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ht="18" x14ac:dyDescent="0.5">
      <c r="A437" t="s">
        <v>523</v>
      </c>
      <c r="B437" t="s">
        <v>44</v>
      </c>
      <c r="C437">
        <v>4</v>
      </c>
      <c r="D437">
        <v>46.1</v>
      </c>
      <c r="E437">
        <v>184.4</v>
      </c>
      <c r="F437" s="2">
        <v>45676</v>
      </c>
      <c r="G437" s="2">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ht="18" x14ac:dyDescent="0.5">
      <c r="A438" t="s">
        <v>524</v>
      </c>
      <c r="B438" t="s">
        <v>44</v>
      </c>
      <c r="C438">
        <v>3</v>
      </c>
      <c r="D438">
        <v>17.5</v>
      </c>
      <c r="E438">
        <v>52.5</v>
      </c>
      <c r="F438" s="2">
        <v>45676</v>
      </c>
      <c r="G438" s="2">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ht="18" x14ac:dyDescent="0.5">
      <c r="A439" t="s">
        <v>525</v>
      </c>
      <c r="B439" t="s">
        <v>54</v>
      </c>
      <c r="C439">
        <v>3</v>
      </c>
      <c r="D439">
        <v>36.5</v>
      </c>
      <c r="E439">
        <v>109.5</v>
      </c>
      <c r="F439" s="2">
        <v>45676</v>
      </c>
      <c r="G439" s="2">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ht="18" x14ac:dyDescent="0.5">
      <c r="A440" t="s">
        <v>526</v>
      </c>
      <c r="B440" t="s">
        <v>44</v>
      </c>
      <c r="C440">
        <v>2</v>
      </c>
      <c r="D440">
        <v>47.5</v>
      </c>
      <c r="E440">
        <v>95</v>
      </c>
      <c r="F440" s="2">
        <v>45677</v>
      </c>
      <c r="G440" s="2">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ht="18" x14ac:dyDescent="0.5">
      <c r="A441" t="s">
        <v>527</v>
      </c>
      <c r="B441" t="s">
        <v>39</v>
      </c>
      <c r="C441">
        <v>5</v>
      </c>
      <c r="D441">
        <v>45.6</v>
      </c>
      <c r="E441">
        <v>228</v>
      </c>
      <c r="F441" s="2">
        <v>45677</v>
      </c>
      <c r="G441" s="2">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ht="18" x14ac:dyDescent="0.5">
      <c r="A442" t="s">
        <v>528</v>
      </c>
      <c r="B442" t="s">
        <v>46</v>
      </c>
      <c r="C442">
        <v>2</v>
      </c>
      <c r="D442">
        <v>50.5</v>
      </c>
      <c r="E442">
        <v>101</v>
      </c>
      <c r="F442" s="2">
        <v>45677</v>
      </c>
      <c r="G442" s="2">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ht="18" x14ac:dyDescent="0.5">
      <c r="A443" t="s">
        <v>529</v>
      </c>
      <c r="B443" t="s">
        <v>26</v>
      </c>
      <c r="C443">
        <v>10</v>
      </c>
      <c r="D443">
        <v>99.8</v>
      </c>
      <c r="E443">
        <v>998</v>
      </c>
      <c r="F443" s="2">
        <v>45677</v>
      </c>
      <c r="G443" s="2">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ht="18" x14ac:dyDescent="0.5">
      <c r="A444" t="s">
        <v>530</v>
      </c>
      <c r="B444" t="s">
        <v>44</v>
      </c>
      <c r="C444">
        <v>15</v>
      </c>
      <c r="D444">
        <v>19.2</v>
      </c>
      <c r="E444">
        <v>288</v>
      </c>
      <c r="F444" s="2">
        <v>45677</v>
      </c>
      <c r="G444" s="2">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ht="18" x14ac:dyDescent="0.5">
      <c r="A445" t="s">
        <v>531</v>
      </c>
      <c r="B445" t="s">
        <v>135</v>
      </c>
      <c r="C445">
        <v>3</v>
      </c>
      <c r="D445">
        <v>22.6</v>
      </c>
      <c r="E445">
        <v>67.800000000000011</v>
      </c>
      <c r="F445" s="2">
        <v>45677</v>
      </c>
      <c r="G445" s="2">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ht="18" x14ac:dyDescent="0.5">
      <c r="A446" t="s">
        <v>532</v>
      </c>
      <c r="B446" t="s">
        <v>22</v>
      </c>
      <c r="C446">
        <v>15</v>
      </c>
      <c r="D446">
        <v>126.9</v>
      </c>
      <c r="E446">
        <v>1903.5</v>
      </c>
      <c r="F446" s="2">
        <v>45677</v>
      </c>
      <c r="G446" s="2">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ht="18" x14ac:dyDescent="0.5">
      <c r="A447" t="s">
        <v>533</v>
      </c>
      <c r="B447" t="s">
        <v>26</v>
      </c>
      <c r="C447">
        <v>2</v>
      </c>
      <c r="D447">
        <v>100.3</v>
      </c>
      <c r="E447">
        <v>200.6</v>
      </c>
      <c r="F447" s="2">
        <v>45677</v>
      </c>
      <c r="G447" s="2">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ht="18" x14ac:dyDescent="0.5">
      <c r="A448" t="s">
        <v>534</v>
      </c>
      <c r="B448" t="s">
        <v>32</v>
      </c>
      <c r="C448">
        <v>18</v>
      </c>
      <c r="D448">
        <v>24.6</v>
      </c>
      <c r="E448">
        <v>442.8</v>
      </c>
      <c r="F448" s="2">
        <v>45677</v>
      </c>
      <c r="G448" s="2">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ht="18" x14ac:dyDescent="0.5">
      <c r="A449" t="s">
        <v>535</v>
      </c>
      <c r="B449" t="s">
        <v>39</v>
      </c>
      <c r="C449">
        <v>2</v>
      </c>
      <c r="D449">
        <v>47.3</v>
      </c>
      <c r="E449">
        <v>94.6</v>
      </c>
      <c r="F449" s="2">
        <v>45677</v>
      </c>
      <c r="G449" s="2">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ht="18" x14ac:dyDescent="0.5">
      <c r="A450" t="s">
        <v>536</v>
      </c>
      <c r="B450" t="s">
        <v>39</v>
      </c>
      <c r="C450">
        <v>7</v>
      </c>
      <c r="D450">
        <v>40.799999999999997</v>
      </c>
      <c r="E450">
        <v>285.59999999999997</v>
      </c>
      <c r="F450" s="2">
        <v>45677</v>
      </c>
      <c r="G450" s="2">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ht="18" x14ac:dyDescent="0.5">
      <c r="A451" t="s">
        <v>537</v>
      </c>
      <c r="B451" t="s">
        <v>44</v>
      </c>
      <c r="C451">
        <v>8</v>
      </c>
      <c r="D451">
        <v>49.2</v>
      </c>
      <c r="E451">
        <v>393.6</v>
      </c>
      <c r="F451" s="2">
        <v>45677</v>
      </c>
      <c r="G451" s="2">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ht="18" x14ac:dyDescent="0.5">
      <c r="A452" t="s">
        <v>538</v>
      </c>
      <c r="B452" t="s">
        <v>44</v>
      </c>
      <c r="C452">
        <v>1</v>
      </c>
      <c r="D452">
        <v>28.5</v>
      </c>
      <c r="E452">
        <v>28.5</v>
      </c>
      <c r="F452" s="2">
        <v>45677</v>
      </c>
      <c r="G452" s="2">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ht="18" x14ac:dyDescent="0.5">
      <c r="A453" t="s">
        <v>539</v>
      </c>
      <c r="B453" t="s">
        <v>146</v>
      </c>
      <c r="C453">
        <v>2</v>
      </c>
      <c r="D453">
        <v>36.799999999999997</v>
      </c>
      <c r="E453">
        <v>73.599999999999994</v>
      </c>
      <c r="F453" s="2">
        <v>45677</v>
      </c>
      <c r="G453" s="2">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ht="18" x14ac:dyDescent="0.5">
      <c r="A454" t="s">
        <v>540</v>
      </c>
      <c r="B454" t="s">
        <v>42</v>
      </c>
      <c r="C454">
        <v>3</v>
      </c>
      <c r="D454">
        <v>33.5</v>
      </c>
      <c r="E454">
        <v>100.5</v>
      </c>
      <c r="F454" s="2">
        <v>45677</v>
      </c>
      <c r="G454" s="2">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ht="18" x14ac:dyDescent="0.5">
      <c r="A455" t="s">
        <v>541</v>
      </c>
      <c r="B455" t="s">
        <v>39</v>
      </c>
      <c r="C455">
        <v>6</v>
      </c>
      <c r="D455">
        <v>62.5</v>
      </c>
      <c r="E455">
        <v>375</v>
      </c>
      <c r="F455" s="2">
        <v>45677</v>
      </c>
      <c r="G455" s="2">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ht="18" x14ac:dyDescent="0.5">
      <c r="A456" t="s">
        <v>542</v>
      </c>
      <c r="B456" t="s">
        <v>44</v>
      </c>
      <c r="C456">
        <v>40</v>
      </c>
      <c r="D456">
        <v>47.9</v>
      </c>
      <c r="E456">
        <v>1916</v>
      </c>
      <c r="F456" s="2">
        <v>45677</v>
      </c>
      <c r="G456" s="2">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ht="18" x14ac:dyDescent="0.5">
      <c r="A457" t="s">
        <v>543</v>
      </c>
      <c r="B457" t="s">
        <v>39</v>
      </c>
      <c r="C457">
        <v>6</v>
      </c>
      <c r="D457">
        <v>92.9</v>
      </c>
      <c r="E457">
        <v>557.40000000000009</v>
      </c>
      <c r="F457" s="2">
        <v>45677</v>
      </c>
      <c r="G457" s="2">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ht="18" x14ac:dyDescent="0.5">
      <c r="A458" t="s">
        <v>544</v>
      </c>
      <c r="B458" t="s">
        <v>69</v>
      </c>
      <c r="C458">
        <v>3</v>
      </c>
      <c r="D458">
        <v>44.1</v>
      </c>
      <c r="E458">
        <v>132.30000000000001</v>
      </c>
      <c r="F458" s="2">
        <v>45677</v>
      </c>
      <c r="G458" s="2">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ht="18" x14ac:dyDescent="0.5">
      <c r="A459" t="s">
        <v>546</v>
      </c>
      <c r="B459" t="s">
        <v>16</v>
      </c>
      <c r="C459">
        <v>1</v>
      </c>
      <c r="D459">
        <v>11.4</v>
      </c>
      <c r="E459">
        <v>11.4</v>
      </c>
      <c r="F459" s="2">
        <v>45678</v>
      </c>
      <c r="G459" s="2">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ht="18" x14ac:dyDescent="0.5">
      <c r="A460" t="s">
        <v>547</v>
      </c>
      <c r="B460" t="s">
        <v>39</v>
      </c>
      <c r="C460">
        <v>1</v>
      </c>
      <c r="D460">
        <v>83.7</v>
      </c>
      <c r="E460">
        <v>83.7</v>
      </c>
      <c r="F460" s="2">
        <v>45678</v>
      </c>
      <c r="G460" s="2">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ht="18" x14ac:dyDescent="0.5">
      <c r="A461" t="s">
        <v>548</v>
      </c>
      <c r="B461" t="s">
        <v>54</v>
      </c>
      <c r="C461">
        <v>2</v>
      </c>
      <c r="D461">
        <v>23.2</v>
      </c>
      <c r="E461">
        <v>46.4</v>
      </c>
      <c r="F461" s="2">
        <v>45678</v>
      </c>
      <c r="G461" s="2">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ht="18" x14ac:dyDescent="0.5">
      <c r="A462" t="s">
        <v>549</v>
      </c>
      <c r="B462" t="s">
        <v>26</v>
      </c>
      <c r="C462">
        <v>1</v>
      </c>
      <c r="D462">
        <v>162.1</v>
      </c>
      <c r="E462">
        <v>162.1</v>
      </c>
      <c r="F462" s="2">
        <v>45678</v>
      </c>
      <c r="G462" s="2">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ht="18" x14ac:dyDescent="0.5">
      <c r="A463" t="s">
        <v>550</v>
      </c>
      <c r="B463" t="s">
        <v>39</v>
      </c>
      <c r="C463">
        <v>4</v>
      </c>
      <c r="D463">
        <v>49.2</v>
      </c>
      <c r="E463">
        <v>196.8</v>
      </c>
      <c r="F463" s="2">
        <v>45678</v>
      </c>
      <c r="G463" s="2">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ht="18" x14ac:dyDescent="0.5">
      <c r="A464" t="s">
        <v>551</v>
      </c>
      <c r="B464" t="s">
        <v>22</v>
      </c>
      <c r="C464">
        <v>2</v>
      </c>
      <c r="D464">
        <v>61</v>
      </c>
      <c r="E464">
        <v>122</v>
      </c>
      <c r="F464" s="2">
        <v>45678</v>
      </c>
      <c r="G464" s="2">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ht="18" x14ac:dyDescent="0.5">
      <c r="A465" t="s">
        <v>552</v>
      </c>
      <c r="B465" t="s">
        <v>26</v>
      </c>
      <c r="C465">
        <v>10</v>
      </c>
      <c r="D465">
        <v>53.1</v>
      </c>
      <c r="E465">
        <v>531</v>
      </c>
      <c r="F465" s="2">
        <v>45678</v>
      </c>
      <c r="G465" s="2">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ht="18" x14ac:dyDescent="0.5">
      <c r="A466" t="s">
        <v>553</v>
      </c>
      <c r="B466" t="s">
        <v>32</v>
      </c>
      <c r="C466">
        <v>2</v>
      </c>
      <c r="D466">
        <v>22.4</v>
      </c>
      <c r="E466">
        <v>44.8</v>
      </c>
      <c r="F466" s="2">
        <v>45678</v>
      </c>
      <c r="G466" s="2">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ht="18" x14ac:dyDescent="0.5">
      <c r="A467" t="s">
        <v>554</v>
      </c>
      <c r="B467" t="s">
        <v>22</v>
      </c>
      <c r="C467">
        <v>5</v>
      </c>
      <c r="D467">
        <v>75.3</v>
      </c>
      <c r="E467">
        <v>376.5</v>
      </c>
      <c r="F467" s="2">
        <v>45678</v>
      </c>
      <c r="G467" s="2">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ht="18" x14ac:dyDescent="0.5">
      <c r="A468" t="s">
        <v>555</v>
      </c>
      <c r="B468" t="s">
        <v>39</v>
      </c>
      <c r="C468">
        <v>1</v>
      </c>
      <c r="D468">
        <v>48.5</v>
      </c>
      <c r="E468">
        <v>48.5</v>
      </c>
      <c r="F468" s="2">
        <v>45678</v>
      </c>
      <c r="G468" s="2">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ht="18" x14ac:dyDescent="0.5">
      <c r="A469" t="s">
        <v>556</v>
      </c>
      <c r="B469" t="s">
        <v>39</v>
      </c>
      <c r="C469">
        <v>1</v>
      </c>
      <c r="D469">
        <v>42.6</v>
      </c>
      <c r="E469">
        <v>42.6</v>
      </c>
      <c r="F469" s="2">
        <v>45678</v>
      </c>
      <c r="G469" s="2">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ht="18" x14ac:dyDescent="0.5">
      <c r="A470" t="s">
        <v>557</v>
      </c>
      <c r="B470" t="s">
        <v>37</v>
      </c>
      <c r="C470">
        <v>5</v>
      </c>
      <c r="D470">
        <v>49</v>
      </c>
      <c r="E470">
        <v>245</v>
      </c>
      <c r="F470" s="2">
        <v>45678</v>
      </c>
      <c r="G470" s="2">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ht="18" x14ac:dyDescent="0.5">
      <c r="A471" t="s">
        <v>558</v>
      </c>
      <c r="B471" t="s">
        <v>44</v>
      </c>
      <c r="C471">
        <v>3</v>
      </c>
      <c r="D471">
        <v>31.3</v>
      </c>
      <c r="E471">
        <v>93.9</v>
      </c>
      <c r="F471" s="2">
        <v>45678</v>
      </c>
      <c r="G471" s="2">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ht="18" x14ac:dyDescent="0.5">
      <c r="A472" t="s">
        <v>559</v>
      </c>
      <c r="B472" t="s">
        <v>26</v>
      </c>
      <c r="C472">
        <v>2</v>
      </c>
      <c r="D472">
        <v>85.4</v>
      </c>
      <c r="E472">
        <v>170.8</v>
      </c>
      <c r="F472" s="2">
        <v>45678</v>
      </c>
      <c r="G472" s="2">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ht="18" x14ac:dyDescent="0.5">
      <c r="A473" t="s">
        <v>560</v>
      </c>
      <c r="B473" t="s">
        <v>44</v>
      </c>
      <c r="C473">
        <v>4</v>
      </c>
      <c r="D473">
        <v>40</v>
      </c>
      <c r="E473">
        <v>160</v>
      </c>
      <c r="F473" s="2">
        <v>45678</v>
      </c>
      <c r="G473" s="2">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ht="18" x14ac:dyDescent="0.5">
      <c r="A474" t="s">
        <v>561</v>
      </c>
      <c r="B474" t="s">
        <v>37</v>
      </c>
      <c r="C474">
        <v>2</v>
      </c>
      <c r="D474">
        <v>38.5</v>
      </c>
      <c r="E474">
        <v>77</v>
      </c>
      <c r="F474" s="2">
        <v>45678</v>
      </c>
      <c r="G474" s="2">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ht="18" x14ac:dyDescent="0.5">
      <c r="A475" t="s">
        <v>562</v>
      </c>
      <c r="B475" t="s">
        <v>26</v>
      </c>
      <c r="C475">
        <v>2</v>
      </c>
      <c r="D475">
        <v>57.8</v>
      </c>
      <c r="E475">
        <v>115.6</v>
      </c>
      <c r="F475" s="2">
        <v>45678</v>
      </c>
      <c r="G475" s="2">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ht="18" x14ac:dyDescent="0.5">
      <c r="A476" t="s">
        <v>563</v>
      </c>
      <c r="B476" t="s">
        <v>44</v>
      </c>
      <c r="C476">
        <v>1</v>
      </c>
      <c r="D476">
        <v>19.2</v>
      </c>
      <c r="E476">
        <v>19.2</v>
      </c>
      <c r="F476" s="2">
        <v>45678</v>
      </c>
      <c r="G476" s="2">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ht="18" x14ac:dyDescent="0.5">
      <c r="A477" t="s">
        <v>564</v>
      </c>
      <c r="B477" t="s">
        <v>39</v>
      </c>
      <c r="C477">
        <v>6</v>
      </c>
      <c r="D477">
        <v>114.8</v>
      </c>
      <c r="E477">
        <v>688.8</v>
      </c>
      <c r="F477" s="2">
        <v>45678</v>
      </c>
      <c r="G477" s="2">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ht="18" x14ac:dyDescent="0.5">
      <c r="A478" t="s">
        <v>565</v>
      </c>
      <c r="B478" t="s">
        <v>54</v>
      </c>
      <c r="C478">
        <v>7</v>
      </c>
      <c r="D478">
        <v>48.4</v>
      </c>
      <c r="E478">
        <v>338.8</v>
      </c>
      <c r="F478" s="2">
        <v>45678</v>
      </c>
      <c r="G478" s="2">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ht="18" x14ac:dyDescent="0.5">
      <c r="A479" t="s">
        <v>566</v>
      </c>
      <c r="B479" t="s">
        <v>46</v>
      </c>
      <c r="C479">
        <v>5</v>
      </c>
      <c r="D479">
        <v>73.2</v>
      </c>
      <c r="E479">
        <v>366</v>
      </c>
      <c r="F479" s="2">
        <v>45678</v>
      </c>
      <c r="G479" s="2">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ht="18" x14ac:dyDescent="0.5">
      <c r="A480" t="s">
        <v>567</v>
      </c>
      <c r="B480" t="s">
        <v>123</v>
      </c>
      <c r="C480">
        <v>2</v>
      </c>
      <c r="D480">
        <v>48.6</v>
      </c>
      <c r="E480">
        <v>97.2</v>
      </c>
      <c r="F480" s="2">
        <v>45678</v>
      </c>
      <c r="G480" s="2">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ht="18" x14ac:dyDescent="0.5">
      <c r="A481" t="s">
        <v>568</v>
      </c>
      <c r="B481" t="s">
        <v>16</v>
      </c>
      <c r="C481">
        <v>6</v>
      </c>
      <c r="D481">
        <v>48.7</v>
      </c>
      <c r="E481">
        <v>292.20000000000005</v>
      </c>
      <c r="F481" s="2">
        <v>45678</v>
      </c>
      <c r="G481" s="2">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ht="18" x14ac:dyDescent="0.5">
      <c r="A482" t="s">
        <v>569</v>
      </c>
      <c r="B482" t="s">
        <v>32</v>
      </c>
      <c r="C482">
        <v>2</v>
      </c>
      <c r="D482">
        <v>32.200000000000003</v>
      </c>
      <c r="E482">
        <v>64.400000000000006</v>
      </c>
      <c r="F482" s="2">
        <v>45678</v>
      </c>
      <c r="G482" s="2">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ht="18" x14ac:dyDescent="0.5">
      <c r="A483" t="s">
        <v>570</v>
      </c>
      <c r="B483" t="s">
        <v>123</v>
      </c>
      <c r="C483">
        <v>8</v>
      </c>
      <c r="D483">
        <v>25.8</v>
      </c>
      <c r="E483">
        <v>206.4</v>
      </c>
      <c r="F483" s="2">
        <v>45678</v>
      </c>
      <c r="G483" s="2">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ht="18" x14ac:dyDescent="0.5">
      <c r="A484" t="s">
        <v>571</v>
      </c>
      <c r="B484" t="s">
        <v>39</v>
      </c>
      <c r="C484">
        <v>2</v>
      </c>
      <c r="D484">
        <v>94.8</v>
      </c>
      <c r="E484">
        <v>189.6</v>
      </c>
      <c r="F484" s="2">
        <v>45679</v>
      </c>
      <c r="G484" s="2">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ht="18" x14ac:dyDescent="0.5">
      <c r="A485" t="s">
        <v>572</v>
      </c>
      <c r="B485" t="s">
        <v>123</v>
      </c>
      <c r="C485">
        <v>25</v>
      </c>
      <c r="D485">
        <v>56.8</v>
      </c>
      <c r="E485">
        <v>1420</v>
      </c>
      <c r="F485" s="2">
        <v>45679</v>
      </c>
      <c r="G485" s="2">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ht="18" x14ac:dyDescent="0.5">
      <c r="A486" t="s">
        <v>573</v>
      </c>
      <c r="B486" t="s">
        <v>44</v>
      </c>
      <c r="C486">
        <v>16</v>
      </c>
      <c r="D486">
        <v>18.3</v>
      </c>
      <c r="E486">
        <v>292.8</v>
      </c>
      <c r="F486" s="2">
        <v>45679</v>
      </c>
      <c r="G486" s="2">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ht="18" x14ac:dyDescent="0.5">
      <c r="A487" t="s">
        <v>574</v>
      </c>
      <c r="B487" t="s">
        <v>16</v>
      </c>
      <c r="C487">
        <v>3</v>
      </c>
      <c r="D487">
        <v>16.8</v>
      </c>
      <c r="E487">
        <v>50.400000000000006</v>
      </c>
      <c r="F487" s="2">
        <v>45679</v>
      </c>
      <c r="G487" s="2">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ht="18" x14ac:dyDescent="0.5">
      <c r="A488" t="s">
        <v>575</v>
      </c>
      <c r="B488" t="s">
        <v>37</v>
      </c>
      <c r="C488">
        <v>11</v>
      </c>
      <c r="D488">
        <v>35.799999999999997</v>
      </c>
      <c r="E488">
        <v>393.79999999999995</v>
      </c>
      <c r="F488" s="2">
        <v>45679</v>
      </c>
      <c r="G488" s="2">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ht="18" x14ac:dyDescent="0.5">
      <c r="A489" t="s">
        <v>576</v>
      </c>
      <c r="B489" t="s">
        <v>146</v>
      </c>
      <c r="C489">
        <v>1</v>
      </c>
      <c r="D489">
        <v>64.900000000000006</v>
      </c>
      <c r="E489">
        <v>64.900000000000006</v>
      </c>
      <c r="F489" s="2">
        <v>45679</v>
      </c>
      <c r="G489" s="2">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ht="18" x14ac:dyDescent="0.5">
      <c r="A490" t="s">
        <v>577</v>
      </c>
      <c r="B490" t="s">
        <v>146</v>
      </c>
      <c r="C490">
        <v>1</v>
      </c>
      <c r="D490">
        <v>28.5</v>
      </c>
      <c r="E490">
        <v>28.5</v>
      </c>
      <c r="F490" s="2">
        <v>45679</v>
      </c>
      <c r="G490" s="2">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ht="18" x14ac:dyDescent="0.5">
      <c r="A491" t="s">
        <v>578</v>
      </c>
      <c r="B491" t="s">
        <v>146</v>
      </c>
      <c r="C491">
        <v>2</v>
      </c>
      <c r="D491">
        <v>103.5</v>
      </c>
      <c r="E491">
        <v>207</v>
      </c>
      <c r="F491" s="2">
        <v>45679</v>
      </c>
      <c r="G491" s="2">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ht="18" x14ac:dyDescent="0.5">
      <c r="A492" t="s">
        <v>579</v>
      </c>
      <c r="B492" t="s">
        <v>32</v>
      </c>
      <c r="C492">
        <v>2</v>
      </c>
      <c r="D492">
        <v>41.2</v>
      </c>
      <c r="E492">
        <v>82.4</v>
      </c>
      <c r="F492" s="2">
        <v>45679</v>
      </c>
      <c r="G492" s="2">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ht="18" x14ac:dyDescent="0.5">
      <c r="A493" t="s">
        <v>580</v>
      </c>
      <c r="B493" t="s">
        <v>46</v>
      </c>
      <c r="C493">
        <v>1</v>
      </c>
      <c r="D493">
        <v>37.799999999999997</v>
      </c>
      <c r="E493">
        <v>37.799999999999997</v>
      </c>
      <c r="F493" s="2">
        <v>45679</v>
      </c>
      <c r="G493" s="2">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ht="18" x14ac:dyDescent="0.5">
      <c r="A494" t="s">
        <v>581</v>
      </c>
      <c r="B494" t="s">
        <v>44</v>
      </c>
      <c r="C494">
        <v>2</v>
      </c>
      <c r="D494">
        <v>42.6</v>
      </c>
      <c r="E494">
        <v>85.2</v>
      </c>
      <c r="F494" s="2">
        <v>45679</v>
      </c>
      <c r="G494" s="2">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ht="18" x14ac:dyDescent="0.5">
      <c r="A495" t="s">
        <v>582</v>
      </c>
      <c r="B495" t="s">
        <v>44</v>
      </c>
      <c r="C495">
        <v>10</v>
      </c>
      <c r="D495">
        <v>15.2</v>
      </c>
      <c r="E495">
        <v>152</v>
      </c>
      <c r="F495" s="2">
        <v>45679</v>
      </c>
      <c r="G495" s="2">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ht="18" x14ac:dyDescent="0.5">
      <c r="A496" t="s">
        <v>583</v>
      </c>
      <c r="B496" t="s">
        <v>42</v>
      </c>
      <c r="C496">
        <v>4</v>
      </c>
      <c r="D496">
        <v>83.4</v>
      </c>
      <c r="E496">
        <v>333.6</v>
      </c>
      <c r="F496" s="2">
        <v>45679</v>
      </c>
      <c r="G496" s="2">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ht="18" x14ac:dyDescent="0.5">
      <c r="A497" t="s">
        <v>584</v>
      </c>
      <c r="B497" t="s">
        <v>171</v>
      </c>
      <c r="C497">
        <v>2</v>
      </c>
      <c r="D497">
        <v>27.7</v>
      </c>
      <c r="E497">
        <v>55.4</v>
      </c>
      <c r="F497" s="2">
        <v>45679</v>
      </c>
      <c r="G497" s="2">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ht="18" x14ac:dyDescent="0.5">
      <c r="A498" t="s">
        <v>585</v>
      </c>
      <c r="B498" t="s">
        <v>54</v>
      </c>
      <c r="C498">
        <v>12</v>
      </c>
      <c r="D498">
        <v>20.8</v>
      </c>
      <c r="E498">
        <v>249.60000000000002</v>
      </c>
      <c r="F498" s="2">
        <v>45679</v>
      </c>
      <c r="G498" s="2">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ht="18" x14ac:dyDescent="0.5">
      <c r="A499" t="s">
        <v>586</v>
      </c>
      <c r="B499" t="s">
        <v>67</v>
      </c>
      <c r="C499">
        <v>2</v>
      </c>
      <c r="D499">
        <v>72.7</v>
      </c>
      <c r="E499">
        <v>145.4</v>
      </c>
      <c r="F499" s="2">
        <v>45679</v>
      </c>
      <c r="G499" s="2">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ht="18" x14ac:dyDescent="0.5">
      <c r="A500" t="s">
        <v>588</v>
      </c>
      <c r="B500" t="s">
        <v>54</v>
      </c>
      <c r="C500">
        <v>4</v>
      </c>
      <c r="D500">
        <v>38.6</v>
      </c>
      <c r="E500">
        <v>154.4</v>
      </c>
      <c r="F500" s="2">
        <v>45679</v>
      </c>
      <c r="G500" s="2">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ht="18" x14ac:dyDescent="0.5">
      <c r="A501" t="s">
        <v>589</v>
      </c>
      <c r="B501" t="s">
        <v>44</v>
      </c>
      <c r="C501">
        <v>7</v>
      </c>
      <c r="D501">
        <v>33.1</v>
      </c>
      <c r="E501">
        <v>231.70000000000002</v>
      </c>
      <c r="F501" s="2">
        <v>45679</v>
      </c>
      <c r="G501" s="2">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ht="18" x14ac:dyDescent="0.5">
      <c r="A502" t="s">
        <v>590</v>
      </c>
      <c r="B502" t="s">
        <v>54</v>
      </c>
      <c r="C502">
        <v>2</v>
      </c>
      <c r="D502">
        <v>30.5</v>
      </c>
      <c r="E502">
        <v>61</v>
      </c>
      <c r="F502" s="2">
        <v>45679</v>
      </c>
      <c r="G502" s="2">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ht="18" x14ac:dyDescent="0.5">
      <c r="A503" t="s">
        <v>591</v>
      </c>
      <c r="B503" t="s">
        <v>46</v>
      </c>
      <c r="C503">
        <v>2</v>
      </c>
      <c r="D503">
        <v>69.599999999999994</v>
      </c>
      <c r="E503">
        <v>139.19999999999999</v>
      </c>
      <c r="F503" s="2">
        <v>45679</v>
      </c>
      <c r="G503" s="2">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ht="18" x14ac:dyDescent="0.5">
      <c r="A504" t="s">
        <v>592</v>
      </c>
      <c r="B504" t="s">
        <v>67</v>
      </c>
      <c r="C504">
        <v>1</v>
      </c>
      <c r="D504">
        <v>42.4</v>
      </c>
      <c r="E504">
        <v>42.4</v>
      </c>
      <c r="F504" s="2">
        <v>45679</v>
      </c>
      <c r="G504" s="2">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ht="18" x14ac:dyDescent="0.5">
      <c r="A505" t="s">
        <v>593</v>
      </c>
      <c r="B505" t="s">
        <v>135</v>
      </c>
      <c r="C505">
        <v>1</v>
      </c>
      <c r="D505">
        <v>32.200000000000003</v>
      </c>
      <c r="E505">
        <v>32.200000000000003</v>
      </c>
      <c r="F505" s="2">
        <v>45679</v>
      </c>
      <c r="G505" s="2">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ht="18" x14ac:dyDescent="0.5">
      <c r="A506" t="s">
        <v>594</v>
      </c>
      <c r="B506" t="s">
        <v>39</v>
      </c>
      <c r="C506">
        <v>2</v>
      </c>
      <c r="D506">
        <v>41.5</v>
      </c>
      <c r="E506">
        <v>83</v>
      </c>
      <c r="F506" s="2">
        <v>45679</v>
      </c>
      <c r="G506" s="2">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ht="18" x14ac:dyDescent="0.5">
      <c r="A507" t="s">
        <v>595</v>
      </c>
      <c r="B507" t="s">
        <v>128</v>
      </c>
      <c r="C507">
        <v>9</v>
      </c>
      <c r="D507">
        <v>58.9</v>
      </c>
      <c r="E507">
        <v>530.1</v>
      </c>
      <c r="F507" s="2">
        <v>45679</v>
      </c>
      <c r="G507" s="2">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ht="18" x14ac:dyDescent="0.5">
      <c r="A508" t="s">
        <v>596</v>
      </c>
      <c r="B508" t="s">
        <v>26</v>
      </c>
      <c r="C508">
        <v>1</v>
      </c>
      <c r="D508">
        <v>57.1</v>
      </c>
      <c r="E508">
        <v>57.1</v>
      </c>
      <c r="F508" s="2">
        <v>45679</v>
      </c>
      <c r="G508" s="2">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ht="18" x14ac:dyDescent="0.5">
      <c r="A509" t="s">
        <v>597</v>
      </c>
      <c r="B509" t="s">
        <v>39</v>
      </c>
      <c r="C509">
        <v>1</v>
      </c>
      <c r="D509">
        <v>57.2</v>
      </c>
      <c r="E509">
        <v>57.2</v>
      </c>
      <c r="F509" s="2">
        <v>45679</v>
      </c>
      <c r="G509" s="2">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ht="18" x14ac:dyDescent="0.5">
      <c r="A510" t="s">
        <v>598</v>
      </c>
      <c r="B510" t="s">
        <v>44</v>
      </c>
      <c r="C510">
        <v>2</v>
      </c>
      <c r="D510">
        <v>35.1</v>
      </c>
      <c r="E510">
        <v>70.2</v>
      </c>
      <c r="F510" s="2">
        <v>45679</v>
      </c>
      <c r="G510" s="2">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ht="18" x14ac:dyDescent="0.5">
      <c r="A511" t="s">
        <v>599</v>
      </c>
      <c r="B511" t="s">
        <v>22</v>
      </c>
      <c r="C511">
        <v>1</v>
      </c>
      <c r="D511">
        <v>52.1</v>
      </c>
      <c r="E511">
        <v>52.1</v>
      </c>
      <c r="F511" s="2">
        <v>45679</v>
      </c>
      <c r="G511" s="2">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ht="18" x14ac:dyDescent="0.5">
      <c r="A512" t="s">
        <v>600</v>
      </c>
      <c r="B512" t="s">
        <v>76</v>
      </c>
      <c r="C512">
        <v>3</v>
      </c>
      <c r="D512">
        <v>59.8</v>
      </c>
      <c r="E512">
        <v>179.39999999999998</v>
      </c>
      <c r="F512" s="2">
        <v>45679</v>
      </c>
      <c r="G512" s="2">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ht="18" x14ac:dyDescent="0.5">
      <c r="A513" t="s">
        <v>601</v>
      </c>
      <c r="B513" t="s">
        <v>30</v>
      </c>
      <c r="C513">
        <v>4</v>
      </c>
      <c r="D513">
        <v>83.3</v>
      </c>
      <c r="E513">
        <v>333.2</v>
      </c>
      <c r="F513" s="2">
        <v>45679</v>
      </c>
      <c r="G513" s="2">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ht="18" x14ac:dyDescent="0.5">
      <c r="A514" t="s">
        <v>602</v>
      </c>
      <c r="B514" t="s">
        <v>123</v>
      </c>
      <c r="C514">
        <v>12</v>
      </c>
      <c r="D514">
        <v>41.3</v>
      </c>
      <c r="E514">
        <v>495.59999999999997</v>
      </c>
      <c r="F514" s="2">
        <v>45679</v>
      </c>
      <c r="G514" s="2">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ht="18" x14ac:dyDescent="0.5">
      <c r="A515" t="s">
        <v>603</v>
      </c>
      <c r="B515" t="s">
        <v>44</v>
      </c>
      <c r="C515">
        <v>5</v>
      </c>
      <c r="D515">
        <v>16</v>
      </c>
      <c r="E515">
        <v>80</v>
      </c>
      <c r="F515" s="2">
        <v>45679</v>
      </c>
      <c r="G515" s="2">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ht="18" x14ac:dyDescent="0.5">
      <c r="A516" t="s">
        <v>604</v>
      </c>
      <c r="B516" t="s">
        <v>54</v>
      </c>
      <c r="C516">
        <v>2</v>
      </c>
      <c r="D516">
        <v>20.8</v>
      </c>
      <c r="E516">
        <v>41.6</v>
      </c>
      <c r="F516" s="2">
        <v>45680</v>
      </c>
      <c r="G516" s="2">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ht="18" x14ac:dyDescent="0.5">
      <c r="A517" t="s">
        <v>605</v>
      </c>
      <c r="B517" t="s">
        <v>44</v>
      </c>
      <c r="C517">
        <v>28</v>
      </c>
      <c r="D517">
        <v>27.1</v>
      </c>
      <c r="E517">
        <v>758.80000000000007</v>
      </c>
      <c r="F517" s="2">
        <v>45680</v>
      </c>
      <c r="G517" s="2">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ht="18" x14ac:dyDescent="0.5">
      <c r="A518" t="s">
        <v>606</v>
      </c>
      <c r="B518" t="s">
        <v>54</v>
      </c>
      <c r="C518">
        <v>2</v>
      </c>
      <c r="D518">
        <v>38.9</v>
      </c>
      <c r="E518">
        <v>77.8</v>
      </c>
      <c r="F518" s="2">
        <v>45680</v>
      </c>
      <c r="G518" s="2">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ht="18" x14ac:dyDescent="0.5">
      <c r="A519" t="s">
        <v>607</v>
      </c>
      <c r="B519" t="s">
        <v>16</v>
      </c>
      <c r="C519">
        <v>2</v>
      </c>
      <c r="D519">
        <v>10.8</v>
      </c>
      <c r="E519">
        <v>21.6</v>
      </c>
      <c r="F519" s="2">
        <v>45680</v>
      </c>
      <c r="G519" s="2">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ht="18" x14ac:dyDescent="0.5">
      <c r="A520" t="s">
        <v>609</v>
      </c>
      <c r="B520" t="s">
        <v>32</v>
      </c>
      <c r="C520">
        <v>13</v>
      </c>
      <c r="D520">
        <v>48.4</v>
      </c>
      <c r="E520">
        <v>629.19999999999993</v>
      </c>
      <c r="F520" s="2">
        <v>45680</v>
      </c>
      <c r="G520" s="2">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ht="18" x14ac:dyDescent="0.5">
      <c r="A521" t="s">
        <v>610</v>
      </c>
      <c r="B521" t="s">
        <v>32</v>
      </c>
      <c r="C521">
        <v>3</v>
      </c>
      <c r="D521">
        <v>29.2</v>
      </c>
      <c r="E521">
        <v>87.6</v>
      </c>
      <c r="F521" s="2">
        <v>45680</v>
      </c>
      <c r="G521" s="2">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ht="18" x14ac:dyDescent="0.5">
      <c r="A522" t="s">
        <v>611</v>
      </c>
      <c r="B522" t="s">
        <v>32</v>
      </c>
      <c r="C522">
        <v>2</v>
      </c>
      <c r="D522">
        <v>25.1</v>
      </c>
      <c r="E522">
        <v>50.2</v>
      </c>
      <c r="F522" s="2">
        <v>45680</v>
      </c>
      <c r="G522" s="2">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ht="18" x14ac:dyDescent="0.5">
      <c r="A523" t="s">
        <v>612</v>
      </c>
      <c r="B523" t="s">
        <v>42</v>
      </c>
      <c r="C523">
        <v>3</v>
      </c>
      <c r="D523">
        <v>65.599999999999994</v>
      </c>
      <c r="E523">
        <v>196.79999999999998</v>
      </c>
      <c r="F523" s="2">
        <v>45680</v>
      </c>
      <c r="G523" s="2">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ht="18" x14ac:dyDescent="0.5">
      <c r="A524" t="s">
        <v>613</v>
      </c>
      <c r="B524" t="s">
        <v>26</v>
      </c>
      <c r="C524">
        <v>2</v>
      </c>
      <c r="D524">
        <v>57.3</v>
      </c>
      <c r="E524">
        <v>114.6</v>
      </c>
      <c r="F524" s="2">
        <v>45680</v>
      </c>
      <c r="G524" s="2">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ht="18" x14ac:dyDescent="0.5">
      <c r="A525" t="s">
        <v>614</v>
      </c>
      <c r="B525" t="s">
        <v>46</v>
      </c>
      <c r="C525">
        <v>4</v>
      </c>
      <c r="D525">
        <v>22.4</v>
      </c>
      <c r="E525">
        <v>89.6</v>
      </c>
      <c r="F525" s="2">
        <v>45680</v>
      </c>
      <c r="G525" s="2">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ht="18" x14ac:dyDescent="0.5">
      <c r="A526" t="s">
        <v>615</v>
      </c>
      <c r="B526" t="s">
        <v>69</v>
      </c>
      <c r="C526">
        <v>9</v>
      </c>
      <c r="D526">
        <v>45.7</v>
      </c>
      <c r="E526">
        <v>411.3</v>
      </c>
      <c r="F526" s="2">
        <v>45680</v>
      </c>
      <c r="G526" s="2">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ht="18" x14ac:dyDescent="0.5">
      <c r="A527" t="s">
        <v>616</v>
      </c>
      <c r="B527" t="s">
        <v>44</v>
      </c>
      <c r="C527">
        <v>2</v>
      </c>
      <c r="D527">
        <v>29.3</v>
      </c>
      <c r="E527">
        <v>58.6</v>
      </c>
      <c r="F527" s="2">
        <v>45680</v>
      </c>
      <c r="G527" s="2">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ht="18" x14ac:dyDescent="0.5">
      <c r="A528" t="s">
        <v>617</v>
      </c>
      <c r="B528" t="s">
        <v>146</v>
      </c>
      <c r="C528">
        <v>22</v>
      </c>
      <c r="D528">
        <v>74</v>
      </c>
      <c r="E528">
        <v>1628</v>
      </c>
      <c r="F528" s="2">
        <v>45680</v>
      </c>
      <c r="G528" s="2">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ht="18" x14ac:dyDescent="0.5">
      <c r="A529" t="s">
        <v>618</v>
      </c>
      <c r="B529" t="s">
        <v>81</v>
      </c>
      <c r="C529">
        <v>2</v>
      </c>
      <c r="D529">
        <v>39.200000000000003</v>
      </c>
      <c r="E529">
        <v>78.400000000000006</v>
      </c>
      <c r="F529" s="2">
        <v>45680</v>
      </c>
      <c r="G529" s="2">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ht="18" x14ac:dyDescent="0.5">
      <c r="A530" t="s">
        <v>619</v>
      </c>
      <c r="B530" t="s">
        <v>32</v>
      </c>
      <c r="C530">
        <v>17</v>
      </c>
      <c r="D530">
        <v>62.7</v>
      </c>
      <c r="E530">
        <v>1065.9000000000001</v>
      </c>
      <c r="F530" s="2">
        <v>45680</v>
      </c>
      <c r="G530" s="2">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ht="18" x14ac:dyDescent="0.5">
      <c r="A531" t="s">
        <v>620</v>
      </c>
      <c r="B531" t="s">
        <v>54</v>
      </c>
      <c r="C531">
        <v>2</v>
      </c>
      <c r="D531">
        <v>60.1</v>
      </c>
      <c r="E531">
        <v>120.2</v>
      </c>
      <c r="F531" s="2">
        <v>45680</v>
      </c>
      <c r="G531" s="2">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ht="18" x14ac:dyDescent="0.5">
      <c r="A532" t="s">
        <v>621</v>
      </c>
      <c r="B532" t="s">
        <v>16</v>
      </c>
      <c r="C532">
        <v>4</v>
      </c>
      <c r="D532">
        <v>11.2</v>
      </c>
      <c r="E532">
        <v>44.8</v>
      </c>
      <c r="F532" s="2">
        <v>45680</v>
      </c>
      <c r="G532" s="2">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ht="18" x14ac:dyDescent="0.5">
      <c r="A533" t="s">
        <v>622</v>
      </c>
      <c r="B533" t="s">
        <v>44</v>
      </c>
      <c r="C533">
        <v>2</v>
      </c>
      <c r="D533">
        <v>22.9</v>
      </c>
      <c r="E533">
        <v>45.8</v>
      </c>
      <c r="F533" s="2">
        <v>45680</v>
      </c>
      <c r="G533" s="2">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ht="18" x14ac:dyDescent="0.5">
      <c r="A534" t="s">
        <v>623</v>
      </c>
      <c r="B534" t="s">
        <v>22</v>
      </c>
      <c r="C534">
        <v>2</v>
      </c>
      <c r="D534">
        <v>37.6</v>
      </c>
      <c r="E534">
        <v>75.2</v>
      </c>
      <c r="F534" s="2">
        <v>45680</v>
      </c>
      <c r="G534" s="2">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ht="18" x14ac:dyDescent="0.5">
      <c r="A535" t="s">
        <v>624</v>
      </c>
      <c r="B535" t="s">
        <v>39</v>
      </c>
      <c r="C535">
        <v>1</v>
      </c>
      <c r="D535">
        <v>42.4</v>
      </c>
      <c r="E535">
        <v>42.4</v>
      </c>
      <c r="F535" s="2">
        <v>45680</v>
      </c>
      <c r="G535" s="2">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ht="18" x14ac:dyDescent="0.5">
      <c r="A536" t="s">
        <v>625</v>
      </c>
      <c r="B536" t="s">
        <v>44</v>
      </c>
      <c r="C536">
        <v>2</v>
      </c>
      <c r="D536">
        <v>19.600000000000001</v>
      </c>
      <c r="E536">
        <v>39.200000000000003</v>
      </c>
      <c r="F536" s="2">
        <v>45680</v>
      </c>
      <c r="G536" s="2">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ht="18" x14ac:dyDescent="0.5">
      <c r="A537" t="s">
        <v>626</v>
      </c>
      <c r="B537" t="s">
        <v>46</v>
      </c>
      <c r="C537">
        <v>1</v>
      </c>
      <c r="D537">
        <v>90.5</v>
      </c>
      <c r="E537">
        <v>90.5</v>
      </c>
      <c r="F537" s="2">
        <v>45680</v>
      </c>
      <c r="G537" s="2">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ht="18" x14ac:dyDescent="0.5">
      <c r="A538" t="s">
        <v>627</v>
      </c>
      <c r="B538" t="s">
        <v>128</v>
      </c>
      <c r="C538">
        <v>11</v>
      </c>
      <c r="D538">
        <v>33.9</v>
      </c>
      <c r="E538">
        <v>372.9</v>
      </c>
      <c r="F538" s="2">
        <v>45680</v>
      </c>
      <c r="G538" s="2">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ht="18" x14ac:dyDescent="0.5">
      <c r="A539" t="s">
        <v>628</v>
      </c>
      <c r="B539" t="s">
        <v>16</v>
      </c>
      <c r="C539">
        <v>2</v>
      </c>
      <c r="D539">
        <v>32.799999999999997</v>
      </c>
      <c r="E539">
        <v>65.599999999999994</v>
      </c>
      <c r="F539" s="2">
        <v>45680</v>
      </c>
      <c r="G539" s="2">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ht="18" x14ac:dyDescent="0.5">
      <c r="A540" t="s">
        <v>629</v>
      </c>
      <c r="B540" t="s">
        <v>123</v>
      </c>
      <c r="C540">
        <v>1</v>
      </c>
      <c r="D540">
        <v>49.9</v>
      </c>
      <c r="E540">
        <v>49.9</v>
      </c>
      <c r="F540" s="2">
        <v>45680</v>
      </c>
      <c r="G540" s="2">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ht="18" x14ac:dyDescent="0.5">
      <c r="A541" t="s">
        <v>630</v>
      </c>
      <c r="B541" t="s">
        <v>42</v>
      </c>
      <c r="C541">
        <v>5</v>
      </c>
      <c r="D541">
        <v>79.2</v>
      </c>
      <c r="E541">
        <v>396</v>
      </c>
      <c r="F541" s="2">
        <v>45680</v>
      </c>
      <c r="G541" s="2">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ht="18" x14ac:dyDescent="0.5">
      <c r="A542" t="s">
        <v>631</v>
      </c>
      <c r="B542" t="s">
        <v>44</v>
      </c>
      <c r="C542">
        <v>16</v>
      </c>
      <c r="D542">
        <v>19.5</v>
      </c>
      <c r="E542">
        <v>312</v>
      </c>
      <c r="F542" s="2">
        <v>45680</v>
      </c>
      <c r="G542" s="2">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ht="18" x14ac:dyDescent="0.5">
      <c r="A543" t="s">
        <v>632</v>
      </c>
      <c r="B543" t="s">
        <v>44</v>
      </c>
      <c r="C543">
        <v>4</v>
      </c>
      <c r="D543">
        <v>18</v>
      </c>
      <c r="E543">
        <v>72</v>
      </c>
      <c r="F543" s="2">
        <v>45680</v>
      </c>
      <c r="G543" s="2">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ht="18" x14ac:dyDescent="0.5">
      <c r="A544" t="s">
        <v>633</v>
      </c>
      <c r="B544" t="s">
        <v>46</v>
      </c>
      <c r="C544">
        <v>3</v>
      </c>
      <c r="D544">
        <v>45.9</v>
      </c>
      <c r="E544">
        <v>137.69999999999999</v>
      </c>
      <c r="F544" s="2">
        <v>45680</v>
      </c>
      <c r="G544" s="2">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ht="18" x14ac:dyDescent="0.5">
      <c r="A545" t="s">
        <v>634</v>
      </c>
      <c r="B545" t="s">
        <v>67</v>
      </c>
      <c r="C545">
        <v>1</v>
      </c>
      <c r="D545">
        <v>41.2</v>
      </c>
      <c r="E545">
        <v>41.2</v>
      </c>
      <c r="F545" s="2">
        <v>45680</v>
      </c>
      <c r="G545" s="2">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ht="18" x14ac:dyDescent="0.5">
      <c r="A546" t="s">
        <v>635</v>
      </c>
      <c r="B546" t="s">
        <v>26</v>
      </c>
      <c r="C546">
        <v>10</v>
      </c>
      <c r="D546">
        <v>167.2</v>
      </c>
      <c r="E546">
        <v>1672</v>
      </c>
      <c r="F546" s="2">
        <v>45680</v>
      </c>
      <c r="G546" s="2">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ht="18" x14ac:dyDescent="0.5">
      <c r="A547" t="s">
        <v>636</v>
      </c>
      <c r="B547" t="s">
        <v>39</v>
      </c>
      <c r="C547">
        <v>30</v>
      </c>
      <c r="D547">
        <v>74.5</v>
      </c>
      <c r="E547">
        <v>2235</v>
      </c>
      <c r="F547" s="2">
        <v>45681</v>
      </c>
      <c r="G547" s="2">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ht="18" x14ac:dyDescent="0.5">
      <c r="A548" t="s">
        <v>637</v>
      </c>
      <c r="B548" t="s">
        <v>42</v>
      </c>
      <c r="C548">
        <v>4</v>
      </c>
      <c r="D548">
        <v>39.299999999999997</v>
      </c>
      <c r="E548">
        <v>157.19999999999999</v>
      </c>
      <c r="F548" s="2">
        <v>45681</v>
      </c>
      <c r="G548" s="2">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ht="18" x14ac:dyDescent="0.5">
      <c r="A549" t="s">
        <v>638</v>
      </c>
      <c r="B549" t="s">
        <v>46</v>
      </c>
      <c r="C549">
        <v>1</v>
      </c>
      <c r="D549">
        <v>68.5</v>
      </c>
      <c r="E549">
        <v>68.5</v>
      </c>
      <c r="F549" s="2">
        <v>45681</v>
      </c>
      <c r="G549" s="2">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ht="18" x14ac:dyDescent="0.5">
      <c r="A550" t="s">
        <v>639</v>
      </c>
      <c r="B550" t="s">
        <v>16</v>
      </c>
      <c r="C550">
        <v>3</v>
      </c>
      <c r="D550">
        <v>22.5</v>
      </c>
      <c r="E550">
        <v>67.5</v>
      </c>
      <c r="F550" s="2">
        <v>45681</v>
      </c>
      <c r="G550" s="2">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ht="18" x14ac:dyDescent="0.5">
      <c r="A551" t="s">
        <v>640</v>
      </c>
      <c r="B551" t="s">
        <v>22</v>
      </c>
      <c r="C551">
        <v>1</v>
      </c>
      <c r="D551">
        <v>48</v>
      </c>
      <c r="E551">
        <v>48</v>
      </c>
      <c r="F551" s="2">
        <v>45681</v>
      </c>
      <c r="G551" s="2">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ht="18" x14ac:dyDescent="0.5">
      <c r="A552" t="s">
        <v>642</v>
      </c>
      <c r="B552" t="s">
        <v>39</v>
      </c>
      <c r="C552">
        <v>1</v>
      </c>
      <c r="D552">
        <v>94</v>
      </c>
      <c r="E552">
        <v>94</v>
      </c>
      <c r="F552" s="2">
        <v>45681</v>
      </c>
      <c r="G552" s="2">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ht="18" x14ac:dyDescent="0.5">
      <c r="A553" t="s">
        <v>643</v>
      </c>
      <c r="B553" t="s">
        <v>44</v>
      </c>
      <c r="C553">
        <v>3</v>
      </c>
      <c r="D553">
        <v>21.9</v>
      </c>
      <c r="E553">
        <v>65.699999999999989</v>
      </c>
      <c r="F553" s="2">
        <v>45681</v>
      </c>
      <c r="G553" s="2">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ht="18" x14ac:dyDescent="0.5">
      <c r="A554" t="s">
        <v>644</v>
      </c>
      <c r="B554" t="s">
        <v>39</v>
      </c>
      <c r="C554">
        <v>7</v>
      </c>
      <c r="D554">
        <v>64.900000000000006</v>
      </c>
      <c r="E554">
        <v>454.30000000000007</v>
      </c>
      <c r="F554" s="2">
        <v>45681</v>
      </c>
      <c r="G554" s="2">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ht="18" x14ac:dyDescent="0.5">
      <c r="A555" t="s">
        <v>645</v>
      </c>
      <c r="B555" t="s">
        <v>69</v>
      </c>
      <c r="C555">
        <v>1</v>
      </c>
      <c r="D555">
        <v>52.9</v>
      </c>
      <c r="E555">
        <v>52.9</v>
      </c>
      <c r="F555" s="2">
        <v>45681</v>
      </c>
      <c r="G555" s="2">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ht="18" x14ac:dyDescent="0.5">
      <c r="A556" t="s">
        <v>646</v>
      </c>
      <c r="B556" t="s">
        <v>44</v>
      </c>
      <c r="C556">
        <v>3</v>
      </c>
      <c r="D556">
        <v>25.5</v>
      </c>
      <c r="E556">
        <v>76.5</v>
      </c>
      <c r="F556" s="2">
        <v>45681</v>
      </c>
      <c r="G556" s="2">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ht="18" x14ac:dyDescent="0.5">
      <c r="A557" t="s">
        <v>647</v>
      </c>
      <c r="B557" t="s">
        <v>39</v>
      </c>
      <c r="C557">
        <v>3</v>
      </c>
      <c r="D557">
        <v>51.9</v>
      </c>
      <c r="E557">
        <v>155.69999999999999</v>
      </c>
      <c r="F557" s="2">
        <v>45681</v>
      </c>
      <c r="G557" s="2">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ht="18" x14ac:dyDescent="0.5">
      <c r="A558" t="s">
        <v>648</v>
      </c>
      <c r="B558" t="s">
        <v>37</v>
      </c>
      <c r="C558">
        <v>1</v>
      </c>
      <c r="D558">
        <v>46.3</v>
      </c>
      <c r="E558">
        <v>46.3</v>
      </c>
      <c r="F558" s="2">
        <v>45681</v>
      </c>
      <c r="G558" s="2">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ht="18" x14ac:dyDescent="0.5">
      <c r="A559" t="s">
        <v>649</v>
      </c>
      <c r="B559" t="s">
        <v>39</v>
      </c>
      <c r="C559">
        <v>2</v>
      </c>
      <c r="D559">
        <v>68.2</v>
      </c>
      <c r="E559">
        <v>136.4</v>
      </c>
      <c r="F559" s="2">
        <v>45681</v>
      </c>
      <c r="G559" s="2">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ht="18" x14ac:dyDescent="0.5">
      <c r="A560" t="s">
        <v>650</v>
      </c>
      <c r="B560" t="s">
        <v>22</v>
      </c>
      <c r="C560">
        <v>1</v>
      </c>
      <c r="D560">
        <v>40.299999999999997</v>
      </c>
      <c r="E560">
        <v>40.299999999999997</v>
      </c>
      <c r="F560" s="2">
        <v>45681</v>
      </c>
      <c r="G560" s="2">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ht="18" x14ac:dyDescent="0.5">
      <c r="A561" t="s">
        <v>651</v>
      </c>
      <c r="B561" t="s">
        <v>26</v>
      </c>
      <c r="C561">
        <v>3</v>
      </c>
      <c r="D561">
        <v>91.3</v>
      </c>
      <c r="E561">
        <v>273.89999999999998</v>
      </c>
      <c r="F561" s="2">
        <v>45681</v>
      </c>
      <c r="G561" s="2">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ht="18" x14ac:dyDescent="0.5">
      <c r="A562" t="s">
        <v>652</v>
      </c>
      <c r="B562" t="s">
        <v>16</v>
      </c>
      <c r="C562">
        <v>3</v>
      </c>
      <c r="D562">
        <v>11.9</v>
      </c>
      <c r="E562">
        <v>35.700000000000003</v>
      </c>
      <c r="F562" s="2">
        <v>45681</v>
      </c>
      <c r="G562" s="2">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ht="18" x14ac:dyDescent="0.5">
      <c r="A563" t="s">
        <v>653</v>
      </c>
      <c r="B563" t="s">
        <v>26</v>
      </c>
      <c r="C563">
        <v>2</v>
      </c>
      <c r="D563">
        <v>63.5</v>
      </c>
      <c r="E563">
        <v>127</v>
      </c>
      <c r="F563" s="2">
        <v>45681</v>
      </c>
      <c r="G563" s="2">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ht="18" x14ac:dyDescent="0.5">
      <c r="A564" t="s">
        <v>654</v>
      </c>
      <c r="B564" t="s">
        <v>32</v>
      </c>
      <c r="C564">
        <v>2</v>
      </c>
      <c r="D564">
        <v>27.1</v>
      </c>
      <c r="E564">
        <v>54.2</v>
      </c>
      <c r="F564" s="2">
        <v>45681</v>
      </c>
      <c r="G564" s="2">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ht="18" x14ac:dyDescent="0.5">
      <c r="A565" t="s">
        <v>655</v>
      </c>
      <c r="B565" t="s">
        <v>22</v>
      </c>
      <c r="C565">
        <v>2</v>
      </c>
      <c r="D565">
        <v>82.1</v>
      </c>
      <c r="E565">
        <v>164.2</v>
      </c>
      <c r="F565" s="2">
        <v>45682</v>
      </c>
      <c r="G565" s="2">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ht="18" x14ac:dyDescent="0.5">
      <c r="A566" t="s">
        <v>656</v>
      </c>
      <c r="B566" t="s">
        <v>30</v>
      </c>
      <c r="C566">
        <v>5</v>
      </c>
      <c r="D566">
        <v>42.9</v>
      </c>
      <c r="E566">
        <v>214.5</v>
      </c>
      <c r="F566" s="2">
        <v>45682</v>
      </c>
      <c r="G566" s="2">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ht="18" x14ac:dyDescent="0.5">
      <c r="A567" t="s">
        <v>657</v>
      </c>
      <c r="B567" t="s">
        <v>44</v>
      </c>
      <c r="C567">
        <v>11</v>
      </c>
      <c r="D567">
        <v>37.9</v>
      </c>
      <c r="E567">
        <v>416.9</v>
      </c>
      <c r="F567" s="2">
        <v>45682</v>
      </c>
      <c r="G567" s="2">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ht="18" x14ac:dyDescent="0.5">
      <c r="A568" t="s">
        <v>658</v>
      </c>
      <c r="B568" t="s">
        <v>16</v>
      </c>
      <c r="C568">
        <v>1</v>
      </c>
      <c r="D568">
        <v>22.4</v>
      </c>
      <c r="E568">
        <v>22.4</v>
      </c>
      <c r="F568" s="2">
        <v>45682</v>
      </c>
      <c r="G568" s="2">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ht="18" x14ac:dyDescent="0.5">
      <c r="A569" t="s">
        <v>659</v>
      </c>
      <c r="B569" t="s">
        <v>26</v>
      </c>
      <c r="C569">
        <v>13</v>
      </c>
      <c r="D569">
        <v>79.900000000000006</v>
      </c>
      <c r="E569">
        <v>1038.7</v>
      </c>
      <c r="F569" s="2">
        <v>45682</v>
      </c>
      <c r="G569" s="2">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ht="18" x14ac:dyDescent="0.5">
      <c r="A570" t="s">
        <v>660</v>
      </c>
      <c r="B570" t="s">
        <v>22</v>
      </c>
      <c r="C570">
        <v>1</v>
      </c>
      <c r="D570">
        <v>70.599999999999994</v>
      </c>
      <c r="E570">
        <v>70.599999999999994</v>
      </c>
      <c r="F570" s="2">
        <v>45682</v>
      </c>
      <c r="G570" s="2">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ht="18" x14ac:dyDescent="0.5">
      <c r="A571" t="s">
        <v>661</v>
      </c>
      <c r="B571" t="s">
        <v>39</v>
      </c>
      <c r="C571">
        <v>1</v>
      </c>
      <c r="D571">
        <v>49.5</v>
      </c>
      <c r="E571">
        <v>49.5</v>
      </c>
      <c r="F571" s="2">
        <v>45682</v>
      </c>
      <c r="G571" s="2">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ht="18" x14ac:dyDescent="0.5">
      <c r="A572" t="s">
        <v>662</v>
      </c>
      <c r="B572" t="s">
        <v>26</v>
      </c>
      <c r="C572">
        <v>2</v>
      </c>
      <c r="D572">
        <v>96.6</v>
      </c>
      <c r="E572">
        <v>193.2</v>
      </c>
      <c r="F572" s="2">
        <v>45682</v>
      </c>
      <c r="G572" s="2">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ht="18" x14ac:dyDescent="0.5">
      <c r="A573" t="s">
        <v>663</v>
      </c>
      <c r="B573" t="s">
        <v>39</v>
      </c>
      <c r="C573">
        <v>2</v>
      </c>
      <c r="D573">
        <v>52.8</v>
      </c>
      <c r="E573">
        <v>105.6</v>
      </c>
      <c r="F573" s="2">
        <v>45682</v>
      </c>
      <c r="G573" s="2">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ht="18" x14ac:dyDescent="0.5">
      <c r="A574" t="s">
        <v>664</v>
      </c>
      <c r="B574" t="s">
        <v>26</v>
      </c>
      <c r="C574">
        <v>1</v>
      </c>
      <c r="D574">
        <v>101.7</v>
      </c>
      <c r="E574">
        <v>101.7</v>
      </c>
      <c r="F574" s="2">
        <v>45682</v>
      </c>
      <c r="G574" s="2">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ht="18" x14ac:dyDescent="0.5">
      <c r="A575" t="s">
        <v>665</v>
      </c>
      <c r="B575" t="s">
        <v>32</v>
      </c>
      <c r="C575">
        <v>5</v>
      </c>
      <c r="D575">
        <v>26.9</v>
      </c>
      <c r="E575">
        <v>134.5</v>
      </c>
      <c r="F575" s="2">
        <v>45682</v>
      </c>
      <c r="G575" s="2">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ht="18" x14ac:dyDescent="0.5">
      <c r="A576" t="s">
        <v>666</v>
      </c>
      <c r="B576" t="s">
        <v>26</v>
      </c>
      <c r="C576">
        <v>4</v>
      </c>
      <c r="D576">
        <v>211</v>
      </c>
      <c r="E576">
        <v>844</v>
      </c>
      <c r="F576" s="2">
        <v>45682</v>
      </c>
      <c r="G576" s="2">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ht="18" x14ac:dyDescent="0.5">
      <c r="A577" t="s">
        <v>667</v>
      </c>
      <c r="B577" t="s">
        <v>16</v>
      </c>
      <c r="C577">
        <v>4</v>
      </c>
      <c r="D577">
        <v>21.1</v>
      </c>
      <c r="E577">
        <v>84.4</v>
      </c>
      <c r="F577" s="2">
        <v>45682</v>
      </c>
      <c r="G577" s="2">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ht="18" x14ac:dyDescent="0.5">
      <c r="A578" t="s">
        <v>668</v>
      </c>
      <c r="B578" t="s">
        <v>54</v>
      </c>
      <c r="C578">
        <v>1</v>
      </c>
      <c r="D578">
        <v>26.6</v>
      </c>
      <c r="E578">
        <v>26.6</v>
      </c>
      <c r="F578" s="2">
        <v>45682</v>
      </c>
      <c r="G578" s="2">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ht="18" x14ac:dyDescent="0.5">
      <c r="A579" t="s">
        <v>669</v>
      </c>
      <c r="B579" t="s">
        <v>69</v>
      </c>
      <c r="C579">
        <v>4</v>
      </c>
      <c r="D579">
        <v>51.2</v>
      </c>
      <c r="E579">
        <v>204.8</v>
      </c>
      <c r="F579" s="2">
        <v>45682</v>
      </c>
      <c r="G579" s="2">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ht="18" x14ac:dyDescent="0.5">
      <c r="A580" t="s">
        <v>671</v>
      </c>
      <c r="B580" t="s">
        <v>16</v>
      </c>
      <c r="C580">
        <v>5</v>
      </c>
      <c r="D580">
        <v>10.6</v>
      </c>
      <c r="E580">
        <v>53</v>
      </c>
      <c r="F580" s="2">
        <v>45682</v>
      </c>
      <c r="G580" s="2">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ht="18" x14ac:dyDescent="0.5">
      <c r="A581" t="s">
        <v>672</v>
      </c>
      <c r="B581" t="s">
        <v>39</v>
      </c>
      <c r="C581">
        <v>3</v>
      </c>
      <c r="D581">
        <v>43.4</v>
      </c>
      <c r="E581">
        <v>130.19999999999999</v>
      </c>
      <c r="F581" s="2">
        <v>45682</v>
      </c>
      <c r="G581" s="2">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ht="18" x14ac:dyDescent="0.5">
      <c r="A582" t="s">
        <v>673</v>
      </c>
      <c r="B582" t="s">
        <v>69</v>
      </c>
      <c r="C582">
        <v>1</v>
      </c>
      <c r="D582">
        <v>80</v>
      </c>
      <c r="E582">
        <v>80</v>
      </c>
      <c r="F582" s="2">
        <v>45682</v>
      </c>
      <c r="G582" s="2">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ht="18" x14ac:dyDescent="0.5">
      <c r="A583" t="s">
        <v>674</v>
      </c>
      <c r="B583" t="s">
        <v>54</v>
      </c>
      <c r="C583">
        <v>4</v>
      </c>
      <c r="D583">
        <v>64.7</v>
      </c>
      <c r="E583">
        <v>258.8</v>
      </c>
      <c r="F583" s="2">
        <v>45682</v>
      </c>
      <c r="G583" s="2">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ht="18" x14ac:dyDescent="0.5">
      <c r="A584" t="s">
        <v>675</v>
      </c>
      <c r="B584" t="s">
        <v>44</v>
      </c>
      <c r="C584">
        <v>11</v>
      </c>
      <c r="D584">
        <v>26.3</v>
      </c>
      <c r="E584">
        <v>289.3</v>
      </c>
      <c r="F584" s="2">
        <v>45683</v>
      </c>
      <c r="G584" s="2">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ht="18" x14ac:dyDescent="0.5">
      <c r="A585" t="s">
        <v>676</v>
      </c>
      <c r="B585" t="s">
        <v>54</v>
      </c>
      <c r="C585">
        <v>1</v>
      </c>
      <c r="D585">
        <v>28.5</v>
      </c>
      <c r="E585">
        <v>28.5</v>
      </c>
      <c r="F585" s="2">
        <v>45683</v>
      </c>
      <c r="G585" s="2">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ht="18" x14ac:dyDescent="0.5">
      <c r="A586" t="s">
        <v>677</v>
      </c>
      <c r="B586" t="s">
        <v>135</v>
      </c>
      <c r="C586">
        <v>1</v>
      </c>
      <c r="D586">
        <v>47.8</v>
      </c>
      <c r="E586">
        <v>47.8</v>
      </c>
      <c r="F586" s="2">
        <v>45683</v>
      </c>
      <c r="G586" s="2">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ht="18" x14ac:dyDescent="0.5">
      <c r="A587" t="s">
        <v>678</v>
      </c>
      <c r="B587" t="s">
        <v>54</v>
      </c>
      <c r="C587">
        <v>3</v>
      </c>
      <c r="D587">
        <v>42.8</v>
      </c>
      <c r="E587">
        <v>128.39999999999998</v>
      </c>
      <c r="F587" s="2">
        <v>45683</v>
      </c>
      <c r="G587" s="2">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ht="18" x14ac:dyDescent="0.5">
      <c r="A588" t="s">
        <v>679</v>
      </c>
      <c r="B588" t="s">
        <v>39</v>
      </c>
      <c r="C588">
        <v>5</v>
      </c>
      <c r="D588">
        <v>46.8</v>
      </c>
      <c r="E588">
        <v>234</v>
      </c>
      <c r="F588" s="2">
        <v>45683</v>
      </c>
      <c r="G588" s="2">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ht="18" x14ac:dyDescent="0.5">
      <c r="A589" t="s">
        <v>680</v>
      </c>
      <c r="B589" t="s">
        <v>22</v>
      </c>
      <c r="C589">
        <v>10</v>
      </c>
      <c r="D589">
        <v>64.099999999999994</v>
      </c>
      <c r="E589">
        <v>641</v>
      </c>
      <c r="F589" s="2">
        <v>45683</v>
      </c>
      <c r="G589" s="2">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ht="18" x14ac:dyDescent="0.5">
      <c r="A590" t="s">
        <v>681</v>
      </c>
      <c r="B590" t="s">
        <v>26</v>
      </c>
      <c r="C590">
        <v>1</v>
      </c>
      <c r="D590">
        <v>89.1</v>
      </c>
      <c r="E590">
        <v>89.1</v>
      </c>
      <c r="F590" s="2">
        <v>45683</v>
      </c>
      <c r="G590" s="2">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ht="18" x14ac:dyDescent="0.5">
      <c r="A591" t="s">
        <v>682</v>
      </c>
      <c r="B591" t="s">
        <v>26</v>
      </c>
      <c r="C591">
        <v>3</v>
      </c>
      <c r="D591">
        <v>83.1</v>
      </c>
      <c r="E591">
        <v>249.29999999999998</v>
      </c>
      <c r="F591" s="2">
        <v>45683</v>
      </c>
      <c r="G591" s="2">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ht="18" x14ac:dyDescent="0.5">
      <c r="A592" t="s">
        <v>683</v>
      </c>
      <c r="B592" t="s">
        <v>44</v>
      </c>
      <c r="C592">
        <v>3</v>
      </c>
      <c r="D592">
        <v>40.9</v>
      </c>
      <c r="E592">
        <v>122.69999999999999</v>
      </c>
      <c r="F592" s="2">
        <v>45683</v>
      </c>
      <c r="G592" s="2">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ht="18" x14ac:dyDescent="0.5">
      <c r="A593" t="s">
        <v>684</v>
      </c>
      <c r="B593" t="s">
        <v>26</v>
      </c>
      <c r="C593">
        <v>2</v>
      </c>
      <c r="D593">
        <v>125.7</v>
      </c>
      <c r="E593">
        <v>251.4</v>
      </c>
      <c r="F593" s="2">
        <v>45683</v>
      </c>
      <c r="G593" s="2">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ht="18" x14ac:dyDescent="0.5">
      <c r="A594" t="s">
        <v>685</v>
      </c>
      <c r="B594" t="s">
        <v>30</v>
      </c>
      <c r="C594">
        <v>2</v>
      </c>
      <c r="D594">
        <v>30.9</v>
      </c>
      <c r="E594">
        <v>61.8</v>
      </c>
      <c r="F594" s="2">
        <v>45683</v>
      </c>
      <c r="G594" s="2">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ht="18" x14ac:dyDescent="0.5">
      <c r="A595" t="s">
        <v>686</v>
      </c>
      <c r="B595" t="s">
        <v>44</v>
      </c>
      <c r="C595">
        <v>2</v>
      </c>
      <c r="D595">
        <v>18.3</v>
      </c>
      <c r="E595">
        <v>36.6</v>
      </c>
      <c r="F595" s="2">
        <v>45683</v>
      </c>
      <c r="G595" s="2">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ht="18" x14ac:dyDescent="0.5">
      <c r="A596" t="s">
        <v>687</v>
      </c>
      <c r="B596" t="s">
        <v>32</v>
      </c>
      <c r="C596">
        <v>2</v>
      </c>
      <c r="D596">
        <v>56.5</v>
      </c>
      <c r="E596">
        <v>113</v>
      </c>
      <c r="F596" s="2">
        <v>45683</v>
      </c>
      <c r="G596" s="2">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ht="18" x14ac:dyDescent="0.5">
      <c r="A597" t="s">
        <v>688</v>
      </c>
      <c r="B597" t="s">
        <v>54</v>
      </c>
      <c r="C597">
        <v>7</v>
      </c>
      <c r="D597">
        <v>29.9</v>
      </c>
      <c r="E597">
        <v>209.29999999999998</v>
      </c>
      <c r="F597" s="2">
        <v>45683</v>
      </c>
      <c r="G597" s="2">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ht="18" x14ac:dyDescent="0.5">
      <c r="A598" t="s">
        <v>689</v>
      </c>
      <c r="B598" t="s">
        <v>37</v>
      </c>
      <c r="C598">
        <v>2</v>
      </c>
      <c r="D598">
        <v>50.4</v>
      </c>
      <c r="E598">
        <v>100.8</v>
      </c>
      <c r="F598" s="2">
        <v>45683</v>
      </c>
      <c r="G598" s="2">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ht="18" x14ac:dyDescent="0.5">
      <c r="A599" t="s">
        <v>690</v>
      </c>
      <c r="B599" t="s">
        <v>26</v>
      </c>
      <c r="C599">
        <v>1</v>
      </c>
      <c r="D599">
        <v>85.8</v>
      </c>
      <c r="E599">
        <v>85.8</v>
      </c>
      <c r="F599" s="2">
        <v>45683</v>
      </c>
      <c r="G599" s="2">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ht="18" x14ac:dyDescent="0.5">
      <c r="A600" t="s">
        <v>691</v>
      </c>
      <c r="B600" t="s">
        <v>32</v>
      </c>
      <c r="C600">
        <v>16</v>
      </c>
      <c r="D600">
        <v>66.599999999999994</v>
      </c>
      <c r="E600">
        <v>1065.5999999999999</v>
      </c>
      <c r="F600" s="2">
        <v>45683</v>
      </c>
      <c r="G600" s="2">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ht="18" x14ac:dyDescent="0.5">
      <c r="A601" t="s">
        <v>692</v>
      </c>
      <c r="B601" t="s">
        <v>39</v>
      </c>
      <c r="C601">
        <v>4</v>
      </c>
      <c r="D601">
        <v>70.3</v>
      </c>
      <c r="E601">
        <v>281.2</v>
      </c>
      <c r="F601" s="2">
        <v>45683</v>
      </c>
      <c r="G601" s="2">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ht="18" x14ac:dyDescent="0.5">
      <c r="A602" t="s">
        <v>693</v>
      </c>
      <c r="B602" t="s">
        <v>44</v>
      </c>
      <c r="C602">
        <v>4</v>
      </c>
      <c r="D602">
        <v>31</v>
      </c>
      <c r="E602">
        <v>124</v>
      </c>
      <c r="F602" s="2">
        <v>45683</v>
      </c>
      <c r="G602" s="2">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ht="18" x14ac:dyDescent="0.5">
      <c r="A603" t="s">
        <v>694</v>
      </c>
      <c r="B603" t="s">
        <v>42</v>
      </c>
      <c r="C603">
        <v>6</v>
      </c>
      <c r="D603">
        <v>81.599999999999994</v>
      </c>
      <c r="E603">
        <v>489.59999999999997</v>
      </c>
      <c r="F603" s="2">
        <v>45683</v>
      </c>
      <c r="G603" s="2">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ht="18" x14ac:dyDescent="0.5">
      <c r="A604" t="s">
        <v>695</v>
      </c>
      <c r="B604" t="s">
        <v>22</v>
      </c>
      <c r="C604">
        <v>25</v>
      </c>
      <c r="D604">
        <v>58.3</v>
      </c>
      <c r="E604">
        <v>1457.5</v>
      </c>
      <c r="F604" s="2">
        <v>45683</v>
      </c>
      <c r="G604" s="2">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ht="18" x14ac:dyDescent="0.5">
      <c r="A605" t="s">
        <v>696</v>
      </c>
      <c r="B605" t="s">
        <v>22</v>
      </c>
      <c r="C605">
        <v>4</v>
      </c>
      <c r="D605">
        <v>35.1</v>
      </c>
      <c r="E605">
        <v>140.4</v>
      </c>
      <c r="F605" s="2">
        <v>45683</v>
      </c>
      <c r="G605" s="2">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ht="18" x14ac:dyDescent="0.5">
      <c r="A606" t="s">
        <v>697</v>
      </c>
      <c r="B606" t="s">
        <v>26</v>
      </c>
      <c r="C606">
        <v>1</v>
      </c>
      <c r="D606">
        <v>80.2</v>
      </c>
      <c r="E606">
        <v>80.2</v>
      </c>
      <c r="F606" s="2">
        <v>45683</v>
      </c>
      <c r="G606" s="2">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ht="18" x14ac:dyDescent="0.5">
      <c r="A607" t="s">
        <v>698</v>
      </c>
      <c r="B607" t="s">
        <v>81</v>
      </c>
      <c r="C607">
        <v>3</v>
      </c>
      <c r="D607">
        <v>39.200000000000003</v>
      </c>
      <c r="E607">
        <v>117.60000000000001</v>
      </c>
      <c r="F607" s="2">
        <v>45683</v>
      </c>
      <c r="G607" s="2">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ht="18" x14ac:dyDescent="0.5">
      <c r="A608" t="s">
        <v>699</v>
      </c>
      <c r="B608" t="s">
        <v>16</v>
      </c>
      <c r="C608">
        <v>2</v>
      </c>
      <c r="D608">
        <v>15.4</v>
      </c>
      <c r="E608">
        <v>30.8</v>
      </c>
      <c r="F608" s="2">
        <v>45683</v>
      </c>
      <c r="G608" s="2">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ht="18" x14ac:dyDescent="0.5">
      <c r="A609" t="s">
        <v>701</v>
      </c>
      <c r="B609" t="s">
        <v>30</v>
      </c>
      <c r="C609">
        <v>3</v>
      </c>
      <c r="D609">
        <v>65.400000000000006</v>
      </c>
      <c r="E609">
        <v>196.20000000000002</v>
      </c>
      <c r="F609" s="2">
        <v>45683</v>
      </c>
      <c r="G609" s="2">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ht="18" x14ac:dyDescent="0.5">
      <c r="A610" t="s">
        <v>702</v>
      </c>
      <c r="B610" t="s">
        <v>22</v>
      </c>
      <c r="C610">
        <v>8</v>
      </c>
      <c r="D610">
        <v>63.2</v>
      </c>
      <c r="E610">
        <v>505.6</v>
      </c>
      <c r="F610" s="2">
        <v>45683</v>
      </c>
      <c r="G610" s="2">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ht="18" x14ac:dyDescent="0.5">
      <c r="A611" t="s">
        <v>703</v>
      </c>
      <c r="B611" t="s">
        <v>22</v>
      </c>
      <c r="C611">
        <v>6</v>
      </c>
      <c r="D611">
        <v>35.700000000000003</v>
      </c>
      <c r="E611">
        <v>214.20000000000002</v>
      </c>
      <c r="F611" s="2">
        <v>45683</v>
      </c>
      <c r="G611" s="2">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ht="18" x14ac:dyDescent="0.5">
      <c r="A612" t="s">
        <v>704</v>
      </c>
      <c r="B612" t="s">
        <v>16</v>
      </c>
      <c r="C612">
        <v>20</v>
      </c>
      <c r="D612">
        <v>26.2</v>
      </c>
      <c r="E612">
        <v>524</v>
      </c>
      <c r="F612" s="2">
        <v>45683</v>
      </c>
      <c r="G612" s="2">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ht="18" x14ac:dyDescent="0.5">
      <c r="A613" t="s">
        <v>705</v>
      </c>
      <c r="B613" t="s">
        <v>42</v>
      </c>
      <c r="C613">
        <v>2</v>
      </c>
      <c r="D613">
        <v>31</v>
      </c>
      <c r="E613">
        <v>62</v>
      </c>
      <c r="F613" s="2">
        <v>45683</v>
      </c>
      <c r="G613" s="2">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ht="18" x14ac:dyDescent="0.5">
      <c r="A614" t="s">
        <v>706</v>
      </c>
      <c r="B614" t="s">
        <v>44</v>
      </c>
      <c r="C614">
        <v>4</v>
      </c>
      <c r="D614">
        <v>37.700000000000003</v>
      </c>
      <c r="E614">
        <v>150.80000000000001</v>
      </c>
      <c r="F614" s="2">
        <v>45683</v>
      </c>
      <c r="G614" s="2">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ht="18" x14ac:dyDescent="0.5">
      <c r="A615" t="s">
        <v>707</v>
      </c>
      <c r="B615" t="s">
        <v>54</v>
      </c>
      <c r="C615">
        <v>34</v>
      </c>
      <c r="D615">
        <v>43.6</v>
      </c>
      <c r="E615">
        <v>1482.4</v>
      </c>
      <c r="F615" s="2">
        <v>45683</v>
      </c>
      <c r="G615" s="2">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ht="18" x14ac:dyDescent="0.5">
      <c r="A616" t="s">
        <v>708</v>
      </c>
      <c r="B616" t="s">
        <v>46</v>
      </c>
      <c r="C616">
        <v>4</v>
      </c>
      <c r="D616">
        <v>26.5</v>
      </c>
      <c r="E616">
        <v>106</v>
      </c>
      <c r="F616" s="2">
        <v>45683</v>
      </c>
      <c r="G616" s="2">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ht="18" x14ac:dyDescent="0.5">
      <c r="A617" t="s">
        <v>709</v>
      </c>
      <c r="B617" t="s">
        <v>16</v>
      </c>
      <c r="C617">
        <v>2</v>
      </c>
      <c r="D617">
        <v>34.6</v>
      </c>
      <c r="E617">
        <v>69.2</v>
      </c>
      <c r="F617" s="2">
        <v>45683</v>
      </c>
      <c r="G617" s="2">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ht="18" x14ac:dyDescent="0.5">
      <c r="A618" t="s">
        <v>710</v>
      </c>
      <c r="B618" t="s">
        <v>44</v>
      </c>
      <c r="C618">
        <v>2</v>
      </c>
      <c r="D618">
        <v>58.2</v>
      </c>
      <c r="E618">
        <v>116.4</v>
      </c>
      <c r="F618" s="2">
        <v>45683</v>
      </c>
      <c r="G618" s="2">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ht="18" x14ac:dyDescent="0.5">
      <c r="A619" t="s">
        <v>711</v>
      </c>
      <c r="B619" t="s">
        <v>42</v>
      </c>
      <c r="C619">
        <v>1</v>
      </c>
      <c r="D619">
        <v>30.2</v>
      </c>
      <c r="E619">
        <v>30.2</v>
      </c>
      <c r="F619" s="2">
        <v>45684</v>
      </c>
      <c r="G619" s="2">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ht="18" x14ac:dyDescent="0.5">
      <c r="A620" t="s">
        <v>712</v>
      </c>
      <c r="B620" t="s">
        <v>22</v>
      </c>
      <c r="C620">
        <v>10</v>
      </c>
      <c r="D620">
        <v>53.2</v>
      </c>
      <c r="E620">
        <v>532</v>
      </c>
      <c r="F620" s="2">
        <v>45684</v>
      </c>
      <c r="G620" s="2">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ht="18" x14ac:dyDescent="0.5">
      <c r="A621" t="s">
        <v>713</v>
      </c>
      <c r="B621" t="s">
        <v>69</v>
      </c>
      <c r="C621">
        <v>6</v>
      </c>
      <c r="D621">
        <v>51.1</v>
      </c>
      <c r="E621">
        <v>306.60000000000002</v>
      </c>
      <c r="F621" s="2">
        <v>45684</v>
      </c>
      <c r="G621" s="2">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ht="18" x14ac:dyDescent="0.5">
      <c r="A622" t="s">
        <v>714</v>
      </c>
      <c r="B622" t="s">
        <v>22</v>
      </c>
      <c r="C622">
        <v>1</v>
      </c>
      <c r="D622">
        <v>105.4</v>
      </c>
      <c r="E622">
        <v>105.4</v>
      </c>
      <c r="F622" s="2">
        <v>45684</v>
      </c>
      <c r="G622" s="2">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ht="18" x14ac:dyDescent="0.5">
      <c r="A623" t="s">
        <v>715</v>
      </c>
      <c r="B623" t="s">
        <v>42</v>
      </c>
      <c r="C623">
        <v>1</v>
      </c>
      <c r="D623">
        <v>57.7</v>
      </c>
      <c r="E623">
        <v>57.7</v>
      </c>
      <c r="F623" s="2">
        <v>45684</v>
      </c>
      <c r="G623" s="2">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ht="18" x14ac:dyDescent="0.5">
      <c r="A624" t="s">
        <v>716</v>
      </c>
      <c r="B624" t="s">
        <v>123</v>
      </c>
      <c r="C624">
        <v>2</v>
      </c>
      <c r="D624">
        <v>72.400000000000006</v>
      </c>
      <c r="E624">
        <v>144.80000000000001</v>
      </c>
      <c r="F624" s="2">
        <v>45684</v>
      </c>
      <c r="G624" s="2">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ht="18" x14ac:dyDescent="0.5">
      <c r="A625" t="s">
        <v>717</v>
      </c>
      <c r="B625" t="s">
        <v>39</v>
      </c>
      <c r="C625">
        <v>2</v>
      </c>
      <c r="D625">
        <v>62.5</v>
      </c>
      <c r="E625">
        <v>125</v>
      </c>
      <c r="F625" s="2">
        <v>45684</v>
      </c>
      <c r="G625" s="2">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ht="18" x14ac:dyDescent="0.5">
      <c r="A626" t="s">
        <v>718</v>
      </c>
      <c r="B626" t="s">
        <v>16</v>
      </c>
      <c r="C626">
        <v>22</v>
      </c>
      <c r="D626">
        <v>11.6</v>
      </c>
      <c r="E626">
        <v>255.2</v>
      </c>
      <c r="F626" s="2">
        <v>45684</v>
      </c>
      <c r="G626" s="2">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ht="18" x14ac:dyDescent="0.5">
      <c r="A627" t="s">
        <v>719</v>
      </c>
      <c r="B627" t="s">
        <v>54</v>
      </c>
      <c r="C627">
        <v>10</v>
      </c>
      <c r="D627">
        <v>39.6</v>
      </c>
      <c r="E627">
        <v>396</v>
      </c>
      <c r="F627" s="2">
        <v>45684</v>
      </c>
      <c r="G627" s="2">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ht="18" x14ac:dyDescent="0.5">
      <c r="A628" t="s">
        <v>720</v>
      </c>
      <c r="B628" t="s">
        <v>44</v>
      </c>
      <c r="C628">
        <v>2</v>
      </c>
      <c r="D628">
        <v>40.1</v>
      </c>
      <c r="E628">
        <v>80.2</v>
      </c>
      <c r="F628" s="2">
        <v>45684</v>
      </c>
      <c r="G628" s="2">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ht="18" x14ac:dyDescent="0.5">
      <c r="A629" t="s">
        <v>721</v>
      </c>
      <c r="B629" t="s">
        <v>44</v>
      </c>
      <c r="C629">
        <v>3</v>
      </c>
      <c r="D629">
        <v>18.600000000000001</v>
      </c>
      <c r="E629">
        <v>55.800000000000004</v>
      </c>
      <c r="F629" s="2">
        <v>45684</v>
      </c>
      <c r="G629" s="2">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ht="18" x14ac:dyDescent="0.5">
      <c r="A630" t="s">
        <v>722</v>
      </c>
      <c r="B630" t="s">
        <v>32</v>
      </c>
      <c r="C630">
        <v>1</v>
      </c>
      <c r="D630">
        <v>58.8</v>
      </c>
      <c r="E630">
        <v>58.8</v>
      </c>
      <c r="F630" s="2">
        <v>45684</v>
      </c>
      <c r="G630" s="2">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ht="18" x14ac:dyDescent="0.5">
      <c r="A631" t="s">
        <v>723</v>
      </c>
      <c r="B631" t="s">
        <v>44</v>
      </c>
      <c r="C631">
        <v>2</v>
      </c>
      <c r="D631">
        <v>22.1</v>
      </c>
      <c r="E631">
        <v>44.2</v>
      </c>
      <c r="F631" s="2">
        <v>45684</v>
      </c>
      <c r="G631" s="2">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ht="18" x14ac:dyDescent="0.5">
      <c r="A632" t="s">
        <v>724</v>
      </c>
      <c r="B632" t="s">
        <v>26</v>
      </c>
      <c r="C632">
        <v>1</v>
      </c>
      <c r="D632">
        <v>114.9</v>
      </c>
      <c r="E632">
        <v>114.9</v>
      </c>
      <c r="F632" s="2">
        <v>45685</v>
      </c>
      <c r="G632" s="2">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ht="18" x14ac:dyDescent="0.5">
      <c r="A633" t="s">
        <v>725</v>
      </c>
      <c r="B633" t="s">
        <v>46</v>
      </c>
      <c r="C633">
        <v>5</v>
      </c>
      <c r="D633">
        <v>75.8</v>
      </c>
      <c r="E633">
        <v>379</v>
      </c>
      <c r="F633" s="2">
        <v>45685</v>
      </c>
      <c r="G633" s="2">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ht="18" x14ac:dyDescent="0.5">
      <c r="A634" t="s">
        <v>726</v>
      </c>
      <c r="B634" t="s">
        <v>81</v>
      </c>
      <c r="C634">
        <v>5</v>
      </c>
      <c r="D634">
        <v>20.6</v>
      </c>
      <c r="E634">
        <v>103</v>
      </c>
      <c r="F634" s="2">
        <v>45685</v>
      </c>
      <c r="G634" s="2">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ht="18" x14ac:dyDescent="0.5">
      <c r="A635" t="s">
        <v>727</v>
      </c>
      <c r="B635" t="s">
        <v>135</v>
      </c>
      <c r="C635">
        <v>3</v>
      </c>
      <c r="D635">
        <v>67.900000000000006</v>
      </c>
      <c r="E635">
        <v>203.70000000000002</v>
      </c>
      <c r="F635" s="2">
        <v>45685</v>
      </c>
      <c r="G635" s="2">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ht="18" x14ac:dyDescent="0.5">
      <c r="A636" t="s">
        <v>728</v>
      </c>
      <c r="B636" t="s">
        <v>16</v>
      </c>
      <c r="C636">
        <v>5</v>
      </c>
      <c r="D636">
        <v>27</v>
      </c>
      <c r="E636">
        <v>135</v>
      </c>
      <c r="F636" s="2">
        <v>45685</v>
      </c>
      <c r="G636" s="2">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ht="18" x14ac:dyDescent="0.5">
      <c r="A637" t="s">
        <v>729</v>
      </c>
      <c r="B637" t="s">
        <v>76</v>
      </c>
      <c r="C637">
        <v>1</v>
      </c>
      <c r="D637">
        <v>50.6</v>
      </c>
      <c r="E637">
        <v>50.6</v>
      </c>
      <c r="F637" s="2">
        <v>45685</v>
      </c>
      <c r="G637" s="2">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ht="18" x14ac:dyDescent="0.5">
      <c r="A638" t="s">
        <v>730</v>
      </c>
      <c r="B638" t="s">
        <v>32</v>
      </c>
      <c r="C638">
        <v>5</v>
      </c>
      <c r="D638">
        <v>22.1</v>
      </c>
      <c r="E638">
        <v>110.5</v>
      </c>
      <c r="F638" s="2">
        <v>45685</v>
      </c>
      <c r="G638" s="2">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ht="18" x14ac:dyDescent="0.5">
      <c r="A639" t="s">
        <v>731</v>
      </c>
      <c r="B639" t="s">
        <v>44</v>
      </c>
      <c r="C639">
        <v>3</v>
      </c>
      <c r="D639">
        <v>42.9</v>
      </c>
      <c r="E639">
        <v>128.69999999999999</v>
      </c>
      <c r="F639" s="2">
        <v>45685</v>
      </c>
      <c r="G639" s="2">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ht="18" x14ac:dyDescent="0.5">
      <c r="A640" t="s">
        <v>732</v>
      </c>
      <c r="B640" t="s">
        <v>22</v>
      </c>
      <c r="C640">
        <v>11</v>
      </c>
      <c r="D640">
        <v>62.4</v>
      </c>
      <c r="E640">
        <v>686.4</v>
      </c>
      <c r="F640" s="2">
        <v>45685</v>
      </c>
      <c r="G640" s="2">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ht="18" x14ac:dyDescent="0.5">
      <c r="A641" t="s">
        <v>733</v>
      </c>
      <c r="B641" t="s">
        <v>76</v>
      </c>
      <c r="C641">
        <v>9</v>
      </c>
      <c r="D641">
        <v>36.4</v>
      </c>
      <c r="E641">
        <v>327.59999999999997</v>
      </c>
      <c r="F641" s="2">
        <v>45685</v>
      </c>
      <c r="G641" s="2">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ht="18" x14ac:dyDescent="0.5">
      <c r="A642" t="s">
        <v>734</v>
      </c>
      <c r="B642" t="s">
        <v>16</v>
      </c>
      <c r="C642">
        <v>2</v>
      </c>
      <c r="D642">
        <v>22.5</v>
      </c>
      <c r="E642">
        <v>45</v>
      </c>
      <c r="F642" s="2">
        <v>45685</v>
      </c>
      <c r="G642" s="2">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ht="18" x14ac:dyDescent="0.5">
      <c r="A643" t="s">
        <v>735</v>
      </c>
      <c r="B643" t="s">
        <v>39</v>
      </c>
      <c r="C643">
        <v>4</v>
      </c>
      <c r="D643">
        <v>70.8</v>
      </c>
      <c r="E643">
        <v>283.2</v>
      </c>
      <c r="F643" s="2">
        <v>45685</v>
      </c>
      <c r="G643" s="2">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ht="18" x14ac:dyDescent="0.5">
      <c r="A644" t="s">
        <v>736</v>
      </c>
      <c r="B644" t="s">
        <v>39</v>
      </c>
      <c r="C644">
        <v>5</v>
      </c>
      <c r="D644">
        <v>56.6</v>
      </c>
      <c r="E644">
        <v>283</v>
      </c>
      <c r="F644" s="2">
        <v>45685</v>
      </c>
      <c r="G644" s="2">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ht="18" x14ac:dyDescent="0.5">
      <c r="A645" t="s">
        <v>737</v>
      </c>
      <c r="B645" t="s">
        <v>39</v>
      </c>
      <c r="C645">
        <v>2</v>
      </c>
      <c r="D645">
        <v>47.9</v>
      </c>
      <c r="E645">
        <v>95.8</v>
      </c>
      <c r="F645" s="2">
        <v>45685</v>
      </c>
      <c r="G645" s="2">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ht="18" x14ac:dyDescent="0.5">
      <c r="A646" t="s">
        <v>738</v>
      </c>
      <c r="B646" t="s">
        <v>39</v>
      </c>
      <c r="C646">
        <v>8</v>
      </c>
      <c r="D646">
        <v>78.400000000000006</v>
      </c>
      <c r="E646">
        <v>627.20000000000005</v>
      </c>
      <c r="F646" s="2">
        <v>45685</v>
      </c>
      <c r="G646" s="2">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ht="18" x14ac:dyDescent="0.5">
      <c r="A647" t="s">
        <v>739</v>
      </c>
      <c r="B647" t="s">
        <v>26</v>
      </c>
      <c r="C647">
        <v>14</v>
      </c>
      <c r="D647">
        <v>122.1</v>
      </c>
      <c r="E647">
        <v>1709.3999999999999</v>
      </c>
      <c r="F647" s="2">
        <v>45685</v>
      </c>
      <c r="G647" s="2">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ht="18" x14ac:dyDescent="0.5">
      <c r="A648" t="s">
        <v>740</v>
      </c>
      <c r="B648" t="s">
        <v>26</v>
      </c>
      <c r="C648">
        <v>2</v>
      </c>
      <c r="D648">
        <v>83.7</v>
      </c>
      <c r="E648">
        <v>167.4</v>
      </c>
      <c r="F648" s="2">
        <v>45686</v>
      </c>
      <c r="G648" s="2">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ht="18" x14ac:dyDescent="0.5">
      <c r="A649" t="s">
        <v>741</v>
      </c>
      <c r="B649" t="s">
        <v>30</v>
      </c>
      <c r="C649">
        <v>4</v>
      </c>
      <c r="D649">
        <v>97.9</v>
      </c>
      <c r="E649">
        <v>391.6</v>
      </c>
      <c r="F649" s="2">
        <v>45686</v>
      </c>
      <c r="G649" s="2">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ht="18" x14ac:dyDescent="0.5">
      <c r="A650" t="s">
        <v>742</v>
      </c>
      <c r="B650" t="s">
        <v>81</v>
      </c>
      <c r="C650">
        <v>1</v>
      </c>
      <c r="D650">
        <v>15</v>
      </c>
      <c r="E650">
        <v>15</v>
      </c>
      <c r="F650" s="2">
        <v>45686</v>
      </c>
      <c r="G650" s="2">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ht="18" x14ac:dyDescent="0.5">
      <c r="A651" t="s">
        <v>743</v>
      </c>
      <c r="B651" t="s">
        <v>69</v>
      </c>
      <c r="C651">
        <v>3</v>
      </c>
      <c r="D651">
        <v>94.6</v>
      </c>
      <c r="E651">
        <v>283.79999999999995</v>
      </c>
      <c r="F651" s="2">
        <v>45686</v>
      </c>
      <c r="G651" s="2">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ht="18" x14ac:dyDescent="0.5">
      <c r="A652" t="s">
        <v>744</v>
      </c>
      <c r="B652" t="s">
        <v>16</v>
      </c>
      <c r="C652">
        <v>6</v>
      </c>
      <c r="D652">
        <v>19.7</v>
      </c>
      <c r="E652">
        <v>118.19999999999999</v>
      </c>
      <c r="F652" s="2">
        <v>45686</v>
      </c>
      <c r="G652" s="2">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ht="18" x14ac:dyDescent="0.5">
      <c r="A653" t="s">
        <v>745</v>
      </c>
      <c r="B653" t="s">
        <v>42</v>
      </c>
      <c r="C653">
        <v>1</v>
      </c>
      <c r="D653">
        <v>46.7</v>
      </c>
      <c r="E653">
        <v>46.7</v>
      </c>
      <c r="F653" s="2">
        <v>45686</v>
      </c>
      <c r="G653" s="2">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ht="18" x14ac:dyDescent="0.5">
      <c r="A654" t="s">
        <v>746</v>
      </c>
      <c r="B654" t="s">
        <v>22</v>
      </c>
      <c r="C654">
        <v>4</v>
      </c>
      <c r="D654">
        <v>43</v>
      </c>
      <c r="E654">
        <v>172</v>
      </c>
      <c r="F654" s="2">
        <v>45686</v>
      </c>
      <c r="G654" s="2">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ht="18" x14ac:dyDescent="0.5">
      <c r="A655" t="s">
        <v>747</v>
      </c>
      <c r="B655" t="s">
        <v>39</v>
      </c>
      <c r="C655">
        <v>3</v>
      </c>
      <c r="D655">
        <v>68.2</v>
      </c>
      <c r="E655">
        <v>204.60000000000002</v>
      </c>
      <c r="F655" s="2">
        <v>45686</v>
      </c>
      <c r="G655" s="2">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ht="18" x14ac:dyDescent="0.5">
      <c r="A656" t="s">
        <v>748</v>
      </c>
      <c r="B656" t="s">
        <v>54</v>
      </c>
      <c r="C656">
        <v>10</v>
      </c>
      <c r="D656">
        <v>24.3</v>
      </c>
      <c r="E656">
        <v>243</v>
      </c>
      <c r="F656" s="2">
        <v>45686</v>
      </c>
      <c r="G656" s="2">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ht="18" x14ac:dyDescent="0.5">
      <c r="A657" t="s">
        <v>749</v>
      </c>
      <c r="B657" t="s">
        <v>42</v>
      </c>
      <c r="C657">
        <v>2</v>
      </c>
      <c r="D657">
        <v>86.8</v>
      </c>
      <c r="E657">
        <v>173.6</v>
      </c>
      <c r="F657" s="2">
        <v>45686</v>
      </c>
      <c r="G657" s="2">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ht="18" x14ac:dyDescent="0.5">
      <c r="A658" t="s">
        <v>750</v>
      </c>
      <c r="B658" t="s">
        <v>16</v>
      </c>
      <c r="C658">
        <v>2</v>
      </c>
      <c r="D658">
        <v>15.8</v>
      </c>
      <c r="E658">
        <v>31.6</v>
      </c>
      <c r="F658" s="2">
        <v>45686</v>
      </c>
      <c r="G658" s="2">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ht="18" x14ac:dyDescent="0.5">
      <c r="A659" t="s">
        <v>751</v>
      </c>
      <c r="B659" t="s">
        <v>26</v>
      </c>
      <c r="C659">
        <v>4</v>
      </c>
      <c r="D659">
        <v>61.6</v>
      </c>
      <c r="E659">
        <v>246.4</v>
      </c>
      <c r="F659" s="2">
        <v>45686</v>
      </c>
      <c r="G659" s="2">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ht="18" x14ac:dyDescent="0.5">
      <c r="A660" t="s">
        <v>752</v>
      </c>
      <c r="B660" t="s">
        <v>39</v>
      </c>
      <c r="C660">
        <v>3</v>
      </c>
      <c r="D660">
        <v>48.7</v>
      </c>
      <c r="E660">
        <v>146.10000000000002</v>
      </c>
      <c r="F660" s="2">
        <v>45686</v>
      </c>
      <c r="G660" s="2">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ht="18" x14ac:dyDescent="0.5">
      <c r="A661" t="s">
        <v>753</v>
      </c>
      <c r="B661" t="s">
        <v>44</v>
      </c>
      <c r="C661">
        <v>4</v>
      </c>
      <c r="D661">
        <v>24.3</v>
      </c>
      <c r="E661">
        <v>97.2</v>
      </c>
      <c r="F661" s="2">
        <v>45686</v>
      </c>
      <c r="G661" s="2">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ht="18" x14ac:dyDescent="0.5">
      <c r="A662" t="s">
        <v>754</v>
      </c>
      <c r="B662" t="s">
        <v>26</v>
      </c>
      <c r="C662">
        <v>2</v>
      </c>
      <c r="D662">
        <v>130.69999999999999</v>
      </c>
      <c r="E662">
        <v>261.39999999999998</v>
      </c>
      <c r="F662" s="2">
        <v>45686</v>
      </c>
      <c r="G662" s="2">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ht="18" x14ac:dyDescent="0.5">
      <c r="A663" t="s">
        <v>755</v>
      </c>
      <c r="B663" t="s">
        <v>54</v>
      </c>
      <c r="C663">
        <v>1</v>
      </c>
      <c r="D663">
        <v>26</v>
      </c>
      <c r="E663">
        <v>26</v>
      </c>
      <c r="F663" s="2">
        <v>45686</v>
      </c>
      <c r="G663" s="2">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ht="18" x14ac:dyDescent="0.5">
      <c r="A664" t="s">
        <v>756</v>
      </c>
      <c r="B664" t="s">
        <v>26</v>
      </c>
      <c r="C664">
        <v>5</v>
      </c>
      <c r="D664">
        <v>94.4</v>
      </c>
      <c r="E664">
        <v>472</v>
      </c>
      <c r="F664" s="2">
        <v>45686</v>
      </c>
      <c r="G664" s="2">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ht="18" x14ac:dyDescent="0.5">
      <c r="A665" t="s">
        <v>757</v>
      </c>
      <c r="B665" t="s">
        <v>16</v>
      </c>
      <c r="C665">
        <v>6</v>
      </c>
      <c r="D665">
        <v>23.7</v>
      </c>
      <c r="E665">
        <v>142.19999999999999</v>
      </c>
      <c r="F665" s="2">
        <v>45686</v>
      </c>
      <c r="G665" s="2">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ht="18" x14ac:dyDescent="0.5">
      <c r="A666" t="s">
        <v>758</v>
      </c>
      <c r="B666" t="s">
        <v>46</v>
      </c>
      <c r="C666">
        <v>12</v>
      </c>
      <c r="D666">
        <v>37.4</v>
      </c>
      <c r="E666">
        <v>448.79999999999995</v>
      </c>
      <c r="F666" s="2">
        <v>45686</v>
      </c>
      <c r="G666" s="2">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ht="18" x14ac:dyDescent="0.5">
      <c r="A667" t="s">
        <v>759</v>
      </c>
      <c r="B667" t="s">
        <v>22</v>
      </c>
      <c r="C667">
        <v>36</v>
      </c>
      <c r="D667">
        <v>55.2</v>
      </c>
      <c r="E667">
        <v>1987.2</v>
      </c>
      <c r="F667" s="2">
        <v>45686</v>
      </c>
      <c r="G667" s="2">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ht="18" x14ac:dyDescent="0.5">
      <c r="A668" t="s">
        <v>760</v>
      </c>
      <c r="B668" t="s">
        <v>26</v>
      </c>
      <c r="C668">
        <v>9</v>
      </c>
      <c r="D668">
        <v>57.1</v>
      </c>
      <c r="E668">
        <v>513.9</v>
      </c>
      <c r="F668" s="2">
        <v>45686</v>
      </c>
      <c r="G668" s="2">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ht="18" x14ac:dyDescent="0.5">
      <c r="A669" t="s">
        <v>761</v>
      </c>
      <c r="B669" t="s">
        <v>69</v>
      </c>
      <c r="C669">
        <v>1</v>
      </c>
      <c r="D669">
        <v>55.3</v>
      </c>
      <c r="E669">
        <v>55.3</v>
      </c>
      <c r="F669" s="2">
        <v>45686</v>
      </c>
      <c r="G669" s="2">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ht="18" x14ac:dyDescent="0.5">
      <c r="A670" t="s">
        <v>762</v>
      </c>
      <c r="B670" t="s">
        <v>123</v>
      </c>
      <c r="C670">
        <v>7</v>
      </c>
      <c r="D670">
        <v>23.9</v>
      </c>
      <c r="E670">
        <v>167.29999999999998</v>
      </c>
      <c r="F670" s="2">
        <v>45686</v>
      </c>
      <c r="G670" s="2">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ht="18" x14ac:dyDescent="0.5">
      <c r="A671" t="s">
        <v>763</v>
      </c>
      <c r="B671" t="s">
        <v>16</v>
      </c>
      <c r="C671">
        <v>1</v>
      </c>
      <c r="D671">
        <v>34.1</v>
      </c>
      <c r="E671">
        <v>34.1</v>
      </c>
      <c r="F671" s="2">
        <v>45686</v>
      </c>
      <c r="G671" s="2">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ht="18" x14ac:dyDescent="0.5">
      <c r="A672" t="s">
        <v>764</v>
      </c>
      <c r="B672" t="s">
        <v>69</v>
      </c>
      <c r="C672">
        <v>4</v>
      </c>
      <c r="D672">
        <v>38.5</v>
      </c>
      <c r="E672">
        <v>154</v>
      </c>
      <c r="F672" s="2">
        <v>45686</v>
      </c>
      <c r="G672" s="2">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ht="18" x14ac:dyDescent="0.5">
      <c r="A673" t="s">
        <v>765</v>
      </c>
      <c r="B673" t="s">
        <v>42</v>
      </c>
      <c r="C673">
        <v>2</v>
      </c>
      <c r="D673">
        <v>105</v>
      </c>
      <c r="E673">
        <v>210</v>
      </c>
      <c r="F673" s="2">
        <v>45686</v>
      </c>
      <c r="G673" s="2">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ht="18" x14ac:dyDescent="0.5">
      <c r="A674" t="s">
        <v>766</v>
      </c>
      <c r="B674" t="s">
        <v>44</v>
      </c>
      <c r="C674">
        <v>5</v>
      </c>
      <c r="D674">
        <v>45.2</v>
      </c>
      <c r="E674">
        <v>226</v>
      </c>
      <c r="F674" s="2">
        <v>45686</v>
      </c>
      <c r="G674" s="2">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ht="18" x14ac:dyDescent="0.5">
      <c r="A675" t="s">
        <v>767</v>
      </c>
      <c r="B675" t="s">
        <v>135</v>
      </c>
      <c r="C675">
        <v>3</v>
      </c>
      <c r="D675">
        <v>24.8</v>
      </c>
      <c r="E675">
        <v>74.400000000000006</v>
      </c>
      <c r="F675" s="2">
        <v>45686</v>
      </c>
      <c r="G675" s="2">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ht="18" x14ac:dyDescent="0.5">
      <c r="A676" t="s">
        <v>768</v>
      </c>
      <c r="B676" t="s">
        <v>67</v>
      </c>
      <c r="C676">
        <v>4</v>
      </c>
      <c r="D676">
        <v>43.8</v>
      </c>
      <c r="E676">
        <v>175.2</v>
      </c>
      <c r="F676" s="2">
        <v>45686</v>
      </c>
      <c r="G676" s="2">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ht="18" x14ac:dyDescent="0.5">
      <c r="A677" t="s">
        <v>769</v>
      </c>
      <c r="B677" t="s">
        <v>22</v>
      </c>
      <c r="C677">
        <v>1</v>
      </c>
      <c r="D677">
        <v>75</v>
      </c>
      <c r="E677">
        <v>75</v>
      </c>
      <c r="F677" s="2">
        <v>45686</v>
      </c>
      <c r="G677" s="2">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ht="18" x14ac:dyDescent="0.5">
      <c r="A678" t="s">
        <v>770</v>
      </c>
      <c r="B678" t="s">
        <v>26</v>
      </c>
      <c r="C678">
        <v>1</v>
      </c>
      <c r="D678">
        <v>169.9</v>
      </c>
      <c r="E678">
        <v>169.9</v>
      </c>
      <c r="F678" s="2">
        <v>45686</v>
      </c>
      <c r="G678" s="2">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ht="18" x14ac:dyDescent="0.5">
      <c r="A679" t="s">
        <v>771</v>
      </c>
      <c r="B679" t="s">
        <v>46</v>
      </c>
      <c r="C679">
        <v>2</v>
      </c>
      <c r="D679">
        <v>72.2</v>
      </c>
      <c r="E679">
        <v>144.4</v>
      </c>
      <c r="F679" s="2">
        <v>45686</v>
      </c>
      <c r="G679" s="2">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ht="18" x14ac:dyDescent="0.5">
      <c r="A680" t="s">
        <v>772</v>
      </c>
      <c r="B680" t="s">
        <v>16</v>
      </c>
      <c r="C680">
        <v>1</v>
      </c>
      <c r="D680">
        <v>20</v>
      </c>
      <c r="E680">
        <v>20</v>
      </c>
      <c r="F680" s="2">
        <v>45687</v>
      </c>
      <c r="G680" s="2">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ht="18" x14ac:dyDescent="0.5">
      <c r="A681" t="s">
        <v>773</v>
      </c>
      <c r="B681" t="s">
        <v>46</v>
      </c>
      <c r="C681">
        <v>2</v>
      </c>
      <c r="D681">
        <v>40.799999999999997</v>
      </c>
      <c r="E681">
        <v>81.599999999999994</v>
      </c>
      <c r="F681" s="2">
        <v>45687</v>
      </c>
      <c r="G681" s="2">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ht="18" x14ac:dyDescent="0.5">
      <c r="A682" t="s">
        <v>774</v>
      </c>
      <c r="B682" t="s">
        <v>54</v>
      </c>
      <c r="C682">
        <v>4</v>
      </c>
      <c r="D682">
        <v>58</v>
      </c>
      <c r="E682">
        <v>232</v>
      </c>
      <c r="F682" s="2">
        <v>45687</v>
      </c>
      <c r="G682" s="2">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ht="18" x14ac:dyDescent="0.5">
      <c r="A683" t="s">
        <v>775</v>
      </c>
      <c r="B683" t="s">
        <v>69</v>
      </c>
      <c r="C683">
        <v>2</v>
      </c>
      <c r="D683">
        <v>43.1</v>
      </c>
      <c r="E683">
        <v>86.2</v>
      </c>
      <c r="F683" s="2">
        <v>45687</v>
      </c>
      <c r="G683" s="2">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ht="18" x14ac:dyDescent="0.5">
      <c r="A684" t="s">
        <v>776</v>
      </c>
      <c r="B684" t="s">
        <v>39</v>
      </c>
      <c r="C684">
        <v>9</v>
      </c>
      <c r="D684">
        <v>74.7</v>
      </c>
      <c r="E684">
        <v>672.30000000000007</v>
      </c>
      <c r="F684" s="2">
        <v>45687</v>
      </c>
      <c r="G684" s="2">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ht="18" x14ac:dyDescent="0.5">
      <c r="A685" t="s">
        <v>777</v>
      </c>
      <c r="B685" t="s">
        <v>39</v>
      </c>
      <c r="C685">
        <v>1</v>
      </c>
      <c r="D685">
        <v>128.19999999999999</v>
      </c>
      <c r="E685">
        <v>128.19999999999999</v>
      </c>
      <c r="F685" s="2">
        <v>45687</v>
      </c>
      <c r="G685" s="2">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ht="18" x14ac:dyDescent="0.5">
      <c r="A686" t="s">
        <v>778</v>
      </c>
      <c r="B686" t="s">
        <v>81</v>
      </c>
      <c r="C686">
        <v>4</v>
      </c>
      <c r="D686">
        <v>26.7</v>
      </c>
      <c r="E686">
        <v>106.8</v>
      </c>
      <c r="F686" s="2">
        <v>45687</v>
      </c>
      <c r="G686" s="2">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ht="18" x14ac:dyDescent="0.5">
      <c r="A687" t="s">
        <v>779</v>
      </c>
      <c r="B687" t="s">
        <v>135</v>
      </c>
      <c r="C687">
        <v>6</v>
      </c>
      <c r="D687">
        <v>31.5</v>
      </c>
      <c r="E687">
        <v>189</v>
      </c>
      <c r="F687" s="2">
        <v>45687</v>
      </c>
      <c r="G687" s="2">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ht="18" x14ac:dyDescent="0.5">
      <c r="A688" t="s">
        <v>780</v>
      </c>
      <c r="B688" t="s">
        <v>30</v>
      </c>
      <c r="C688">
        <v>7</v>
      </c>
      <c r="D688">
        <v>64.7</v>
      </c>
      <c r="E688">
        <v>452.90000000000003</v>
      </c>
      <c r="F688" s="2">
        <v>45687</v>
      </c>
      <c r="G688" s="2">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ht="18" x14ac:dyDescent="0.5">
      <c r="A689" t="s">
        <v>781</v>
      </c>
      <c r="B689" t="s">
        <v>37</v>
      </c>
      <c r="C689">
        <v>2</v>
      </c>
      <c r="D689">
        <v>55.6</v>
      </c>
      <c r="E689">
        <v>111.2</v>
      </c>
      <c r="F689" s="2">
        <v>45687</v>
      </c>
      <c r="G689" s="2">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ht="18" x14ac:dyDescent="0.5">
      <c r="A690" t="s">
        <v>782</v>
      </c>
      <c r="B690" t="s">
        <v>30</v>
      </c>
      <c r="C690">
        <v>2</v>
      </c>
      <c r="D690">
        <v>36.200000000000003</v>
      </c>
      <c r="E690">
        <v>72.400000000000006</v>
      </c>
      <c r="F690" s="2">
        <v>45687</v>
      </c>
      <c r="G690" s="2">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ht="18" x14ac:dyDescent="0.5">
      <c r="A691" t="s">
        <v>783</v>
      </c>
      <c r="B691" t="s">
        <v>16</v>
      </c>
      <c r="C691">
        <v>1</v>
      </c>
      <c r="D691">
        <v>26.6</v>
      </c>
      <c r="E691">
        <v>26.6</v>
      </c>
      <c r="F691" s="2">
        <v>45687</v>
      </c>
      <c r="G691" s="2">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ht="18" x14ac:dyDescent="0.5">
      <c r="A692" t="s">
        <v>784</v>
      </c>
      <c r="B692" t="s">
        <v>54</v>
      </c>
      <c r="C692">
        <v>4</v>
      </c>
      <c r="D692">
        <v>31.5</v>
      </c>
      <c r="E692">
        <v>126</v>
      </c>
      <c r="F692" s="2">
        <v>45687</v>
      </c>
      <c r="G692" s="2">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ht="18" x14ac:dyDescent="0.5">
      <c r="A693" t="s">
        <v>785</v>
      </c>
      <c r="B693" t="s">
        <v>54</v>
      </c>
      <c r="C693">
        <v>1</v>
      </c>
      <c r="D693">
        <v>27</v>
      </c>
      <c r="E693">
        <v>27</v>
      </c>
      <c r="F693" s="2">
        <v>45687</v>
      </c>
      <c r="G693" s="2">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ht="18" x14ac:dyDescent="0.5">
      <c r="A694" t="s">
        <v>786</v>
      </c>
      <c r="B694" t="s">
        <v>32</v>
      </c>
      <c r="C694">
        <v>1</v>
      </c>
      <c r="D694">
        <v>32</v>
      </c>
      <c r="E694">
        <v>32</v>
      </c>
      <c r="F694" s="2">
        <v>45687</v>
      </c>
      <c r="G694" s="2">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ht="18" x14ac:dyDescent="0.5">
      <c r="A695" t="s">
        <v>787</v>
      </c>
      <c r="B695" t="s">
        <v>22</v>
      </c>
      <c r="C695">
        <v>3</v>
      </c>
      <c r="D695">
        <v>48.1</v>
      </c>
      <c r="E695">
        <v>144.30000000000001</v>
      </c>
      <c r="F695" s="2">
        <v>45687</v>
      </c>
      <c r="G695" s="2">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ht="18" x14ac:dyDescent="0.5">
      <c r="A696" t="s">
        <v>788</v>
      </c>
      <c r="B696" t="s">
        <v>46</v>
      </c>
      <c r="C696">
        <v>2</v>
      </c>
      <c r="D696">
        <v>43.4</v>
      </c>
      <c r="E696">
        <v>86.8</v>
      </c>
      <c r="F696" s="2">
        <v>45687</v>
      </c>
      <c r="G696" s="2">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ht="18" x14ac:dyDescent="0.5">
      <c r="A697" t="s">
        <v>789</v>
      </c>
      <c r="B697" t="s">
        <v>39</v>
      </c>
      <c r="C697">
        <v>2</v>
      </c>
      <c r="D697">
        <v>42.6</v>
      </c>
      <c r="E697">
        <v>85.2</v>
      </c>
      <c r="F697" s="2">
        <v>45687</v>
      </c>
      <c r="G697" s="2">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ht="18" x14ac:dyDescent="0.5">
      <c r="A698" t="s">
        <v>790</v>
      </c>
      <c r="B698" t="s">
        <v>44</v>
      </c>
      <c r="C698">
        <v>2</v>
      </c>
      <c r="D698">
        <v>15.9</v>
      </c>
      <c r="E698">
        <v>31.8</v>
      </c>
      <c r="F698" s="2">
        <v>45687</v>
      </c>
      <c r="G698" s="2">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ht="18" x14ac:dyDescent="0.5">
      <c r="A699" t="s">
        <v>791</v>
      </c>
      <c r="B699" t="s">
        <v>46</v>
      </c>
      <c r="C699">
        <v>2</v>
      </c>
      <c r="D699">
        <v>63.2</v>
      </c>
      <c r="E699">
        <v>126.4</v>
      </c>
      <c r="F699" s="2">
        <v>45687</v>
      </c>
      <c r="G699" s="2">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ht="18" x14ac:dyDescent="0.5">
      <c r="A700" t="s">
        <v>792</v>
      </c>
      <c r="B700" t="s">
        <v>42</v>
      </c>
      <c r="C700">
        <v>4</v>
      </c>
      <c r="D700">
        <v>64.8</v>
      </c>
      <c r="E700">
        <v>259.2</v>
      </c>
      <c r="F700" s="2">
        <v>45687</v>
      </c>
      <c r="G700" s="2">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ht="18" x14ac:dyDescent="0.5">
      <c r="A701" t="s">
        <v>793</v>
      </c>
      <c r="B701" t="s">
        <v>42</v>
      </c>
      <c r="C701">
        <v>3</v>
      </c>
      <c r="D701">
        <v>79.8</v>
      </c>
      <c r="E701">
        <v>239.39999999999998</v>
      </c>
      <c r="F701" s="2">
        <v>45687</v>
      </c>
      <c r="G701" s="2">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ht="18" x14ac:dyDescent="0.5">
      <c r="A702" t="s">
        <v>794</v>
      </c>
      <c r="B702" t="s">
        <v>46</v>
      </c>
      <c r="C702">
        <v>1</v>
      </c>
      <c r="D702">
        <v>54.4</v>
      </c>
      <c r="E702">
        <v>54.4</v>
      </c>
      <c r="F702" s="2">
        <v>45687</v>
      </c>
      <c r="G702" s="2">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ht="18" x14ac:dyDescent="0.5">
      <c r="A703" t="s">
        <v>795</v>
      </c>
      <c r="B703" t="s">
        <v>39</v>
      </c>
      <c r="C703">
        <v>1</v>
      </c>
      <c r="D703">
        <v>87.3</v>
      </c>
      <c r="E703">
        <v>87.3</v>
      </c>
      <c r="F703" s="2">
        <v>45687</v>
      </c>
      <c r="G703" s="2">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ht="18" x14ac:dyDescent="0.5">
      <c r="A704" t="s">
        <v>796</v>
      </c>
      <c r="B704" t="s">
        <v>44</v>
      </c>
      <c r="C704">
        <v>4</v>
      </c>
      <c r="D704">
        <v>32.4</v>
      </c>
      <c r="E704">
        <v>129.6</v>
      </c>
      <c r="F704" s="2">
        <v>45687</v>
      </c>
      <c r="G704" s="2">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ht="18" x14ac:dyDescent="0.5">
      <c r="A705" t="s">
        <v>797</v>
      </c>
      <c r="B705" t="s">
        <v>26</v>
      </c>
      <c r="C705">
        <v>1</v>
      </c>
      <c r="D705">
        <v>177.4</v>
      </c>
      <c r="E705">
        <v>177.4</v>
      </c>
      <c r="F705" s="2">
        <v>45687</v>
      </c>
      <c r="G705" s="2">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ht="18" x14ac:dyDescent="0.5">
      <c r="A706" t="s">
        <v>798</v>
      </c>
      <c r="B706" t="s">
        <v>42</v>
      </c>
      <c r="C706">
        <v>2</v>
      </c>
      <c r="D706">
        <v>70.099999999999994</v>
      </c>
      <c r="E706">
        <v>140.19999999999999</v>
      </c>
      <c r="F706" s="2">
        <v>45687</v>
      </c>
      <c r="G706" s="2">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ht="18" x14ac:dyDescent="0.5">
      <c r="A707" t="s">
        <v>799</v>
      </c>
      <c r="B707" t="s">
        <v>46</v>
      </c>
      <c r="C707">
        <v>6</v>
      </c>
      <c r="D707">
        <v>51.1</v>
      </c>
      <c r="E707">
        <v>306.60000000000002</v>
      </c>
      <c r="F707" s="2">
        <v>45687</v>
      </c>
      <c r="G707" s="2">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ht="18" x14ac:dyDescent="0.5">
      <c r="A708" t="s">
        <v>800</v>
      </c>
      <c r="B708" t="s">
        <v>26</v>
      </c>
      <c r="C708">
        <v>5</v>
      </c>
      <c r="D708">
        <v>79.900000000000006</v>
      </c>
      <c r="E708">
        <v>399.5</v>
      </c>
      <c r="F708" s="2">
        <v>45687</v>
      </c>
      <c r="G708" s="2">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ht="18" x14ac:dyDescent="0.5">
      <c r="A709" t="s">
        <v>801</v>
      </c>
      <c r="B709" t="s">
        <v>39</v>
      </c>
      <c r="C709">
        <v>1</v>
      </c>
      <c r="D709">
        <v>57.6</v>
      </c>
      <c r="E709">
        <v>57.6</v>
      </c>
      <c r="F709" s="2">
        <v>45688</v>
      </c>
      <c r="G709" s="2">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ht="18" x14ac:dyDescent="0.5">
      <c r="A710" t="s">
        <v>803</v>
      </c>
      <c r="B710" t="s">
        <v>44</v>
      </c>
      <c r="C710">
        <v>10</v>
      </c>
      <c r="D710">
        <v>59.7</v>
      </c>
      <c r="E710">
        <v>597</v>
      </c>
      <c r="F710" s="2">
        <v>45688</v>
      </c>
      <c r="G710" s="2">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ht="18" x14ac:dyDescent="0.5">
      <c r="A711" t="s">
        <v>804</v>
      </c>
      <c r="B711" t="s">
        <v>44</v>
      </c>
      <c r="C711">
        <v>5</v>
      </c>
      <c r="D711">
        <v>30</v>
      </c>
      <c r="E711">
        <v>150</v>
      </c>
      <c r="F711" s="2">
        <v>45688</v>
      </c>
      <c r="G711" s="2">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ht="18" x14ac:dyDescent="0.5">
      <c r="A712" t="s">
        <v>805</v>
      </c>
      <c r="B712" t="s">
        <v>54</v>
      </c>
      <c r="C712">
        <v>2</v>
      </c>
      <c r="D712">
        <v>69.2</v>
      </c>
      <c r="E712">
        <v>138.4</v>
      </c>
      <c r="F712" s="2">
        <v>45688</v>
      </c>
      <c r="G712" s="2">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ht="18" x14ac:dyDescent="0.5">
      <c r="A713" t="s">
        <v>806</v>
      </c>
      <c r="B713" t="s">
        <v>16</v>
      </c>
      <c r="C713">
        <v>8</v>
      </c>
      <c r="D713">
        <v>10.9</v>
      </c>
      <c r="E713">
        <v>87.2</v>
      </c>
      <c r="F713" s="2">
        <v>45688</v>
      </c>
      <c r="G713" s="2">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ht="18" x14ac:dyDescent="0.5">
      <c r="A714" t="s">
        <v>807</v>
      </c>
      <c r="B714" t="s">
        <v>128</v>
      </c>
      <c r="C714">
        <v>2</v>
      </c>
      <c r="D714">
        <v>48.6</v>
      </c>
      <c r="E714">
        <v>97.2</v>
      </c>
      <c r="F714" s="2">
        <v>45688</v>
      </c>
      <c r="G714" s="2">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ht="18" x14ac:dyDescent="0.5">
      <c r="A715" t="s">
        <v>808</v>
      </c>
      <c r="B715" t="s">
        <v>26</v>
      </c>
      <c r="C715">
        <v>2</v>
      </c>
      <c r="D715">
        <v>61.1</v>
      </c>
      <c r="E715">
        <v>122.2</v>
      </c>
      <c r="F715" s="2">
        <v>45688</v>
      </c>
      <c r="G715" s="2">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ht="18" x14ac:dyDescent="0.5">
      <c r="A716" t="s">
        <v>809</v>
      </c>
      <c r="B716" t="s">
        <v>44</v>
      </c>
      <c r="C716">
        <v>2</v>
      </c>
      <c r="D716">
        <v>23.2</v>
      </c>
      <c r="E716">
        <v>46.4</v>
      </c>
      <c r="F716" s="2">
        <v>45688</v>
      </c>
      <c r="G716" s="2">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ht="18" x14ac:dyDescent="0.5">
      <c r="A717" t="s">
        <v>810</v>
      </c>
      <c r="B717" t="s">
        <v>69</v>
      </c>
      <c r="C717">
        <v>4</v>
      </c>
      <c r="D717">
        <v>55.8</v>
      </c>
      <c r="E717">
        <v>223.2</v>
      </c>
      <c r="F717" s="2">
        <v>45688</v>
      </c>
      <c r="G717" s="2">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ht="18" x14ac:dyDescent="0.5">
      <c r="A718" t="s">
        <v>811</v>
      </c>
      <c r="B718" t="s">
        <v>46</v>
      </c>
      <c r="C718">
        <v>4</v>
      </c>
      <c r="D718">
        <v>24.8</v>
      </c>
      <c r="E718">
        <v>99.2</v>
      </c>
      <c r="F718" s="2">
        <v>45688</v>
      </c>
      <c r="G718" s="2">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ht="18" x14ac:dyDescent="0.5">
      <c r="A719" t="s">
        <v>812</v>
      </c>
      <c r="B719" t="s">
        <v>54</v>
      </c>
      <c r="C719">
        <v>2</v>
      </c>
      <c r="D719">
        <v>27.9</v>
      </c>
      <c r="E719">
        <v>55.8</v>
      </c>
      <c r="F719" s="2">
        <v>45688</v>
      </c>
      <c r="G719" s="2">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ht="18" x14ac:dyDescent="0.5">
      <c r="A720" t="s">
        <v>813</v>
      </c>
      <c r="B720" t="s">
        <v>54</v>
      </c>
      <c r="C720">
        <v>6</v>
      </c>
      <c r="D720">
        <v>51.1</v>
      </c>
      <c r="E720">
        <v>306.60000000000002</v>
      </c>
      <c r="F720" s="2">
        <v>45688</v>
      </c>
      <c r="G720" s="2">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ht="18" x14ac:dyDescent="0.5">
      <c r="A721" t="s">
        <v>814</v>
      </c>
      <c r="B721" t="s">
        <v>135</v>
      </c>
      <c r="C721">
        <v>11</v>
      </c>
      <c r="D721">
        <v>32.700000000000003</v>
      </c>
      <c r="E721">
        <v>359.70000000000005</v>
      </c>
      <c r="F721" s="2">
        <v>45688</v>
      </c>
      <c r="G721" s="2">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ht="18" x14ac:dyDescent="0.5">
      <c r="A722" t="s">
        <v>815</v>
      </c>
      <c r="B722" t="s">
        <v>44</v>
      </c>
      <c r="C722">
        <v>4</v>
      </c>
      <c r="D722">
        <v>22.5</v>
      </c>
      <c r="E722">
        <v>90</v>
      </c>
      <c r="F722" s="2">
        <v>45688</v>
      </c>
      <c r="G722" s="2">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ht="18" x14ac:dyDescent="0.5">
      <c r="A723" t="s">
        <v>816</v>
      </c>
      <c r="B723" t="s">
        <v>16</v>
      </c>
      <c r="C723">
        <v>7</v>
      </c>
      <c r="D723">
        <v>14.6</v>
      </c>
      <c r="E723">
        <v>102.2</v>
      </c>
      <c r="F723" s="2">
        <v>45688</v>
      </c>
      <c r="G723" s="2">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ht="18" x14ac:dyDescent="0.5">
      <c r="A724" t="s">
        <v>817</v>
      </c>
      <c r="B724" t="s">
        <v>37</v>
      </c>
      <c r="C724">
        <v>3</v>
      </c>
      <c r="D724">
        <v>32.5</v>
      </c>
      <c r="E724">
        <v>97.5</v>
      </c>
      <c r="F724" s="2">
        <v>45688</v>
      </c>
      <c r="G724" s="2">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ht="18" x14ac:dyDescent="0.5">
      <c r="A725" t="s">
        <v>818</v>
      </c>
      <c r="B725" t="s">
        <v>146</v>
      </c>
      <c r="C725">
        <v>1</v>
      </c>
      <c r="D725">
        <v>78.099999999999994</v>
      </c>
      <c r="E725">
        <v>78.099999999999994</v>
      </c>
      <c r="F725" s="2">
        <v>45688</v>
      </c>
      <c r="G725" s="2">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ht="18" x14ac:dyDescent="0.5">
      <c r="A726" t="s">
        <v>819</v>
      </c>
      <c r="B726" t="s">
        <v>69</v>
      </c>
      <c r="C726">
        <v>6</v>
      </c>
      <c r="D726">
        <v>110.2</v>
      </c>
      <c r="E726">
        <v>661.2</v>
      </c>
      <c r="F726" s="2">
        <v>45688</v>
      </c>
      <c r="G726" s="2">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ht="18" x14ac:dyDescent="0.5">
      <c r="A727" t="s">
        <v>820</v>
      </c>
      <c r="B727" t="s">
        <v>39</v>
      </c>
      <c r="C727">
        <v>3</v>
      </c>
      <c r="D727">
        <v>86.3</v>
      </c>
      <c r="E727">
        <v>258.89999999999998</v>
      </c>
      <c r="F727" s="2">
        <v>45688</v>
      </c>
      <c r="G727" s="2">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ht="18" x14ac:dyDescent="0.5">
      <c r="A728" t="s">
        <v>821</v>
      </c>
      <c r="B728" t="s">
        <v>22</v>
      </c>
      <c r="C728">
        <v>6</v>
      </c>
      <c r="D728">
        <v>73.599999999999994</v>
      </c>
      <c r="E728">
        <v>441.59999999999997</v>
      </c>
      <c r="F728" s="2">
        <v>45688</v>
      </c>
      <c r="G728" s="2">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ht="18" x14ac:dyDescent="0.5">
      <c r="A729" t="s">
        <v>822</v>
      </c>
      <c r="B729" t="s">
        <v>39</v>
      </c>
      <c r="C729">
        <v>13</v>
      </c>
      <c r="D729">
        <v>67.7</v>
      </c>
      <c r="E729">
        <v>880.1</v>
      </c>
      <c r="F729" s="2">
        <v>45688</v>
      </c>
      <c r="G729" s="2">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ht="18" x14ac:dyDescent="0.5">
      <c r="A730" t="s">
        <v>823</v>
      </c>
      <c r="B730" t="s">
        <v>42</v>
      </c>
      <c r="C730">
        <v>6</v>
      </c>
      <c r="D730">
        <v>142.19999999999999</v>
      </c>
      <c r="E730">
        <v>853.19999999999993</v>
      </c>
      <c r="F730" s="2">
        <v>45688</v>
      </c>
      <c r="G730" s="2">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ht="18" x14ac:dyDescent="0.5">
      <c r="A731" t="s">
        <v>824</v>
      </c>
      <c r="B731" t="s">
        <v>22</v>
      </c>
      <c r="C731">
        <v>9</v>
      </c>
      <c r="D731">
        <v>45.8</v>
      </c>
      <c r="E731">
        <v>412.2</v>
      </c>
      <c r="F731" s="2">
        <v>45688</v>
      </c>
      <c r="G731" s="2">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ht="18" x14ac:dyDescent="0.5">
      <c r="A732" t="s">
        <v>825</v>
      </c>
      <c r="B732" t="s">
        <v>54</v>
      </c>
      <c r="C732">
        <v>2</v>
      </c>
      <c r="D732">
        <v>24.2</v>
      </c>
      <c r="E732">
        <v>48.4</v>
      </c>
      <c r="F732" s="2">
        <v>45689</v>
      </c>
      <c r="G732" s="2">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ht="18" x14ac:dyDescent="0.5">
      <c r="A733" t="s">
        <v>826</v>
      </c>
      <c r="B733" t="s">
        <v>26</v>
      </c>
      <c r="C733">
        <v>3</v>
      </c>
      <c r="D733">
        <v>144.9</v>
      </c>
      <c r="E733">
        <v>434.70000000000005</v>
      </c>
      <c r="F733" s="2">
        <v>45689</v>
      </c>
      <c r="G733" s="2">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ht="18" x14ac:dyDescent="0.5">
      <c r="A734" t="s">
        <v>827</v>
      </c>
      <c r="B734" t="s">
        <v>67</v>
      </c>
      <c r="C734">
        <v>5</v>
      </c>
      <c r="D734">
        <v>32.799999999999997</v>
      </c>
      <c r="E734">
        <v>164</v>
      </c>
      <c r="F734" s="2">
        <v>45689</v>
      </c>
      <c r="G734" s="2">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ht="18" x14ac:dyDescent="0.5">
      <c r="A735" t="s">
        <v>828</v>
      </c>
      <c r="B735" t="s">
        <v>42</v>
      </c>
      <c r="C735">
        <v>10</v>
      </c>
      <c r="D735">
        <v>35.700000000000003</v>
      </c>
      <c r="E735">
        <v>357</v>
      </c>
      <c r="F735" s="2">
        <v>45689</v>
      </c>
      <c r="G735" s="2">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ht="18" x14ac:dyDescent="0.5">
      <c r="A736" t="s">
        <v>829</v>
      </c>
      <c r="B736" t="s">
        <v>46</v>
      </c>
      <c r="C736">
        <v>2</v>
      </c>
      <c r="D736">
        <v>54.6</v>
      </c>
      <c r="E736">
        <v>109.2</v>
      </c>
      <c r="F736" s="2">
        <v>45689</v>
      </c>
      <c r="G736" s="2">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ht="18" x14ac:dyDescent="0.5">
      <c r="A737" t="s">
        <v>830</v>
      </c>
      <c r="B737" t="s">
        <v>44</v>
      </c>
      <c r="C737">
        <v>2</v>
      </c>
      <c r="D737">
        <v>35.700000000000003</v>
      </c>
      <c r="E737">
        <v>71.400000000000006</v>
      </c>
      <c r="F737" s="2">
        <v>45689</v>
      </c>
      <c r="G737" s="2">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ht="18" x14ac:dyDescent="0.5">
      <c r="A738" t="s">
        <v>831</v>
      </c>
      <c r="B738" t="s">
        <v>54</v>
      </c>
      <c r="C738">
        <v>2</v>
      </c>
      <c r="D738">
        <v>52.4</v>
      </c>
      <c r="E738">
        <v>104.8</v>
      </c>
      <c r="F738" s="2">
        <v>45689</v>
      </c>
      <c r="G738" s="2">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ht="18" x14ac:dyDescent="0.5">
      <c r="A739" t="s">
        <v>832</v>
      </c>
      <c r="B739" t="s">
        <v>44</v>
      </c>
      <c r="C739">
        <v>14</v>
      </c>
      <c r="D739">
        <v>16.2</v>
      </c>
      <c r="E739">
        <v>226.79999999999998</v>
      </c>
      <c r="F739" s="2">
        <v>45689</v>
      </c>
      <c r="G739" s="2">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ht="18" x14ac:dyDescent="0.5">
      <c r="A740" t="s">
        <v>833</v>
      </c>
      <c r="B740" t="s">
        <v>39</v>
      </c>
      <c r="C740">
        <v>47</v>
      </c>
      <c r="D740">
        <v>42.8</v>
      </c>
      <c r="E740">
        <v>2011.6</v>
      </c>
      <c r="F740" s="2">
        <v>45689</v>
      </c>
      <c r="G740" s="2">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ht="18" x14ac:dyDescent="0.5">
      <c r="A741" t="s">
        <v>834</v>
      </c>
      <c r="B741" t="s">
        <v>39</v>
      </c>
      <c r="C741">
        <v>9</v>
      </c>
      <c r="D741">
        <v>144.4</v>
      </c>
      <c r="E741">
        <v>1299.6000000000001</v>
      </c>
      <c r="F741" s="2">
        <v>45689</v>
      </c>
      <c r="G741" s="2">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ht="18" x14ac:dyDescent="0.5">
      <c r="A742" t="s">
        <v>835</v>
      </c>
      <c r="B742" t="s">
        <v>30</v>
      </c>
      <c r="C742">
        <v>36</v>
      </c>
      <c r="D742">
        <v>30.6</v>
      </c>
      <c r="E742">
        <v>1101.6000000000001</v>
      </c>
      <c r="F742" s="2">
        <v>45689</v>
      </c>
      <c r="G742" s="2">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ht="18" x14ac:dyDescent="0.5">
      <c r="A743" t="s">
        <v>836</v>
      </c>
      <c r="B743" t="s">
        <v>26</v>
      </c>
      <c r="C743">
        <v>2</v>
      </c>
      <c r="D743">
        <v>117.5</v>
      </c>
      <c r="E743">
        <v>235</v>
      </c>
      <c r="F743" s="2">
        <v>45689</v>
      </c>
      <c r="G743" s="2">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ht="18" x14ac:dyDescent="0.5">
      <c r="A744" t="s">
        <v>837</v>
      </c>
      <c r="B744" t="s">
        <v>39</v>
      </c>
      <c r="C744">
        <v>2</v>
      </c>
      <c r="D744">
        <v>105.7</v>
      </c>
      <c r="E744">
        <v>211.4</v>
      </c>
      <c r="F744" s="2">
        <v>45689</v>
      </c>
      <c r="G744" s="2">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ht="18" x14ac:dyDescent="0.5">
      <c r="A745" t="s">
        <v>838</v>
      </c>
      <c r="B745" t="s">
        <v>30</v>
      </c>
      <c r="C745">
        <v>3</v>
      </c>
      <c r="D745">
        <v>133.69999999999999</v>
      </c>
      <c r="E745">
        <v>401.09999999999997</v>
      </c>
      <c r="F745" s="2">
        <v>45689</v>
      </c>
      <c r="G745" s="2">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ht="18" x14ac:dyDescent="0.5">
      <c r="A746" t="s">
        <v>839</v>
      </c>
      <c r="B746" t="s">
        <v>32</v>
      </c>
      <c r="C746">
        <v>5</v>
      </c>
      <c r="D746">
        <v>46.8</v>
      </c>
      <c r="E746">
        <v>234</v>
      </c>
      <c r="F746" s="2">
        <v>45690</v>
      </c>
      <c r="G746" s="2">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ht="18" x14ac:dyDescent="0.5">
      <c r="A747" t="s">
        <v>840</v>
      </c>
      <c r="B747" t="s">
        <v>54</v>
      </c>
      <c r="C747">
        <v>3</v>
      </c>
      <c r="D747">
        <v>58.4</v>
      </c>
      <c r="E747">
        <v>175.2</v>
      </c>
      <c r="F747" s="2">
        <v>45690</v>
      </c>
      <c r="G747" s="2">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ht="18" x14ac:dyDescent="0.5">
      <c r="A748" t="s">
        <v>841</v>
      </c>
      <c r="B748" t="s">
        <v>39</v>
      </c>
      <c r="C748">
        <v>9</v>
      </c>
      <c r="D748">
        <v>65.099999999999994</v>
      </c>
      <c r="E748">
        <v>585.9</v>
      </c>
      <c r="F748" s="2">
        <v>45690</v>
      </c>
      <c r="G748" s="2">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ht="18" x14ac:dyDescent="0.5">
      <c r="A749" t="s">
        <v>842</v>
      </c>
      <c r="B749" t="s">
        <v>44</v>
      </c>
      <c r="C749">
        <v>1</v>
      </c>
      <c r="D749">
        <v>18.600000000000001</v>
      </c>
      <c r="E749">
        <v>18.600000000000001</v>
      </c>
      <c r="F749" s="2">
        <v>45690</v>
      </c>
      <c r="G749" s="2">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ht="18" x14ac:dyDescent="0.5">
      <c r="A750" t="s">
        <v>843</v>
      </c>
      <c r="B750" t="s">
        <v>22</v>
      </c>
      <c r="C750">
        <v>11</v>
      </c>
      <c r="D750">
        <v>92.3</v>
      </c>
      <c r="E750">
        <v>1015.3</v>
      </c>
      <c r="F750" s="2">
        <v>45690</v>
      </c>
      <c r="G750" s="2">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ht="18" x14ac:dyDescent="0.5">
      <c r="A751" t="s">
        <v>844</v>
      </c>
      <c r="B751" t="s">
        <v>39</v>
      </c>
      <c r="C751">
        <v>3</v>
      </c>
      <c r="D751">
        <v>81.7</v>
      </c>
      <c r="E751">
        <v>245.10000000000002</v>
      </c>
      <c r="F751" s="2">
        <v>45690</v>
      </c>
      <c r="G751" s="2">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ht="18" x14ac:dyDescent="0.5">
      <c r="A752" t="s">
        <v>845</v>
      </c>
      <c r="B752" t="s">
        <v>44</v>
      </c>
      <c r="C752">
        <v>2</v>
      </c>
      <c r="D752">
        <v>40.9</v>
      </c>
      <c r="E752">
        <v>81.8</v>
      </c>
      <c r="F752" s="2">
        <v>45690</v>
      </c>
      <c r="G752" s="2">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ht="18" x14ac:dyDescent="0.5">
      <c r="A753" t="s">
        <v>846</v>
      </c>
      <c r="B753" t="s">
        <v>39</v>
      </c>
      <c r="C753">
        <v>4</v>
      </c>
      <c r="D753">
        <v>43.2</v>
      </c>
      <c r="E753">
        <v>172.8</v>
      </c>
      <c r="F753" s="2">
        <v>45690</v>
      </c>
      <c r="G753" s="2">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ht="18" x14ac:dyDescent="0.5">
      <c r="A754" t="s">
        <v>847</v>
      </c>
      <c r="B754" t="s">
        <v>44</v>
      </c>
      <c r="C754">
        <v>11</v>
      </c>
      <c r="D754">
        <v>25.8</v>
      </c>
      <c r="E754">
        <v>283.8</v>
      </c>
      <c r="F754" s="2">
        <v>45690</v>
      </c>
      <c r="G754" s="2">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ht="18" x14ac:dyDescent="0.5">
      <c r="A755" t="s">
        <v>848</v>
      </c>
      <c r="B755" t="s">
        <v>123</v>
      </c>
      <c r="C755">
        <v>4</v>
      </c>
      <c r="D755">
        <v>36.4</v>
      </c>
      <c r="E755">
        <v>145.6</v>
      </c>
      <c r="F755" s="2">
        <v>45690</v>
      </c>
      <c r="G755" s="2">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ht="18" x14ac:dyDescent="0.5">
      <c r="A756" t="s">
        <v>849</v>
      </c>
      <c r="B756" t="s">
        <v>54</v>
      </c>
      <c r="C756">
        <v>1</v>
      </c>
      <c r="D756">
        <v>59.1</v>
      </c>
      <c r="E756">
        <v>59.1</v>
      </c>
      <c r="F756" s="2">
        <v>45690</v>
      </c>
      <c r="G756" s="2">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ht="18" x14ac:dyDescent="0.5">
      <c r="A757" t="s">
        <v>850</v>
      </c>
      <c r="B757" t="s">
        <v>26</v>
      </c>
      <c r="C757">
        <v>17</v>
      </c>
      <c r="D757">
        <v>74.5</v>
      </c>
      <c r="E757">
        <v>1266.5</v>
      </c>
      <c r="F757" s="2">
        <v>45690</v>
      </c>
      <c r="G757" s="2">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ht="18" x14ac:dyDescent="0.5">
      <c r="A758" t="s">
        <v>851</v>
      </c>
      <c r="B758" t="s">
        <v>37</v>
      </c>
      <c r="C758">
        <v>1</v>
      </c>
      <c r="D758">
        <v>72.8</v>
      </c>
      <c r="E758">
        <v>72.8</v>
      </c>
      <c r="F758" s="2">
        <v>45690</v>
      </c>
      <c r="G758" s="2">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ht="18" x14ac:dyDescent="0.5">
      <c r="A759" t="s">
        <v>852</v>
      </c>
      <c r="B759" t="s">
        <v>39</v>
      </c>
      <c r="C759">
        <v>4</v>
      </c>
      <c r="D759">
        <v>137.30000000000001</v>
      </c>
      <c r="E759">
        <v>549.20000000000005</v>
      </c>
      <c r="F759" s="2">
        <v>45690</v>
      </c>
      <c r="G759" s="2">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ht="18" x14ac:dyDescent="0.5">
      <c r="A760" t="s">
        <v>853</v>
      </c>
      <c r="B760" t="s">
        <v>22</v>
      </c>
      <c r="C760">
        <v>3</v>
      </c>
      <c r="D760">
        <v>48.7</v>
      </c>
      <c r="E760">
        <v>146.10000000000002</v>
      </c>
      <c r="F760" s="2">
        <v>45690</v>
      </c>
      <c r="G760" s="2">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ht="18" x14ac:dyDescent="0.5">
      <c r="A761" t="s">
        <v>854</v>
      </c>
      <c r="B761" t="s">
        <v>39</v>
      </c>
      <c r="C761">
        <v>4</v>
      </c>
      <c r="D761">
        <v>53.7</v>
      </c>
      <c r="E761">
        <v>214.8</v>
      </c>
      <c r="F761" s="2">
        <v>45690</v>
      </c>
      <c r="G761" s="2">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ht="18" x14ac:dyDescent="0.5">
      <c r="A762" t="s">
        <v>855</v>
      </c>
      <c r="B762" t="s">
        <v>26</v>
      </c>
      <c r="C762">
        <v>7</v>
      </c>
      <c r="D762">
        <v>100.9</v>
      </c>
      <c r="E762">
        <v>706.30000000000007</v>
      </c>
      <c r="F762" s="2">
        <v>45690</v>
      </c>
      <c r="G762" s="2">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ht="18" x14ac:dyDescent="0.5">
      <c r="A763" t="s">
        <v>856</v>
      </c>
      <c r="B763" t="s">
        <v>54</v>
      </c>
      <c r="C763">
        <v>2</v>
      </c>
      <c r="D763">
        <v>41.8</v>
      </c>
      <c r="E763">
        <v>83.6</v>
      </c>
      <c r="F763" s="2">
        <v>45690</v>
      </c>
      <c r="G763" s="2">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ht="18" x14ac:dyDescent="0.5">
      <c r="A764" t="s">
        <v>857</v>
      </c>
      <c r="B764" t="s">
        <v>32</v>
      </c>
      <c r="C764">
        <v>8</v>
      </c>
      <c r="D764">
        <v>28.5</v>
      </c>
      <c r="E764">
        <v>228</v>
      </c>
      <c r="F764" s="2">
        <v>45690</v>
      </c>
      <c r="G764" s="2">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ht="18" x14ac:dyDescent="0.5">
      <c r="A765" t="s">
        <v>858</v>
      </c>
      <c r="B765" t="s">
        <v>42</v>
      </c>
      <c r="C765">
        <v>4</v>
      </c>
      <c r="D765">
        <v>88.9</v>
      </c>
      <c r="E765">
        <v>355.6</v>
      </c>
      <c r="F765" s="2">
        <v>45690</v>
      </c>
      <c r="G765" s="2">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ht="18" x14ac:dyDescent="0.5">
      <c r="A766" t="s">
        <v>859</v>
      </c>
      <c r="B766" t="s">
        <v>39</v>
      </c>
      <c r="C766">
        <v>1</v>
      </c>
      <c r="D766">
        <v>62.5</v>
      </c>
      <c r="E766">
        <v>62.5</v>
      </c>
      <c r="F766" s="2">
        <v>45690</v>
      </c>
      <c r="G766" s="2">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ht="18" x14ac:dyDescent="0.5">
      <c r="A767" t="s">
        <v>860</v>
      </c>
      <c r="B767" t="s">
        <v>22</v>
      </c>
      <c r="C767">
        <v>3</v>
      </c>
      <c r="D767">
        <v>46.9</v>
      </c>
      <c r="E767">
        <v>140.69999999999999</v>
      </c>
      <c r="F767" s="2">
        <v>45690</v>
      </c>
      <c r="G767" s="2">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ht="18" x14ac:dyDescent="0.5">
      <c r="A768" t="s">
        <v>861</v>
      </c>
      <c r="B768" t="s">
        <v>44</v>
      </c>
      <c r="C768">
        <v>3</v>
      </c>
      <c r="D768">
        <v>45</v>
      </c>
      <c r="E768">
        <v>135</v>
      </c>
      <c r="F768" s="2">
        <v>45690</v>
      </c>
      <c r="G768" s="2">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ht="18" x14ac:dyDescent="0.5">
      <c r="A769" t="s">
        <v>862</v>
      </c>
      <c r="B769" t="s">
        <v>39</v>
      </c>
      <c r="C769">
        <v>3</v>
      </c>
      <c r="D769">
        <v>45.2</v>
      </c>
      <c r="E769">
        <v>135.60000000000002</v>
      </c>
      <c r="F769" s="2">
        <v>45690</v>
      </c>
      <c r="G769" s="2">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ht="18" x14ac:dyDescent="0.5">
      <c r="A770" t="s">
        <v>863</v>
      </c>
      <c r="B770" t="s">
        <v>32</v>
      </c>
      <c r="C770">
        <v>2</v>
      </c>
      <c r="D770">
        <v>60.1</v>
      </c>
      <c r="E770">
        <v>120.2</v>
      </c>
      <c r="F770" s="2">
        <v>45690</v>
      </c>
      <c r="G770" s="2">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ht="18" x14ac:dyDescent="0.5">
      <c r="A771" t="s">
        <v>864</v>
      </c>
      <c r="B771" t="s">
        <v>69</v>
      </c>
      <c r="C771">
        <v>4</v>
      </c>
      <c r="D771">
        <v>118.7</v>
      </c>
      <c r="E771">
        <v>474.8</v>
      </c>
      <c r="F771" s="2">
        <v>45690</v>
      </c>
      <c r="G771" s="2">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ht="18" x14ac:dyDescent="0.5">
      <c r="A772" t="s">
        <v>865</v>
      </c>
      <c r="B772" t="s">
        <v>46</v>
      </c>
      <c r="C772">
        <v>1</v>
      </c>
      <c r="D772">
        <v>57.8</v>
      </c>
      <c r="E772">
        <v>57.8</v>
      </c>
      <c r="F772" s="2">
        <v>45690</v>
      </c>
      <c r="G772" s="2">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ht="18" x14ac:dyDescent="0.5">
      <c r="A773" t="s">
        <v>866</v>
      </c>
      <c r="B773" t="s">
        <v>32</v>
      </c>
      <c r="C773">
        <v>1</v>
      </c>
      <c r="D773">
        <v>19.5</v>
      </c>
      <c r="E773">
        <v>19.5</v>
      </c>
      <c r="F773" s="2">
        <v>45690</v>
      </c>
      <c r="G773" s="2">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ht="18" x14ac:dyDescent="0.5">
      <c r="A774" t="s">
        <v>867</v>
      </c>
      <c r="B774" t="s">
        <v>69</v>
      </c>
      <c r="C774">
        <v>1</v>
      </c>
      <c r="D774">
        <v>42.6</v>
      </c>
      <c r="E774">
        <v>42.6</v>
      </c>
      <c r="F774" s="2">
        <v>45690</v>
      </c>
      <c r="G774" s="2">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ht="18" x14ac:dyDescent="0.5">
      <c r="A775" t="s">
        <v>868</v>
      </c>
      <c r="B775" t="s">
        <v>39</v>
      </c>
      <c r="C775">
        <v>2</v>
      </c>
      <c r="D775">
        <v>74.8</v>
      </c>
      <c r="E775">
        <v>149.6</v>
      </c>
      <c r="F775" s="2">
        <v>45690</v>
      </c>
      <c r="G775" s="2">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ht="18" x14ac:dyDescent="0.5">
      <c r="A776" t="s">
        <v>869</v>
      </c>
      <c r="B776" t="s">
        <v>44</v>
      </c>
      <c r="C776">
        <v>3</v>
      </c>
      <c r="D776">
        <v>32.5</v>
      </c>
      <c r="E776">
        <v>97.5</v>
      </c>
      <c r="F776" s="2">
        <v>45690</v>
      </c>
      <c r="G776" s="2">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ht="18" x14ac:dyDescent="0.5">
      <c r="A777" t="s">
        <v>870</v>
      </c>
      <c r="B777" t="s">
        <v>26</v>
      </c>
      <c r="C777">
        <v>3</v>
      </c>
      <c r="D777">
        <v>60.5</v>
      </c>
      <c r="E777">
        <v>181.5</v>
      </c>
      <c r="F777" s="2">
        <v>45690</v>
      </c>
      <c r="G777" s="2">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ht="18" x14ac:dyDescent="0.5">
      <c r="A778" t="s">
        <v>871</v>
      </c>
      <c r="B778" t="s">
        <v>22</v>
      </c>
      <c r="C778">
        <v>7</v>
      </c>
      <c r="D778">
        <v>57.2</v>
      </c>
      <c r="E778">
        <v>400.40000000000003</v>
      </c>
      <c r="F778" s="2">
        <v>45690</v>
      </c>
      <c r="G778" s="2">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ht="18" x14ac:dyDescent="0.5">
      <c r="A779" t="s">
        <v>872</v>
      </c>
      <c r="B779" t="s">
        <v>128</v>
      </c>
      <c r="C779">
        <v>2</v>
      </c>
      <c r="D779">
        <v>112</v>
      </c>
      <c r="E779">
        <v>224</v>
      </c>
      <c r="F779" s="2">
        <v>45690</v>
      </c>
      <c r="G779" s="2">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ht="18" x14ac:dyDescent="0.5">
      <c r="A780" t="s">
        <v>873</v>
      </c>
      <c r="B780" t="s">
        <v>42</v>
      </c>
      <c r="C780">
        <v>10</v>
      </c>
      <c r="D780">
        <v>49</v>
      </c>
      <c r="E780">
        <v>490</v>
      </c>
      <c r="F780" s="2">
        <v>45690</v>
      </c>
      <c r="G780" s="2">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ht="18" x14ac:dyDescent="0.5">
      <c r="A781" t="s">
        <v>874</v>
      </c>
      <c r="B781" t="s">
        <v>16</v>
      </c>
      <c r="C781">
        <v>2</v>
      </c>
      <c r="D781">
        <v>33.700000000000003</v>
      </c>
      <c r="E781">
        <v>67.400000000000006</v>
      </c>
      <c r="F781" s="2">
        <v>45690</v>
      </c>
      <c r="G781" s="2">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ht="18" x14ac:dyDescent="0.5">
      <c r="A782" t="s">
        <v>875</v>
      </c>
      <c r="B782" t="s">
        <v>32</v>
      </c>
      <c r="C782">
        <v>3</v>
      </c>
      <c r="D782">
        <v>35.6</v>
      </c>
      <c r="E782">
        <v>106.80000000000001</v>
      </c>
      <c r="F782" s="2">
        <v>45690</v>
      </c>
      <c r="G782" s="2">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ht="18" x14ac:dyDescent="0.5">
      <c r="A783" t="s">
        <v>876</v>
      </c>
      <c r="B783" t="s">
        <v>32</v>
      </c>
      <c r="C783">
        <v>35</v>
      </c>
      <c r="D783">
        <v>30.4</v>
      </c>
      <c r="E783">
        <v>1064</v>
      </c>
      <c r="F783" s="2">
        <v>45691</v>
      </c>
      <c r="G783" s="2">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ht="18" x14ac:dyDescent="0.5">
      <c r="A784" t="s">
        <v>877</v>
      </c>
      <c r="B784" t="s">
        <v>54</v>
      </c>
      <c r="C784">
        <v>12</v>
      </c>
      <c r="D784">
        <v>50.2</v>
      </c>
      <c r="E784">
        <v>602.40000000000009</v>
      </c>
      <c r="F784" s="2">
        <v>45691</v>
      </c>
      <c r="G784" s="2">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ht="18" x14ac:dyDescent="0.5">
      <c r="A785" t="s">
        <v>878</v>
      </c>
      <c r="B785" t="s">
        <v>22</v>
      </c>
      <c r="C785">
        <v>2</v>
      </c>
      <c r="D785">
        <v>43.7</v>
      </c>
      <c r="E785">
        <v>87.4</v>
      </c>
      <c r="F785" s="2">
        <v>45691</v>
      </c>
      <c r="G785" s="2">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ht="18" x14ac:dyDescent="0.5">
      <c r="A786" t="s">
        <v>879</v>
      </c>
      <c r="B786" t="s">
        <v>54</v>
      </c>
      <c r="C786">
        <v>1</v>
      </c>
      <c r="D786">
        <v>33.299999999999997</v>
      </c>
      <c r="E786">
        <v>33.299999999999997</v>
      </c>
      <c r="F786" s="2">
        <v>45691</v>
      </c>
      <c r="G786" s="2">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ht="18" x14ac:dyDescent="0.5">
      <c r="A787" t="s">
        <v>880</v>
      </c>
      <c r="B787" t="s">
        <v>44</v>
      </c>
      <c r="C787">
        <v>4</v>
      </c>
      <c r="D787">
        <v>15.1</v>
      </c>
      <c r="E787">
        <v>60.4</v>
      </c>
      <c r="F787" s="2">
        <v>45691</v>
      </c>
      <c r="G787" s="2">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ht="18" x14ac:dyDescent="0.5">
      <c r="A788" t="s">
        <v>881</v>
      </c>
      <c r="B788" t="s">
        <v>39</v>
      </c>
      <c r="C788">
        <v>5</v>
      </c>
      <c r="D788">
        <v>118.2</v>
      </c>
      <c r="E788">
        <v>591</v>
      </c>
      <c r="F788" s="2">
        <v>45691</v>
      </c>
      <c r="G788" s="2">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ht="18" x14ac:dyDescent="0.5">
      <c r="A789" t="s">
        <v>882</v>
      </c>
      <c r="B789" t="s">
        <v>54</v>
      </c>
      <c r="C789">
        <v>3</v>
      </c>
      <c r="D789">
        <v>28.9</v>
      </c>
      <c r="E789">
        <v>86.699999999999989</v>
      </c>
      <c r="F789" s="2">
        <v>45691</v>
      </c>
      <c r="G789" s="2">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ht="18" x14ac:dyDescent="0.5">
      <c r="A790" t="s">
        <v>883</v>
      </c>
      <c r="B790" t="s">
        <v>32</v>
      </c>
      <c r="C790">
        <v>3</v>
      </c>
      <c r="D790">
        <v>55.6</v>
      </c>
      <c r="E790">
        <v>166.8</v>
      </c>
      <c r="F790" s="2">
        <v>45691</v>
      </c>
      <c r="G790" s="2">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ht="18" x14ac:dyDescent="0.5">
      <c r="A791" t="s">
        <v>884</v>
      </c>
      <c r="B791" t="s">
        <v>46</v>
      </c>
      <c r="C791">
        <v>4</v>
      </c>
      <c r="D791">
        <v>25.6</v>
      </c>
      <c r="E791">
        <v>102.4</v>
      </c>
      <c r="F791" s="2">
        <v>45691</v>
      </c>
      <c r="G791" s="2">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ht="18" x14ac:dyDescent="0.5">
      <c r="A792" t="s">
        <v>885</v>
      </c>
      <c r="B792" t="s">
        <v>42</v>
      </c>
      <c r="C792">
        <v>3</v>
      </c>
      <c r="D792">
        <v>31.3</v>
      </c>
      <c r="E792">
        <v>93.9</v>
      </c>
      <c r="F792" s="2">
        <v>45691</v>
      </c>
      <c r="G792" s="2">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ht="18" x14ac:dyDescent="0.5">
      <c r="A793" t="s">
        <v>886</v>
      </c>
      <c r="B793" t="s">
        <v>16</v>
      </c>
      <c r="C793">
        <v>3</v>
      </c>
      <c r="D793">
        <v>22.1</v>
      </c>
      <c r="E793">
        <v>66.300000000000011</v>
      </c>
      <c r="F793" s="2">
        <v>45691</v>
      </c>
      <c r="G793" s="2">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ht="18" x14ac:dyDescent="0.5">
      <c r="A794" t="s">
        <v>887</v>
      </c>
      <c r="B794" t="s">
        <v>26</v>
      </c>
      <c r="C794">
        <v>14</v>
      </c>
      <c r="D794">
        <v>99.4</v>
      </c>
      <c r="E794">
        <v>1391.6000000000001</v>
      </c>
      <c r="F794" s="2">
        <v>45691</v>
      </c>
      <c r="G794" s="2">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ht="18" x14ac:dyDescent="0.5">
      <c r="A795" t="s">
        <v>888</v>
      </c>
      <c r="B795" t="s">
        <v>42</v>
      </c>
      <c r="C795">
        <v>6</v>
      </c>
      <c r="D795">
        <v>66.599999999999994</v>
      </c>
      <c r="E795">
        <v>399.59999999999997</v>
      </c>
      <c r="F795" s="2">
        <v>45691</v>
      </c>
      <c r="G795" s="2">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ht="18" x14ac:dyDescent="0.5">
      <c r="A796" t="s">
        <v>889</v>
      </c>
      <c r="B796" t="s">
        <v>44</v>
      </c>
      <c r="C796">
        <v>2</v>
      </c>
      <c r="D796">
        <v>22.6</v>
      </c>
      <c r="E796">
        <v>45.2</v>
      </c>
      <c r="F796" s="2">
        <v>45691</v>
      </c>
      <c r="G796" s="2">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ht="18" x14ac:dyDescent="0.5">
      <c r="A797" t="s">
        <v>890</v>
      </c>
      <c r="B797" t="s">
        <v>26</v>
      </c>
      <c r="C797">
        <v>18</v>
      </c>
      <c r="D797">
        <v>66.8</v>
      </c>
      <c r="E797">
        <v>1202.3999999999999</v>
      </c>
      <c r="F797" s="2">
        <v>45691</v>
      </c>
      <c r="G797" s="2">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ht="18" x14ac:dyDescent="0.5">
      <c r="A798" t="s">
        <v>891</v>
      </c>
      <c r="B798" t="s">
        <v>16</v>
      </c>
      <c r="C798">
        <v>4</v>
      </c>
      <c r="D798">
        <v>20.8</v>
      </c>
      <c r="E798">
        <v>83.2</v>
      </c>
      <c r="F798" s="2">
        <v>45691</v>
      </c>
      <c r="G798" s="2">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ht="18" x14ac:dyDescent="0.5">
      <c r="A799" t="s">
        <v>892</v>
      </c>
      <c r="B799" t="s">
        <v>26</v>
      </c>
      <c r="C799">
        <v>7</v>
      </c>
      <c r="D799">
        <v>102.5</v>
      </c>
      <c r="E799">
        <v>717.5</v>
      </c>
      <c r="F799" s="2">
        <v>45691</v>
      </c>
      <c r="G799" s="2">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ht="18" x14ac:dyDescent="0.5">
      <c r="A800" t="s">
        <v>893</v>
      </c>
      <c r="B800" t="s">
        <v>16</v>
      </c>
      <c r="C800">
        <v>18</v>
      </c>
      <c r="D800">
        <v>24.8</v>
      </c>
      <c r="E800">
        <v>446.40000000000003</v>
      </c>
      <c r="F800" s="2">
        <v>45691</v>
      </c>
      <c r="G800" s="2">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ht="18" x14ac:dyDescent="0.5">
      <c r="A801" t="s">
        <v>894</v>
      </c>
      <c r="B801" t="s">
        <v>32</v>
      </c>
      <c r="C801">
        <v>31</v>
      </c>
      <c r="D801">
        <v>31.4</v>
      </c>
      <c r="E801">
        <v>973.4</v>
      </c>
      <c r="F801" s="2">
        <v>45691</v>
      </c>
      <c r="G801" s="2">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ht="18" x14ac:dyDescent="0.5">
      <c r="A802" t="s">
        <v>895</v>
      </c>
      <c r="B802" t="s">
        <v>46</v>
      </c>
      <c r="C802">
        <v>5</v>
      </c>
      <c r="D802">
        <v>59.3</v>
      </c>
      <c r="E802">
        <v>296.5</v>
      </c>
      <c r="F802" s="2">
        <v>45691</v>
      </c>
      <c r="G802" s="2">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ht="18" x14ac:dyDescent="0.5">
      <c r="A803" t="s">
        <v>896</v>
      </c>
      <c r="B803" t="s">
        <v>67</v>
      </c>
      <c r="C803">
        <v>6</v>
      </c>
      <c r="D803">
        <v>39</v>
      </c>
      <c r="E803">
        <v>234</v>
      </c>
      <c r="F803" s="2">
        <v>45691</v>
      </c>
      <c r="G803" s="2">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ht="18" x14ac:dyDescent="0.5">
      <c r="A804" t="s">
        <v>897</v>
      </c>
      <c r="B804" t="s">
        <v>37</v>
      </c>
      <c r="C804">
        <v>6</v>
      </c>
      <c r="D804">
        <v>98.6</v>
      </c>
      <c r="E804">
        <v>591.59999999999991</v>
      </c>
      <c r="F804" s="2">
        <v>45691</v>
      </c>
      <c r="G804" s="2">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ht="18" x14ac:dyDescent="0.5">
      <c r="A805" t="s">
        <v>898</v>
      </c>
      <c r="B805" t="s">
        <v>44</v>
      </c>
      <c r="C805">
        <v>1</v>
      </c>
      <c r="D805">
        <v>20</v>
      </c>
      <c r="E805">
        <v>20</v>
      </c>
      <c r="F805" s="2">
        <v>45692</v>
      </c>
      <c r="G805" s="2">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ht="18" x14ac:dyDescent="0.5">
      <c r="A806" t="s">
        <v>899</v>
      </c>
      <c r="B806" t="s">
        <v>22</v>
      </c>
      <c r="C806">
        <v>2</v>
      </c>
      <c r="D806">
        <v>42.9</v>
      </c>
      <c r="E806">
        <v>85.8</v>
      </c>
      <c r="F806" s="2">
        <v>45692</v>
      </c>
      <c r="G806" s="2">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ht="18" x14ac:dyDescent="0.5">
      <c r="A807" t="s">
        <v>900</v>
      </c>
      <c r="B807" t="s">
        <v>42</v>
      </c>
      <c r="C807">
        <v>7</v>
      </c>
      <c r="D807">
        <v>55.6</v>
      </c>
      <c r="E807">
        <v>389.2</v>
      </c>
      <c r="F807" s="2">
        <v>45692</v>
      </c>
      <c r="G807" s="2">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ht="18" x14ac:dyDescent="0.5">
      <c r="A808" t="s">
        <v>901</v>
      </c>
      <c r="B808" t="s">
        <v>44</v>
      </c>
      <c r="C808">
        <v>4</v>
      </c>
      <c r="D808">
        <v>19.2</v>
      </c>
      <c r="E808">
        <v>76.8</v>
      </c>
      <c r="F808" s="2">
        <v>45692</v>
      </c>
      <c r="G808" s="2">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ht="18" x14ac:dyDescent="0.5">
      <c r="A809" t="s">
        <v>902</v>
      </c>
      <c r="B809" t="s">
        <v>37</v>
      </c>
      <c r="C809">
        <v>2</v>
      </c>
      <c r="D809">
        <v>28.8</v>
      </c>
      <c r="E809">
        <v>57.6</v>
      </c>
      <c r="F809" s="2">
        <v>45692</v>
      </c>
      <c r="G809" s="2">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ht="18" x14ac:dyDescent="0.5">
      <c r="A810" t="s">
        <v>903</v>
      </c>
      <c r="B810" t="s">
        <v>32</v>
      </c>
      <c r="C810">
        <v>1</v>
      </c>
      <c r="D810">
        <v>29.7</v>
      </c>
      <c r="E810">
        <v>29.7</v>
      </c>
      <c r="F810" s="2">
        <v>45692</v>
      </c>
      <c r="G810" s="2">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ht="18" x14ac:dyDescent="0.5">
      <c r="A811" t="s">
        <v>904</v>
      </c>
      <c r="B811" t="s">
        <v>39</v>
      </c>
      <c r="C811">
        <v>6</v>
      </c>
      <c r="D811">
        <v>63.3</v>
      </c>
      <c r="E811">
        <v>379.79999999999995</v>
      </c>
      <c r="F811" s="2">
        <v>45692</v>
      </c>
      <c r="G811" s="2">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ht="18" x14ac:dyDescent="0.5">
      <c r="A812" t="s">
        <v>905</v>
      </c>
      <c r="B812" t="s">
        <v>32</v>
      </c>
      <c r="C812">
        <v>1</v>
      </c>
      <c r="D812">
        <v>46</v>
      </c>
      <c r="E812">
        <v>46</v>
      </c>
      <c r="F812" s="2">
        <v>45692</v>
      </c>
      <c r="G812" s="2">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ht="18" x14ac:dyDescent="0.5">
      <c r="A813" t="s">
        <v>906</v>
      </c>
      <c r="B813" t="s">
        <v>67</v>
      </c>
      <c r="C813">
        <v>3</v>
      </c>
      <c r="D813">
        <v>38</v>
      </c>
      <c r="E813">
        <v>114</v>
      </c>
      <c r="F813" s="2">
        <v>45692</v>
      </c>
      <c r="G813" s="2">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ht="18" x14ac:dyDescent="0.5">
      <c r="A814" t="s">
        <v>907</v>
      </c>
      <c r="B814" t="s">
        <v>54</v>
      </c>
      <c r="C814">
        <v>13</v>
      </c>
      <c r="D814">
        <v>34.6</v>
      </c>
      <c r="E814">
        <v>449.8</v>
      </c>
      <c r="F814" s="2">
        <v>45692</v>
      </c>
      <c r="G814" s="2">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ht="18" x14ac:dyDescent="0.5">
      <c r="A815" t="s">
        <v>908</v>
      </c>
      <c r="B815" t="s">
        <v>30</v>
      </c>
      <c r="C815">
        <v>10</v>
      </c>
      <c r="D815">
        <v>79.7</v>
      </c>
      <c r="E815">
        <v>797</v>
      </c>
      <c r="F815" s="2">
        <v>45692</v>
      </c>
      <c r="G815" s="2">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ht="18" x14ac:dyDescent="0.5">
      <c r="A816" t="s">
        <v>909</v>
      </c>
      <c r="B816" t="s">
        <v>44</v>
      </c>
      <c r="C816">
        <v>8</v>
      </c>
      <c r="D816">
        <v>30.5</v>
      </c>
      <c r="E816">
        <v>244</v>
      </c>
      <c r="F816" s="2">
        <v>45692</v>
      </c>
      <c r="G816" s="2">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ht="18" x14ac:dyDescent="0.5">
      <c r="A817" t="s">
        <v>910</v>
      </c>
      <c r="B817" t="s">
        <v>16</v>
      </c>
      <c r="C817">
        <v>2</v>
      </c>
      <c r="D817">
        <v>20.8</v>
      </c>
      <c r="E817">
        <v>41.6</v>
      </c>
      <c r="F817" s="2">
        <v>45692</v>
      </c>
      <c r="G817" s="2">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ht="18" x14ac:dyDescent="0.5">
      <c r="A818" t="s">
        <v>911</v>
      </c>
      <c r="B818" t="s">
        <v>67</v>
      </c>
      <c r="C818">
        <v>7</v>
      </c>
      <c r="D818">
        <v>48.5</v>
      </c>
      <c r="E818">
        <v>339.5</v>
      </c>
      <c r="F818" s="2">
        <v>45692</v>
      </c>
      <c r="G818" s="2">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ht="18" x14ac:dyDescent="0.5">
      <c r="A819" t="s">
        <v>912</v>
      </c>
      <c r="B819" t="s">
        <v>26</v>
      </c>
      <c r="C819">
        <v>4</v>
      </c>
      <c r="D819">
        <v>61.8</v>
      </c>
      <c r="E819">
        <v>247.2</v>
      </c>
      <c r="F819" s="2">
        <v>45692</v>
      </c>
      <c r="G819" s="2">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ht="18" x14ac:dyDescent="0.5">
      <c r="A820" t="s">
        <v>913</v>
      </c>
      <c r="B820" t="s">
        <v>54</v>
      </c>
      <c r="C820">
        <v>1</v>
      </c>
      <c r="D820">
        <v>46.1</v>
      </c>
      <c r="E820">
        <v>46.1</v>
      </c>
      <c r="F820" s="2">
        <v>45692</v>
      </c>
      <c r="G820" s="2">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ht="18" x14ac:dyDescent="0.5">
      <c r="A821" t="s">
        <v>914</v>
      </c>
      <c r="B821" t="s">
        <v>32</v>
      </c>
      <c r="C821">
        <v>6</v>
      </c>
      <c r="D821">
        <v>44</v>
      </c>
      <c r="E821">
        <v>264</v>
      </c>
      <c r="F821" s="2">
        <v>45692</v>
      </c>
      <c r="G821" s="2">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ht="18" x14ac:dyDescent="0.5">
      <c r="A822" t="s">
        <v>915</v>
      </c>
      <c r="B822" t="s">
        <v>146</v>
      </c>
      <c r="C822">
        <v>2</v>
      </c>
      <c r="D822">
        <v>95.7</v>
      </c>
      <c r="E822">
        <v>191.4</v>
      </c>
      <c r="F822" s="2">
        <v>45692</v>
      </c>
      <c r="G822" s="2">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ht="18" x14ac:dyDescent="0.5">
      <c r="A823" t="s">
        <v>916</v>
      </c>
      <c r="B823" t="s">
        <v>42</v>
      </c>
      <c r="C823">
        <v>5</v>
      </c>
      <c r="D823">
        <v>46.4</v>
      </c>
      <c r="E823">
        <v>232</v>
      </c>
      <c r="F823" s="2">
        <v>45692</v>
      </c>
      <c r="G823" s="2">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ht="18" x14ac:dyDescent="0.5">
      <c r="A824" t="s">
        <v>917</v>
      </c>
      <c r="B824" t="s">
        <v>39</v>
      </c>
      <c r="C824">
        <v>2</v>
      </c>
      <c r="D824">
        <v>47.2</v>
      </c>
      <c r="E824">
        <v>94.4</v>
      </c>
      <c r="F824" s="2">
        <v>45692</v>
      </c>
      <c r="G824" s="2">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ht="18" x14ac:dyDescent="0.5">
      <c r="A825" t="s">
        <v>918</v>
      </c>
      <c r="B825" t="s">
        <v>42</v>
      </c>
      <c r="C825">
        <v>2</v>
      </c>
      <c r="D825">
        <v>58.6</v>
      </c>
      <c r="E825">
        <v>117.2</v>
      </c>
      <c r="F825" s="2">
        <v>45692</v>
      </c>
      <c r="G825" s="2">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ht="18" x14ac:dyDescent="0.5">
      <c r="A826" t="s">
        <v>919</v>
      </c>
      <c r="B826" t="s">
        <v>32</v>
      </c>
      <c r="C826">
        <v>3</v>
      </c>
      <c r="D826">
        <v>57</v>
      </c>
      <c r="E826">
        <v>171</v>
      </c>
      <c r="F826" s="2">
        <v>45692</v>
      </c>
      <c r="G826" s="2">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ht="18" x14ac:dyDescent="0.5">
      <c r="A827" t="s">
        <v>920</v>
      </c>
      <c r="B827" t="s">
        <v>44</v>
      </c>
      <c r="C827">
        <v>4</v>
      </c>
      <c r="D827">
        <v>28.9</v>
      </c>
      <c r="E827">
        <v>115.6</v>
      </c>
      <c r="F827" s="2">
        <v>45692</v>
      </c>
      <c r="G827" s="2">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ht="18" x14ac:dyDescent="0.5">
      <c r="A828" t="s">
        <v>921</v>
      </c>
      <c r="B828" t="s">
        <v>69</v>
      </c>
      <c r="C828">
        <v>5</v>
      </c>
      <c r="D828">
        <v>60.7</v>
      </c>
      <c r="E828">
        <v>303.5</v>
      </c>
      <c r="F828" s="2">
        <v>45692</v>
      </c>
      <c r="G828" s="2">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ht="18" x14ac:dyDescent="0.5">
      <c r="A829" t="s">
        <v>922</v>
      </c>
      <c r="B829" t="s">
        <v>39</v>
      </c>
      <c r="C829">
        <v>5</v>
      </c>
      <c r="D829">
        <v>60.8</v>
      </c>
      <c r="E829">
        <v>304</v>
      </c>
      <c r="F829" s="2">
        <v>45692</v>
      </c>
      <c r="G829" s="2">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ht="18" x14ac:dyDescent="0.5">
      <c r="A830" t="s">
        <v>923</v>
      </c>
      <c r="B830" t="s">
        <v>39</v>
      </c>
      <c r="C830">
        <v>5</v>
      </c>
      <c r="D830">
        <v>64.599999999999994</v>
      </c>
      <c r="E830">
        <v>323</v>
      </c>
      <c r="F830" s="2">
        <v>45692</v>
      </c>
      <c r="G830" s="2">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ht="18" x14ac:dyDescent="0.5">
      <c r="A831" t="s">
        <v>924</v>
      </c>
      <c r="B831" t="s">
        <v>44</v>
      </c>
      <c r="C831">
        <v>1</v>
      </c>
      <c r="D831">
        <v>21.9</v>
      </c>
      <c r="E831">
        <v>21.9</v>
      </c>
      <c r="F831" s="2">
        <v>45692</v>
      </c>
      <c r="G831" s="2">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ht="18" x14ac:dyDescent="0.5">
      <c r="A832" t="s">
        <v>925</v>
      </c>
      <c r="B832" t="s">
        <v>32</v>
      </c>
      <c r="C832">
        <v>12</v>
      </c>
      <c r="D832">
        <v>33.4</v>
      </c>
      <c r="E832">
        <v>400.79999999999995</v>
      </c>
      <c r="F832" s="2">
        <v>45692</v>
      </c>
      <c r="G832" s="2">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ht="18" x14ac:dyDescent="0.5">
      <c r="A833" t="s">
        <v>926</v>
      </c>
      <c r="B833" t="s">
        <v>26</v>
      </c>
      <c r="C833">
        <v>1</v>
      </c>
      <c r="D833">
        <v>51.7</v>
      </c>
      <c r="E833">
        <v>51.7</v>
      </c>
      <c r="F833" s="2">
        <v>45692</v>
      </c>
      <c r="G833" s="2">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ht="18" x14ac:dyDescent="0.5">
      <c r="A834" t="s">
        <v>927</v>
      </c>
      <c r="B834" t="s">
        <v>22</v>
      </c>
      <c r="C834">
        <v>4</v>
      </c>
      <c r="D834">
        <v>84.9</v>
      </c>
      <c r="E834">
        <v>339.6</v>
      </c>
      <c r="F834" s="2">
        <v>45692</v>
      </c>
      <c r="G834" s="2">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ht="18" x14ac:dyDescent="0.5">
      <c r="A835" t="s">
        <v>928</v>
      </c>
      <c r="B835" t="s">
        <v>22</v>
      </c>
      <c r="C835">
        <v>11</v>
      </c>
      <c r="D835">
        <v>62.3</v>
      </c>
      <c r="E835">
        <v>685.3</v>
      </c>
      <c r="F835" s="2">
        <v>45692</v>
      </c>
      <c r="G835" s="2">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ht="18" x14ac:dyDescent="0.5">
      <c r="A836" t="s">
        <v>929</v>
      </c>
      <c r="B836" t="s">
        <v>32</v>
      </c>
      <c r="C836">
        <v>1</v>
      </c>
      <c r="D836">
        <v>50.7</v>
      </c>
      <c r="E836">
        <v>50.7</v>
      </c>
      <c r="F836" s="2">
        <v>45692</v>
      </c>
      <c r="G836" s="2">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ht="18" x14ac:dyDescent="0.5">
      <c r="A837" t="s">
        <v>930</v>
      </c>
      <c r="B837" t="s">
        <v>146</v>
      </c>
      <c r="C837">
        <v>1</v>
      </c>
      <c r="D837">
        <v>39.5</v>
      </c>
      <c r="E837">
        <v>39.5</v>
      </c>
      <c r="F837" s="2">
        <v>45692</v>
      </c>
      <c r="G837" s="2">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ht="18" x14ac:dyDescent="0.5">
      <c r="A838" t="s">
        <v>931</v>
      </c>
      <c r="B838" t="s">
        <v>69</v>
      </c>
      <c r="C838">
        <v>3</v>
      </c>
      <c r="D838">
        <v>30.9</v>
      </c>
      <c r="E838">
        <v>92.699999999999989</v>
      </c>
      <c r="F838" s="2">
        <v>45692</v>
      </c>
      <c r="G838" s="2">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ht="18" x14ac:dyDescent="0.5">
      <c r="A839" t="s">
        <v>932</v>
      </c>
      <c r="B839" t="s">
        <v>22</v>
      </c>
      <c r="C839">
        <v>7</v>
      </c>
      <c r="D839">
        <v>36.4</v>
      </c>
      <c r="E839">
        <v>254.79999999999998</v>
      </c>
      <c r="F839" s="2">
        <v>45692</v>
      </c>
      <c r="G839" s="2">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ht="18" x14ac:dyDescent="0.5">
      <c r="A840" t="s">
        <v>933</v>
      </c>
      <c r="B840" t="s">
        <v>39</v>
      </c>
      <c r="C840">
        <v>8</v>
      </c>
      <c r="D840">
        <v>105.6</v>
      </c>
      <c r="E840">
        <v>844.8</v>
      </c>
      <c r="F840" s="2">
        <v>45692</v>
      </c>
      <c r="G840" s="2">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ht="18" x14ac:dyDescent="0.5">
      <c r="A841" t="s">
        <v>934</v>
      </c>
      <c r="B841" t="s">
        <v>44</v>
      </c>
      <c r="C841">
        <v>2</v>
      </c>
      <c r="D841">
        <v>22.1</v>
      </c>
      <c r="E841">
        <v>44.2</v>
      </c>
      <c r="F841" s="2">
        <v>45692</v>
      </c>
      <c r="G841" s="2">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ht="18" x14ac:dyDescent="0.5">
      <c r="A842" t="s">
        <v>935</v>
      </c>
      <c r="B842" t="s">
        <v>16</v>
      </c>
      <c r="C842">
        <v>3</v>
      </c>
      <c r="D842">
        <v>22.6</v>
      </c>
      <c r="E842">
        <v>67.800000000000011</v>
      </c>
      <c r="F842" s="2">
        <v>45692</v>
      </c>
      <c r="G842" s="2">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ht="18" x14ac:dyDescent="0.5">
      <c r="A843" t="s">
        <v>936</v>
      </c>
      <c r="B843" t="s">
        <v>54</v>
      </c>
      <c r="C843">
        <v>6</v>
      </c>
      <c r="D843">
        <v>26.3</v>
      </c>
      <c r="E843">
        <v>157.80000000000001</v>
      </c>
      <c r="F843" s="2">
        <v>45692</v>
      </c>
      <c r="G843" s="2">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ht="18" x14ac:dyDescent="0.5">
      <c r="A844" t="s">
        <v>937</v>
      </c>
      <c r="B844" t="s">
        <v>22</v>
      </c>
      <c r="C844">
        <v>4</v>
      </c>
      <c r="D844">
        <v>37.799999999999997</v>
      </c>
      <c r="E844">
        <v>151.19999999999999</v>
      </c>
      <c r="F844" s="2">
        <v>45692</v>
      </c>
      <c r="G844" s="2">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ht="18" x14ac:dyDescent="0.5">
      <c r="A845" t="s">
        <v>938</v>
      </c>
      <c r="B845" t="s">
        <v>39</v>
      </c>
      <c r="C845">
        <v>17</v>
      </c>
      <c r="D845">
        <v>96</v>
      </c>
      <c r="E845">
        <v>1632</v>
      </c>
      <c r="F845" s="2">
        <v>45692</v>
      </c>
      <c r="G845" s="2">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ht="18" x14ac:dyDescent="0.5">
      <c r="A846" t="s">
        <v>939</v>
      </c>
      <c r="B846" t="s">
        <v>22</v>
      </c>
      <c r="C846">
        <v>1</v>
      </c>
      <c r="D846">
        <v>83.6</v>
      </c>
      <c r="E846">
        <v>83.6</v>
      </c>
      <c r="F846" s="2">
        <v>45692</v>
      </c>
      <c r="G846" s="2">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ht="18" x14ac:dyDescent="0.5">
      <c r="A847" t="s">
        <v>940</v>
      </c>
      <c r="B847" t="s">
        <v>26</v>
      </c>
      <c r="C847">
        <v>6</v>
      </c>
      <c r="D847">
        <v>72.599999999999994</v>
      </c>
      <c r="E847">
        <v>435.59999999999997</v>
      </c>
      <c r="F847" s="2">
        <v>45692</v>
      </c>
      <c r="G847" s="2">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ht="18" x14ac:dyDescent="0.5">
      <c r="A848" t="s">
        <v>941</v>
      </c>
      <c r="B848" t="s">
        <v>37</v>
      </c>
      <c r="C848">
        <v>20</v>
      </c>
      <c r="D848">
        <v>69.099999999999994</v>
      </c>
      <c r="E848">
        <v>1382</v>
      </c>
      <c r="F848" s="2">
        <v>45693</v>
      </c>
      <c r="G848" s="2">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ht="18" x14ac:dyDescent="0.5">
      <c r="A849" t="s">
        <v>942</v>
      </c>
      <c r="B849" t="s">
        <v>32</v>
      </c>
      <c r="C849">
        <v>2</v>
      </c>
      <c r="D849">
        <v>22.6</v>
      </c>
      <c r="E849">
        <v>45.2</v>
      </c>
      <c r="F849" s="2">
        <v>45693</v>
      </c>
      <c r="G849" s="2">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ht="18" x14ac:dyDescent="0.5">
      <c r="A850" t="s">
        <v>943</v>
      </c>
      <c r="B850" t="s">
        <v>39</v>
      </c>
      <c r="C850">
        <v>2</v>
      </c>
      <c r="D850">
        <v>45.3</v>
      </c>
      <c r="E850">
        <v>90.6</v>
      </c>
      <c r="F850" s="2">
        <v>45693</v>
      </c>
      <c r="G850" s="2">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ht="18" x14ac:dyDescent="0.5">
      <c r="A851" t="s">
        <v>944</v>
      </c>
      <c r="B851" t="s">
        <v>26</v>
      </c>
      <c r="C851">
        <v>2</v>
      </c>
      <c r="D851">
        <v>115.1</v>
      </c>
      <c r="E851">
        <v>230.2</v>
      </c>
      <c r="F851" s="2">
        <v>45693</v>
      </c>
      <c r="G851" s="2">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ht="18" x14ac:dyDescent="0.5">
      <c r="A852" t="s">
        <v>945</v>
      </c>
      <c r="B852" t="s">
        <v>146</v>
      </c>
      <c r="C852">
        <v>4</v>
      </c>
      <c r="D852">
        <v>79</v>
      </c>
      <c r="E852">
        <v>316</v>
      </c>
      <c r="F852" s="2">
        <v>45693</v>
      </c>
      <c r="G852" s="2">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ht="18" x14ac:dyDescent="0.5">
      <c r="A853" t="s">
        <v>946</v>
      </c>
      <c r="B853" t="s">
        <v>39</v>
      </c>
      <c r="C853">
        <v>5</v>
      </c>
      <c r="D853">
        <v>52.8</v>
      </c>
      <c r="E853">
        <v>264</v>
      </c>
      <c r="F853" s="2">
        <v>45693</v>
      </c>
      <c r="G853" s="2">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ht="18" x14ac:dyDescent="0.5">
      <c r="A854" t="s">
        <v>947</v>
      </c>
      <c r="B854" t="s">
        <v>44</v>
      </c>
      <c r="C854">
        <v>2</v>
      </c>
      <c r="D854">
        <v>34.1</v>
      </c>
      <c r="E854">
        <v>68.2</v>
      </c>
      <c r="F854" s="2">
        <v>45693</v>
      </c>
      <c r="G854" s="2">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ht="18" x14ac:dyDescent="0.5">
      <c r="A855" t="s">
        <v>948</v>
      </c>
      <c r="B855" t="s">
        <v>39</v>
      </c>
      <c r="C855">
        <v>5</v>
      </c>
      <c r="D855">
        <v>107.9</v>
      </c>
      <c r="E855">
        <v>539.5</v>
      </c>
      <c r="F855" s="2">
        <v>45693</v>
      </c>
      <c r="G855" s="2">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ht="18" x14ac:dyDescent="0.5">
      <c r="A856" t="s">
        <v>950</v>
      </c>
      <c r="B856" t="s">
        <v>44</v>
      </c>
      <c r="C856">
        <v>13</v>
      </c>
      <c r="D856">
        <v>48.5</v>
      </c>
      <c r="E856">
        <v>630.5</v>
      </c>
      <c r="F856" s="2">
        <v>45693</v>
      </c>
      <c r="G856" s="2">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ht="18" x14ac:dyDescent="0.5">
      <c r="A857" t="s">
        <v>951</v>
      </c>
      <c r="B857" t="s">
        <v>37</v>
      </c>
      <c r="C857">
        <v>3</v>
      </c>
      <c r="D857">
        <v>34.700000000000003</v>
      </c>
      <c r="E857">
        <v>104.10000000000001</v>
      </c>
      <c r="F857" s="2">
        <v>45693</v>
      </c>
      <c r="G857" s="2">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ht="18" x14ac:dyDescent="0.5">
      <c r="A858" t="s">
        <v>952</v>
      </c>
      <c r="B858" t="s">
        <v>44</v>
      </c>
      <c r="C858">
        <v>1</v>
      </c>
      <c r="D858">
        <v>16.8</v>
      </c>
      <c r="E858">
        <v>16.8</v>
      </c>
      <c r="F858" s="2">
        <v>45693</v>
      </c>
      <c r="G858" s="2">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ht="18" x14ac:dyDescent="0.5">
      <c r="A859" t="s">
        <v>953</v>
      </c>
      <c r="B859" t="s">
        <v>44</v>
      </c>
      <c r="C859">
        <v>6</v>
      </c>
      <c r="D859">
        <v>18.3</v>
      </c>
      <c r="E859">
        <v>109.80000000000001</v>
      </c>
      <c r="F859" s="2">
        <v>45693</v>
      </c>
      <c r="G859" s="2">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ht="18" x14ac:dyDescent="0.5">
      <c r="A860" t="s">
        <v>954</v>
      </c>
      <c r="B860" t="s">
        <v>146</v>
      </c>
      <c r="C860">
        <v>3</v>
      </c>
      <c r="D860">
        <v>55.9</v>
      </c>
      <c r="E860">
        <v>167.7</v>
      </c>
      <c r="F860" s="2">
        <v>45693</v>
      </c>
      <c r="G860" s="2">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ht="18" x14ac:dyDescent="0.5">
      <c r="A861" t="s">
        <v>955</v>
      </c>
      <c r="B861" t="s">
        <v>44</v>
      </c>
      <c r="C861">
        <v>3</v>
      </c>
      <c r="D861">
        <v>39.200000000000003</v>
      </c>
      <c r="E861">
        <v>117.60000000000001</v>
      </c>
      <c r="F861" s="2">
        <v>45693</v>
      </c>
      <c r="G861" s="2">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ht="18" x14ac:dyDescent="0.5">
      <c r="A862" t="s">
        <v>956</v>
      </c>
      <c r="B862" t="s">
        <v>123</v>
      </c>
      <c r="C862">
        <v>4</v>
      </c>
      <c r="D862">
        <v>66.5</v>
      </c>
      <c r="E862">
        <v>266</v>
      </c>
      <c r="F862" s="2">
        <v>45693</v>
      </c>
      <c r="G862" s="2">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ht="18" x14ac:dyDescent="0.5">
      <c r="A863" t="s">
        <v>957</v>
      </c>
      <c r="B863" t="s">
        <v>39</v>
      </c>
      <c r="C863">
        <v>6</v>
      </c>
      <c r="D863">
        <v>52.1</v>
      </c>
      <c r="E863">
        <v>312.60000000000002</v>
      </c>
      <c r="F863" s="2">
        <v>45693</v>
      </c>
      <c r="G863" s="2">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ht="18" x14ac:dyDescent="0.5">
      <c r="A864" t="s">
        <v>958</v>
      </c>
      <c r="B864" t="s">
        <v>44</v>
      </c>
      <c r="C864">
        <v>2</v>
      </c>
      <c r="D864">
        <v>19</v>
      </c>
      <c r="E864">
        <v>38</v>
      </c>
      <c r="F864" s="2">
        <v>45693</v>
      </c>
      <c r="G864" s="2">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ht="18" x14ac:dyDescent="0.5">
      <c r="A865" t="s">
        <v>959</v>
      </c>
      <c r="B865" t="s">
        <v>42</v>
      </c>
      <c r="C865">
        <v>3</v>
      </c>
      <c r="D865">
        <v>84.8</v>
      </c>
      <c r="E865">
        <v>254.39999999999998</v>
      </c>
      <c r="F865" s="2">
        <v>45693</v>
      </c>
      <c r="G865" s="2">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ht="18" x14ac:dyDescent="0.5">
      <c r="A866" t="s">
        <v>960</v>
      </c>
      <c r="B866" t="s">
        <v>26</v>
      </c>
      <c r="C866">
        <v>4</v>
      </c>
      <c r="D866">
        <v>63.9</v>
      </c>
      <c r="E866">
        <v>255.6</v>
      </c>
      <c r="F866" s="2">
        <v>45693</v>
      </c>
      <c r="G866" s="2">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ht="18" x14ac:dyDescent="0.5">
      <c r="A867" t="s">
        <v>961</v>
      </c>
      <c r="B867" t="s">
        <v>26</v>
      </c>
      <c r="C867">
        <v>3</v>
      </c>
      <c r="D867">
        <v>65.5</v>
      </c>
      <c r="E867">
        <v>196.5</v>
      </c>
      <c r="F867" s="2">
        <v>45693</v>
      </c>
      <c r="G867" s="2">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ht="18" x14ac:dyDescent="0.5">
      <c r="A868" t="s">
        <v>962</v>
      </c>
      <c r="B868" t="s">
        <v>69</v>
      </c>
      <c r="C868">
        <v>2</v>
      </c>
      <c r="D868">
        <v>116.2</v>
      </c>
      <c r="E868">
        <v>232.4</v>
      </c>
      <c r="F868" s="2">
        <v>45693</v>
      </c>
      <c r="G868" s="2">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ht="18" x14ac:dyDescent="0.5">
      <c r="A869" t="s">
        <v>963</v>
      </c>
      <c r="B869" t="s">
        <v>54</v>
      </c>
      <c r="C869">
        <v>4</v>
      </c>
      <c r="D869">
        <v>22.9</v>
      </c>
      <c r="E869">
        <v>91.6</v>
      </c>
      <c r="F869" s="2">
        <v>45693</v>
      </c>
      <c r="G869" s="2">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ht="18" x14ac:dyDescent="0.5">
      <c r="A870" t="s">
        <v>964</v>
      </c>
      <c r="B870" t="s">
        <v>54</v>
      </c>
      <c r="C870">
        <v>3</v>
      </c>
      <c r="D870">
        <v>53.7</v>
      </c>
      <c r="E870">
        <v>161.10000000000002</v>
      </c>
      <c r="F870" s="2">
        <v>45693</v>
      </c>
      <c r="G870" s="2">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ht="18" x14ac:dyDescent="0.5">
      <c r="A871" t="s">
        <v>965</v>
      </c>
      <c r="B871" t="s">
        <v>39</v>
      </c>
      <c r="C871">
        <v>5</v>
      </c>
      <c r="D871">
        <v>43.2</v>
      </c>
      <c r="E871">
        <v>216</v>
      </c>
      <c r="F871" s="2">
        <v>45693</v>
      </c>
      <c r="G871" s="2">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ht="18" x14ac:dyDescent="0.5">
      <c r="A872" t="s">
        <v>966</v>
      </c>
      <c r="B872" t="s">
        <v>22</v>
      </c>
      <c r="C872">
        <v>3</v>
      </c>
      <c r="D872">
        <v>84.5</v>
      </c>
      <c r="E872">
        <v>253.5</v>
      </c>
      <c r="F872" s="2">
        <v>45693</v>
      </c>
      <c r="G872" s="2">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ht="18" x14ac:dyDescent="0.5">
      <c r="A873" t="s">
        <v>968</v>
      </c>
      <c r="B873" t="s">
        <v>30</v>
      </c>
      <c r="C873">
        <v>2</v>
      </c>
      <c r="D873">
        <v>42.2</v>
      </c>
      <c r="E873">
        <v>84.4</v>
      </c>
      <c r="F873" s="2">
        <v>45693</v>
      </c>
      <c r="G873" s="2">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ht="18" x14ac:dyDescent="0.5">
      <c r="A874" t="s">
        <v>969</v>
      </c>
      <c r="B874" t="s">
        <v>26</v>
      </c>
      <c r="C874">
        <v>6</v>
      </c>
      <c r="D874">
        <v>94.7</v>
      </c>
      <c r="E874">
        <v>568.20000000000005</v>
      </c>
      <c r="F874" s="2">
        <v>45693</v>
      </c>
      <c r="G874" s="2">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ht="18" x14ac:dyDescent="0.5">
      <c r="A875" t="s">
        <v>970</v>
      </c>
      <c r="B875" t="s">
        <v>44</v>
      </c>
      <c r="C875">
        <v>18</v>
      </c>
      <c r="D875">
        <v>16.7</v>
      </c>
      <c r="E875">
        <v>300.59999999999997</v>
      </c>
      <c r="F875" s="2">
        <v>45693</v>
      </c>
      <c r="G875" s="2">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ht="18" x14ac:dyDescent="0.5">
      <c r="A876" t="s">
        <v>971</v>
      </c>
      <c r="B876" t="s">
        <v>26</v>
      </c>
      <c r="C876">
        <v>2</v>
      </c>
      <c r="D876">
        <v>83.6</v>
      </c>
      <c r="E876">
        <v>167.2</v>
      </c>
      <c r="F876" s="2">
        <v>45693</v>
      </c>
      <c r="G876" s="2">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ht="18" x14ac:dyDescent="0.5">
      <c r="A877" t="s">
        <v>972</v>
      </c>
      <c r="B877" t="s">
        <v>42</v>
      </c>
      <c r="C877">
        <v>6</v>
      </c>
      <c r="D877">
        <v>33.6</v>
      </c>
      <c r="E877">
        <v>201.60000000000002</v>
      </c>
      <c r="F877" s="2">
        <v>45694</v>
      </c>
      <c r="G877" s="2">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ht="18" x14ac:dyDescent="0.5">
      <c r="A878" t="s">
        <v>973</v>
      </c>
      <c r="B878" t="s">
        <v>42</v>
      </c>
      <c r="C878">
        <v>2</v>
      </c>
      <c r="D878">
        <v>64.7</v>
      </c>
      <c r="E878">
        <v>129.4</v>
      </c>
      <c r="F878" s="2">
        <v>45694</v>
      </c>
      <c r="G878" s="2">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ht="18" x14ac:dyDescent="0.5">
      <c r="A879" t="s">
        <v>974</v>
      </c>
      <c r="B879" t="s">
        <v>16</v>
      </c>
      <c r="C879">
        <v>3</v>
      </c>
      <c r="D879">
        <v>15.7</v>
      </c>
      <c r="E879">
        <v>47.099999999999994</v>
      </c>
      <c r="F879" s="2">
        <v>45694</v>
      </c>
      <c r="G879" s="2">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ht="18" x14ac:dyDescent="0.5">
      <c r="A880" t="s">
        <v>975</v>
      </c>
      <c r="B880" t="s">
        <v>123</v>
      </c>
      <c r="C880">
        <v>6</v>
      </c>
      <c r="D880">
        <v>49.4</v>
      </c>
      <c r="E880">
        <v>296.39999999999998</v>
      </c>
      <c r="F880" s="2">
        <v>45694</v>
      </c>
      <c r="G880" s="2">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ht="18" x14ac:dyDescent="0.5">
      <c r="A881" t="s">
        <v>976</v>
      </c>
      <c r="B881" t="s">
        <v>54</v>
      </c>
      <c r="C881">
        <v>6</v>
      </c>
      <c r="D881">
        <v>37</v>
      </c>
      <c r="E881">
        <v>222</v>
      </c>
      <c r="F881" s="2">
        <v>45694</v>
      </c>
      <c r="G881" s="2">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ht="18" x14ac:dyDescent="0.5">
      <c r="A882" t="s">
        <v>977</v>
      </c>
      <c r="B882" t="s">
        <v>26</v>
      </c>
      <c r="C882">
        <v>2</v>
      </c>
      <c r="D882">
        <v>83.7</v>
      </c>
      <c r="E882">
        <v>167.4</v>
      </c>
      <c r="F882" s="2">
        <v>45694</v>
      </c>
      <c r="G882" s="2">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ht="18" x14ac:dyDescent="0.5">
      <c r="A883" t="s">
        <v>978</v>
      </c>
      <c r="B883" t="s">
        <v>22</v>
      </c>
      <c r="C883">
        <v>5</v>
      </c>
      <c r="D883">
        <v>35.1</v>
      </c>
      <c r="E883">
        <v>175.5</v>
      </c>
      <c r="F883" s="2">
        <v>45694</v>
      </c>
      <c r="G883" s="2">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ht="18" x14ac:dyDescent="0.5">
      <c r="A884" t="s">
        <v>979</v>
      </c>
      <c r="B884" t="s">
        <v>128</v>
      </c>
      <c r="C884">
        <v>8</v>
      </c>
      <c r="D884">
        <v>74</v>
      </c>
      <c r="E884">
        <v>592</v>
      </c>
      <c r="F884" s="2">
        <v>45694</v>
      </c>
      <c r="G884" s="2">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ht="18" x14ac:dyDescent="0.5">
      <c r="A885" t="s">
        <v>980</v>
      </c>
      <c r="B885" t="s">
        <v>39</v>
      </c>
      <c r="C885">
        <v>24</v>
      </c>
      <c r="D885">
        <v>55.5</v>
      </c>
      <c r="E885">
        <v>1332</v>
      </c>
      <c r="F885" s="2">
        <v>45694</v>
      </c>
      <c r="G885" s="2">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ht="18" x14ac:dyDescent="0.5">
      <c r="A886" t="s">
        <v>981</v>
      </c>
      <c r="B886" t="s">
        <v>67</v>
      </c>
      <c r="C886">
        <v>2</v>
      </c>
      <c r="D886">
        <v>38.9</v>
      </c>
      <c r="E886">
        <v>77.8</v>
      </c>
      <c r="F886" s="2">
        <v>45694</v>
      </c>
      <c r="G886" s="2">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ht="18" x14ac:dyDescent="0.5">
      <c r="A887" t="s">
        <v>982</v>
      </c>
      <c r="B887" t="s">
        <v>128</v>
      </c>
      <c r="C887">
        <v>2</v>
      </c>
      <c r="D887">
        <v>64.599999999999994</v>
      </c>
      <c r="E887">
        <v>129.19999999999999</v>
      </c>
      <c r="F887" s="2">
        <v>45694</v>
      </c>
      <c r="G887" s="2">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ht="18" x14ac:dyDescent="0.5">
      <c r="A888" t="s">
        <v>983</v>
      </c>
      <c r="B888" t="s">
        <v>26</v>
      </c>
      <c r="C888">
        <v>3</v>
      </c>
      <c r="D888">
        <v>95.3</v>
      </c>
      <c r="E888">
        <v>285.89999999999998</v>
      </c>
      <c r="F888" s="2">
        <v>45694</v>
      </c>
      <c r="G888" s="2">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ht="18" x14ac:dyDescent="0.5">
      <c r="A889" t="s">
        <v>984</v>
      </c>
      <c r="B889" t="s">
        <v>76</v>
      </c>
      <c r="C889">
        <v>3</v>
      </c>
      <c r="D889">
        <v>25.8</v>
      </c>
      <c r="E889">
        <v>77.400000000000006</v>
      </c>
      <c r="F889" s="2">
        <v>45694</v>
      </c>
      <c r="G889" s="2">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ht="18" x14ac:dyDescent="0.5">
      <c r="A890" t="s">
        <v>985</v>
      </c>
      <c r="B890" t="s">
        <v>16</v>
      </c>
      <c r="C890">
        <v>2</v>
      </c>
      <c r="D890">
        <v>11.6</v>
      </c>
      <c r="E890">
        <v>23.2</v>
      </c>
      <c r="F890" s="2">
        <v>45694</v>
      </c>
      <c r="G890" s="2">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ht="18" x14ac:dyDescent="0.5">
      <c r="A891" t="s">
        <v>986</v>
      </c>
      <c r="B891" t="s">
        <v>42</v>
      </c>
      <c r="C891">
        <v>1</v>
      </c>
      <c r="D891">
        <v>52.3</v>
      </c>
      <c r="E891">
        <v>52.3</v>
      </c>
      <c r="F891" s="2">
        <v>45694</v>
      </c>
      <c r="G891" s="2">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ht="18" x14ac:dyDescent="0.5">
      <c r="A892" t="s">
        <v>987</v>
      </c>
      <c r="B892" t="s">
        <v>26</v>
      </c>
      <c r="C892">
        <v>10</v>
      </c>
      <c r="D892">
        <v>112.2</v>
      </c>
      <c r="E892">
        <v>1122</v>
      </c>
      <c r="F892" s="2">
        <v>45694</v>
      </c>
      <c r="G892" s="2">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ht="18" x14ac:dyDescent="0.5">
      <c r="A893" t="s">
        <v>988</v>
      </c>
      <c r="B893" t="s">
        <v>32</v>
      </c>
      <c r="C893">
        <v>5</v>
      </c>
      <c r="D893">
        <v>34.6</v>
      </c>
      <c r="E893">
        <v>173</v>
      </c>
      <c r="F893" s="2">
        <v>45694</v>
      </c>
      <c r="G893" s="2">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ht="18" x14ac:dyDescent="0.5">
      <c r="A894" t="s">
        <v>989</v>
      </c>
      <c r="B894" t="s">
        <v>81</v>
      </c>
      <c r="C894">
        <v>4</v>
      </c>
      <c r="D894">
        <v>20.100000000000001</v>
      </c>
      <c r="E894">
        <v>80.400000000000006</v>
      </c>
      <c r="F894" s="2">
        <v>45694</v>
      </c>
      <c r="G894" s="2">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ht="18" x14ac:dyDescent="0.5">
      <c r="A895" t="s">
        <v>990</v>
      </c>
      <c r="B895" t="s">
        <v>26</v>
      </c>
      <c r="C895">
        <v>4</v>
      </c>
      <c r="D895">
        <v>56.4</v>
      </c>
      <c r="E895">
        <v>225.6</v>
      </c>
      <c r="F895" s="2">
        <v>45694</v>
      </c>
      <c r="G895" s="2">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ht="18" x14ac:dyDescent="0.5">
      <c r="A896" t="s">
        <v>991</v>
      </c>
      <c r="B896" t="s">
        <v>76</v>
      </c>
      <c r="C896">
        <v>9</v>
      </c>
      <c r="D896">
        <v>55.3</v>
      </c>
      <c r="E896">
        <v>497.7</v>
      </c>
      <c r="F896" s="2">
        <v>45694</v>
      </c>
      <c r="G896" s="2">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ht="18" x14ac:dyDescent="0.5">
      <c r="A897" t="s">
        <v>992</v>
      </c>
      <c r="B897" t="s">
        <v>26</v>
      </c>
      <c r="C897">
        <v>28</v>
      </c>
      <c r="D897">
        <v>75.5</v>
      </c>
      <c r="E897">
        <v>2114</v>
      </c>
      <c r="F897" s="2">
        <v>45694</v>
      </c>
      <c r="G897" s="2">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ht="18" x14ac:dyDescent="0.5">
      <c r="A898" t="s">
        <v>993</v>
      </c>
      <c r="B898" t="s">
        <v>44</v>
      </c>
      <c r="C898">
        <v>1</v>
      </c>
      <c r="D898">
        <v>23.6</v>
      </c>
      <c r="E898">
        <v>23.6</v>
      </c>
      <c r="F898" s="2">
        <v>45694</v>
      </c>
      <c r="G898" s="2">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ht="18" x14ac:dyDescent="0.5">
      <c r="A899" t="s">
        <v>994</v>
      </c>
      <c r="B899" t="s">
        <v>46</v>
      </c>
      <c r="C899">
        <v>2</v>
      </c>
      <c r="D899">
        <v>70.7</v>
      </c>
      <c r="E899">
        <v>141.4</v>
      </c>
      <c r="F899" s="2">
        <v>45694</v>
      </c>
      <c r="G899" s="2">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ht="18" x14ac:dyDescent="0.5">
      <c r="A900" t="s">
        <v>995</v>
      </c>
      <c r="B900" t="s">
        <v>69</v>
      </c>
      <c r="C900">
        <v>2</v>
      </c>
      <c r="D900">
        <v>43.2</v>
      </c>
      <c r="E900">
        <v>86.4</v>
      </c>
      <c r="F900" s="2">
        <v>45694</v>
      </c>
      <c r="G900" s="2">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ht="18" x14ac:dyDescent="0.5">
      <c r="A901" t="s">
        <v>996</v>
      </c>
      <c r="B901" t="s">
        <v>46</v>
      </c>
      <c r="C901">
        <v>9</v>
      </c>
      <c r="D901">
        <v>70</v>
      </c>
      <c r="E901">
        <v>630</v>
      </c>
      <c r="F901" s="2">
        <v>45694</v>
      </c>
      <c r="G901" s="2">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ht="18" x14ac:dyDescent="0.5">
      <c r="A902" t="s">
        <v>998</v>
      </c>
      <c r="B902" t="s">
        <v>16</v>
      </c>
      <c r="C902">
        <v>2</v>
      </c>
      <c r="D902">
        <v>20.5</v>
      </c>
      <c r="E902">
        <v>41</v>
      </c>
      <c r="F902" s="2">
        <v>45694</v>
      </c>
      <c r="G902" s="2">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ht="18" x14ac:dyDescent="0.5">
      <c r="A903" t="s">
        <v>999</v>
      </c>
      <c r="B903" t="s">
        <v>16</v>
      </c>
      <c r="C903">
        <v>4</v>
      </c>
      <c r="D903">
        <v>29.1</v>
      </c>
      <c r="E903">
        <v>116.4</v>
      </c>
      <c r="F903" s="2">
        <v>45694</v>
      </c>
      <c r="G903" s="2">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ht="18" x14ac:dyDescent="0.5">
      <c r="A904" t="s">
        <v>1000</v>
      </c>
      <c r="B904" t="s">
        <v>39</v>
      </c>
      <c r="C904">
        <v>9</v>
      </c>
      <c r="D904">
        <v>53.6</v>
      </c>
      <c r="E904">
        <v>482.40000000000003</v>
      </c>
      <c r="F904" s="2">
        <v>45694</v>
      </c>
      <c r="G904" s="2">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ht="18" x14ac:dyDescent="0.5">
      <c r="A905" t="s">
        <v>1001</v>
      </c>
      <c r="B905" t="s">
        <v>39</v>
      </c>
      <c r="C905">
        <v>5</v>
      </c>
      <c r="D905">
        <v>72.3</v>
      </c>
      <c r="E905">
        <v>361.5</v>
      </c>
      <c r="F905" s="2">
        <v>45694</v>
      </c>
      <c r="G905" s="2">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ht="18" x14ac:dyDescent="0.5">
      <c r="A906" t="s">
        <v>1002</v>
      </c>
      <c r="B906" t="s">
        <v>76</v>
      </c>
      <c r="C906">
        <v>4</v>
      </c>
      <c r="D906">
        <v>22.6</v>
      </c>
      <c r="E906">
        <v>90.4</v>
      </c>
      <c r="F906" s="2">
        <v>45694</v>
      </c>
      <c r="G906" s="2">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ht="18" x14ac:dyDescent="0.5">
      <c r="A907" t="s">
        <v>1003</v>
      </c>
      <c r="B907" t="s">
        <v>46</v>
      </c>
      <c r="C907">
        <v>2</v>
      </c>
      <c r="D907">
        <v>44.2</v>
      </c>
      <c r="E907">
        <v>88.4</v>
      </c>
      <c r="F907" s="2">
        <v>45694</v>
      </c>
      <c r="G907" s="2">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ht="18" x14ac:dyDescent="0.5">
      <c r="A908" t="s">
        <v>1004</v>
      </c>
      <c r="B908" t="s">
        <v>46</v>
      </c>
      <c r="C908">
        <v>3</v>
      </c>
      <c r="D908">
        <v>94.1</v>
      </c>
      <c r="E908">
        <v>282.29999999999995</v>
      </c>
      <c r="F908" s="2">
        <v>45694</v>
      </c>
      <c r="G908" s="2">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ht="18" x14ac:dyDescent="0.5">
      <c r="A909" t="s">
        <v>1005</v>
      </c>
      <c r="B909" t="s">
        <v>44</v>
      </c>
      <c r="C909">
        <v>3</v>
      </c>
      <c r="D909">
        <v>17.899999999999999</v>
      </c>
      <c r="E909">
        <v>53.699999999999996</v>
      </c>
      <c r="F909" s="2">
        <v>45694</v>
      </c>
      <c r="G909" s="2">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ht="18" x14ac:dyDescent="0.5">
      <c r="A910" t="s">
        <v>1006</v>
      </c>
      <c r="B910" t="s">
        <v>69</v>
      </c>
      <c r="C910">
        <v>7</v>
      </c>
      <c r="D910">
        <v>52.7</v>
      </c>
      <c r="E910">
        <v>368.90000000000003</v>
      </c>
      <c r="F910" s="2">
        <v>45694</v>
      </c>
      <c r="G910" s="2">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ht="18" x14ac:dyDescent="0.5">
      <c r="A911" t="s">
        <v>1007</v>
      </c>
      <c r="B911" t="s">
        <v>44</v>
      </c>
      <c r="C911">
        <v>1</v>
      </c>
      <c r="D911">
        <v>36.799999999999997</v>
      </c>
      <c r="E911">
        <v>36.799999999999997</v>
      </c>
      <c r="F911" s="2">
        <v>45694</v>
      </c>
      <c r="G911" s="2">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ht="18" x14ac:dyDescent="0.5">
      <c r="A912" t="s">
        <v>1008</v>
      </c>
      <c r="B912" t="s">
        <v>32</v>
      </c>
      <c r="C912">
        <v>1</v>
      </c>
      <c r="D912">
        <v>52.5</v>
      </c>
      <c r="E912">
        <v>52.5</v>
      </c>
      <c r="F912" s="2">
        <v>45694</v>
      </c>
      <c r="G912" s="2">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ht="18" x14ac:dyDescent="0.5">
      <c r="A913" t="s">
        <v>1009</v>
      </c>
      <c r="B913" t="s">
        <v>26</v>
      </c>
      <c r="C913">
        <v>2</v>
      </c>
      <c r="D913">
        <v>133.80000000000001</v>
      </c>
      <c r="E913">
        <v>267.60000000000002</v>
      </c>
      <c r="F913" s="2">
        <v>45694</v>
      </c>
      <c r="G913" s="2">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ht="18" x14ac:dyDescent="0.5">
      <c r="A914" t="s">
        <v>1010</v>
      </c>
      <c r="B914" t="s">
        <v>39</v>
      </c>
      <c r="C914">
        <v>2</v>
      </c>
      <c r="D914">
        <v>53.2</v>
      </c>
      <c r="E914">
        <v>106.4</v>
      </c>
      <c r="F914" s="2">
        <v>45694</v>
      </c>
      <c r="G914" s="2">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ht="18" x14ac:dyDescent="0.5">
      <c r="A915" t="s">
        <v>1011</v>
      </c>
      <c r="B915" t="s">
        <v>81</v>
      </c>
      <c r="C915">
        <v>6</v>
      </c>
      <c r="D915">
        <v>18.7</v>
      </c>
      <c r="E915">
        <v>112.19999999999999</v>
      </c>
      <c r="F915" s="2">
        <v>45694</v>
      </c>
      <c r="G915" s="2">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ht="18" x14ac:dyDescent="0.5">
      <c r="A916" t="s">
        <v>1012</v>
      </c>
      <c r="B916" t="s">
        <v>39</v>
      </c>
      <c r="C916">
        <v>4</v>
      </c>
      <c r="D916">
        <v>108.8</v>
      </c>
      <c r="E916">
        <v>435.2</v>
      </c>
      <c r="F916" s="2">
        <v>45694</v>
      </c>
      <c r="G916" s="2">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ht="18" x14ac:dyDescent="0.5">
      <c r="A917" t="s">
        <v>1013</v>
      </c>
      <c r="B917" t="s">
        <v>123</v>
      </c>
      <c r="C917">
        <v>5</v>
      </c>
      <c r="D917">
        <v>38.5</v>
      </c>
      <c r="E917">
        <v>192.5</v>
      </c>
      <c r="F917" s="2">
        <v>45694</v>
      </c>
      <c r="G917" s="2">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ht="18" x14ac:dyDescent="0.5">
      <c r="A918" t="s">
        <v>1014</v>
      </c>
      <c r="B918" t="s">
        <v>54</v>
      </c>
      <c r="C918">
        <v>10</v>
      </c>
      <c r="D918">
        <v>46.5</v>
      </c>
      <c r="E918">
        <v>465</v>
      </c>
      <c r="F918" s="2">
        <v>45694</v>
      </c>
      <c r="G918" s="2">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ht="18" x14ac:dyDescent="0.5">
      <c r="A919" t="s">
        <v>1015</v>
      </c>
      <c r="B919" t="s">
        <v>26</v>
      </c>
      <c r="C919">
        <v>3</v>
      </c>
      <c r="D919">
        <v>75.8</v>
      </c>
      <c r="E919">
        <v>227.39999999999998</v>
      </c>
      <c r="F919" s="2">
        <v>45694</v>
      </c>
      <c r="G919" s="2">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ht="18" x14ac:dyDescent="0.5">
      <c r="A920" t="s">
        <v>1016</v>
      </c>
      <c r="B920" t="s">
        <v>44</v>
      </c>
      <c r="C920">
        <v>1</v>
      </c>
      <c r="D920">
        <v>20.9</v>
      </c>
      <c r="E920">
        <v>20.9</v>
      </c>
      <c r="F920" s="2">
        <v>45694</v>
      </c>
      <c r="G920" s="2">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ht="18" x14ac:dyDescent="0.5">
      <c r="A921" t="s">
        <v>1017</v>
      </c>
      <c r="B921" t="s">
        <v>146</v>
      </c>
      <c r="C921">
        <v>3</v>
      </c>
      <c r="D921">
        <v>47.4</v>
      </c>
      <c r="E921">
        <v>142.19999999999999</v>
      </c>
      <c r="F921" s="2">
        <v>45694</v>
      </c>
      <c r="G921" s="2">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ht="18" x14ac:dyDescent="0.5">
      <c r="A922" t="s">
        <v>1018</v>
      </c>
      <c r="B922" t="s">
        <v>46</v>
      </c>
      <c r="C922">
        <v>2</v>
      </c>
      <c r="D922">
        <v>53.8</v>
      </c>
      <c r="E922">
        <v>107.6</v>
      </c>
      <c r="F922" s="2">
        <v>45694</v>
      </c>
      <c r="G922" s="2">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ht="18" x14ac:dyDescent="0.5">
      <c r="A923" t="s">
        <v>1019</v>
      </c>
      <c r="B923" t="s">
        <v>44</v>
      </c>
      <c r="C923">
        <v>3</v>
      </c>
      <c r="D923">
        <v>24.6</v>
      </c>
      <c r="E923">
        <v>73.800000000000011</v>
      </c>
      <c r="F923" s="2">
        <v>45694</v>
      </c>
      <c r="G923" s="2">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ht="18" x14ac:dyDescent="0.5">
      <c r="A924" t="s">
        <v>1020</v>
      </c>
      <c r="B924" t="s">
        <v>46</v>
      </c>
      <c r="C924">
        <v>3</v>
      </c>
      <c r="D924">
        <v>70.900000000000006</v>
      </c>
      <c r="E924">
        <v>212.70000000000002</v>
      </c>
      <c r="F924" s="2">
        <v>45694</v>
      </c>
      <c r="G924" s="2">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ht="18" x14ac:dyDescent="0.5">
      <c r="A925" t="s">
        <v>1021</v>
      </c>
      <c r="B925" t="s">
        <v>135</v>
      </c>
      <c r="C925">
        <v>3</v>
      </c>
      <c r="D925">
        <v>31.9</v>
      </c>
      <c r="E925">
        <v>95.699999999999989</v>
      </c>
      <c r="F925" s="2">
        <v>45694</v>
      </c>
      <c r="G925" s="2">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ht="18" x14ac:dyDescent="0.5">
      <c r="A926" t="s">
        <v>1022</v>
      </c>
      <c r="B926" t="s">
        <v>16</v>
      </c>
      <c r="C926">
        <v>2</v>
      </c>
      <c r="D926">
        <v>20.399999999999999</v>
      </c>
      <c r="E926">
        <v>40.799999999999997</v>
      </c>
      <c r="F926" s="2">
        <v>45694</v>
      </c>
      <c r="G926" s="2">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ht="18" x14ac:dyDescent="0.5">
      <c r="A927" t="s">
        <v>1023</v>
      </c>
      <c r="B927" t="s">
        <v>44</v>
      </c>
      <c r="C927">
        <v>2</v>
      </c>
      <c r="D927">
        <v>18.600000000000001</v>
      </c>
      <c r="E927">
        <v>37.200000000000003</v>
      </c>
      <c r="F927" s="2">
        <v>45694</v>
      </c>
      <c r="G927" s="2">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ht="18" x14ac:dyDescent="0.5">
      <c r="A928" t="s">
        <v>1024</v>
      </c>
      <c r="B928" t="s">
        <v>32</v>
      </c>
      <c r="C928">
        <v>5</v>
      </c>
      <c r="D928">
        <v>48.3</v>
      </c>
      <c r="E928">
        <v>241.5</v>
      </c>
      <c r="F928" s="2">
        <v>45694</v>
      </c>
      <c r="G928" s="2">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ht="18" x14ac:dyDescent="0.5">
      <c r="A929" t="s">
        <v>1025</v>
      </c>
      <c r="B929" t="s">
        <v>16</v>
      </c>
      <c r="C929">
        <v>4</v>
      </c>
      <c r="D929">
        <v>27.7</v>
      </c>
      <c r="E929">
        <v>110.8</v>
      </c>
      <c r="F929" s="2">
        <v>45694</v>
      </c>
      <c r="G929" s="2">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ht="18" x14ac:dyDescent="0.5">
      <c r="A930" t="s">
        <v>1026</v>
      </c>
      <c r="B930" t="s">
        <v>32</v>
      </c>
      <c r="C930">
        <v>5</v>
      </c>
      <c r="D930">
        <v>22.5</v>
      </c>
      <c r="E930">
        <v>112.5</v>
      </c>
      <c r="F930" s="2">
        <v>45694</v>
      </c>
      <c r="G930" s="2">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ht="18" x14ac:dyDescent="0.5">
      <c r="A931" t="s">
        <v>1027</v>
      </c>
      <c r="B931" t="s">
        <v>135</v>
      </c>
      <c r="C931">
        <v>5</v>
      </c>
      <c r="D931">
        <v>21.6</v>
      </c>
      <c r="E931">
        <v>108</v>
      </c>
      <c r="F931" s="2">
        <v>45694</v>
      </c>
      <c r="G931" s="2">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ht="18" x14ac:dyDescent="0.5">
      <c r="A932" t="s">
        <v>1028</v>
      </c>
      <c r="B932" t="s">
        <v>54</v>
      </c>
      <c r="C932">
        <v>7</v>
      </c>
      <c r="D932">
        <v>26.3</v>
      </c>
      <c r="E932">
        <v>184.1</v>
      </c>
      <c r="F932" s="2">
        <v>45694</v>
      </c>
      <c r="G932" s="2">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ht="18" x14ac:dyDescent="0.5">
      <c r="A933" t="s">
        <v>1029</v>
      </c>
      <c r="B933" t="s">
        <v>39</v>
      </c>
      <c r="C933">
        <v>7</v>
      </c>
      <c r="D933">
        <v>103</v>
      </c>
      <c r="E933">
        <v>721</v>
      </c>
      <c r="F933" s="2">
        <v>45695</v>
      </c>
      <c r="G933" s="2">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ht="18" x14ac:dyDescent="0.5">
      <c r="A934" t="s">
        <v>1030</v>
      </c>
      <c r="B934" t="s">
        <v>37</v>
      </c>
      <c r="C934">
        <v>15</v>
      </c>
      <c r="D934">
        <v>46.6</v>
      </c>
      <c r="E934">
        <v>699</v>
      </c>
      <c r="F934" s="2">
        <v>45695</v>
      </c>
      <c r="G934" s="2">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ht="18" x14ac:dyDescent="0.5">
      <c r="A935" t="s">
        <v>1031</v>
      </c>
      <c r="B935" t="s">
        <v>16</v>
      </c>
      <c r="C935">
        <v>5</v>
      </c>
      <c r="D935">
        <v>32.200000000000003</v>
      </c>
      <c r="E935">
        <v>161</v>
      </c>
      <c r="F935" s="2">
        <v>45695</v>
      </c>
      <c r="G935" s="2">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ht="18" x14ac:dyDescent="0.5">
      <c r="A936" t="s">
        <v>1032</v>
      </c>
      <c r="B936" t="s">
        <v>44</v>
      </c>
      <c r="C936">
        <v>3</v>
      </c>
      <c r="D936">
        <v>22</v>
      </c>
      <c r="E936">
        <v>66</v>
      </c>
      <c r="F936" s="2">
        <v>45695</v>
      </c>
      <c r="G936" s="2">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ht="18" x14ac:dyDescent="0.5">
      <c r="A937" t="s">
        <v>1033</v>
      </c>
      <c r="B937" t="s">
        <v>16</v>
      </c>
      <c r="C937">
        <v>2</v>
      </c>
      <c r="D937">
        <v>25.2</v>
      </c>
      <c r="E937">
        <v>50.4</v>
      </c>
      <c r="F937" s="2">
        <v>45695</v>
      </c>
      <c r="G937" s="2">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ht="18" x14ac:dyDescent="0.5">
      <c r="A938" t="s">
        <v>1034</v>
      </c>
      <c r="B938" t="s">
        <v>22</v>
      </c>
      <c r="C938">
        <v>6</v>
      </c>
      <c r="D938">
        <v>68.7</v>
      </c>
      <c r="E938">
        <v>412.20000000000005</v>
      </c>
      <c r="F938" s="2">
        <v>45695</v>
      </c>
      <c r="G938" s="2">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ht="18" x14ac:dyDescent="0.5">
      <c r="A939" t="s">
        <v>1035</v>
      </c>
      <c r="B939" t="s">
        <v>16</v>
      </c>
      <c r="C939">
        <v>3</v>
      </c>
      <c r="D939">
        <v>22.2</v>
      </c>
      <c r="E939">
        <v>66.599999999999994</v>
      </c>
      <c r="F939" s="2">
        <v>45695</v>
      </c>
      <c r="G939" s="2">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ht="18" x14ac:dyDescent="0.5">
      <c r="A940" t="s">
        <v>1036</v>
      </c>
      <c r="B940" t="s">
        <v>22</v>
      </c>
      <c r="C940">
        <v>7</v>
      </c>
      <c r="D940">
        <v>36</v>
      </c>
      <c r="E940">
        <v>252</v>
      </c>
      <c r="F940" s="2">
        <v>45695</v>
      </c>
      <c r="G940" s="2">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ht="18" x14ac:dyDescent="0.5">
      <c r="A941" t="s">
        <v>1037</v>
      </c>
      <c r="B941" t="s">
        <v>146</v>
      </c>
      <c r="C941">
        <v>1</v>
      </c>
      <c r="D941">
        <v>50.6</v>
      </c>
      <c r="E941">
        <v>50.6</v>
      </c>
      <c r="F941" s="2">
        <v>45695</v>
      </c>
      <c r="G941" s="2">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ht="18" x14ac:dyDescent="0.5">
      <c r="A942" t="s">
        <v>1038</v>
      </c>
      <c r="B942" t="s">
        <v>123</v>
      </c>
      <c r="C942">
        <v>2</v>
      </c>
      <c r="D942">
        <v>44.9</v>
      </c>
      <c r="E942">
        <v>89.8</v>
      </c>
      <c r="F942" s="2">
        <v>45695</v>
      </c>
      <c r="G942" s="2">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ht="18" x14ac:dyDescent="0.5">
      <c r="A943" t="s">
        <v>1039</v>
      </c>
      <c r="B943" t="s">
        <v>39</v>
      </c>
      <c r="C943">
        <v>3</v>
      </c>
      <c r="D943">
        <v>71.599999999999994</v>
      </c>
      <c r="E943">
        <v>214.79999999999998</v>
      </c>
      <c r="F943" s="2">
        <v>45695</v>
      </c>
      <c r="G943" s="2">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ht="18" x14ac:dyDescent="0.5">
      <c r="A944" t="s">
        <v>1040</v>
      </c>
      <c r="B944" t="s">
        <v>39</v>
      </c>
      <c r="C944">
        <v>6</v>
      </c>
      <c r="D944">
        <v>51.5</v>
      </c>
      <c r="E944">
        <v>309</v>
      </c>
      <c r="F944" s="2">
        <v>45695</v>
      </c>
      <c r="G944" s="2">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ht="18" x14ac:dyDescent="0.5">
      <c r="A945" t="s">
        <v>1041</v>
      </c>
      <c r="B945" t="s">
        <v>42</v>
      </c>
      <c r="C945">
        <v>5</v>
      </c>
      <c r="D945">
        <v>55.5</v>
      </c>
      <c r="E945">
        <v>277.5</v>
      </c>
      <c r="F945" s="2">
        <v>45695</v>
      </c>
      <c r="G945" s="2">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ht="18" x14ac:dyDescent="0.5">
      <c r="A946" t="s">
        <v>1042</v>
      </c>
      <c r="B946" t="s">
        <v>39</v>
      </c>
      <c r="C946">
        <v>1</v>
      </c>
      <c r="D946">
        <v>51.7</v>
      </c>
      <c r="E946">
        <v>51.7</v>
      </c>
      <c r="F946" s="2">
        <v>45695</v>
      </c>
      <c r="G946" s="2">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ht="18" x14ac:dyDescent="0.5">
      <c r="A947" t="s">
        <v>1043</v>
      </c>
      <c r="B947" t="s">
        <v>44</v>
      </c>
      <c r="C947">
        <v>21</v>
      </c>
      <c r="D947">
        <v>45.5</v>
      </c>
      <c r="E947">
        <v>955.5</v>
      </c>
      <c r="F947" s="2">
        <v>45695</v>
      </c>
      <c r="G947" s="2">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ht="18" x14ac:dyDescent="0.5">
      <c r="A948" t="s">
        <v>1044</v>
      </c>
      <c r="B948" t="s">
        <v>44</v>
      </c>
      <c r="C948">
        <v>2</v>
      </c>
      <c r="D948">
        <v>33.799999999999997</v>
      </c>
      <c r="E948">
        <v>67.599999999999994</v>
      </c>
      <c r="F948" s="2">
        <v>45695</v>
      </c>
      <c r="G948" s="2">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ht="18" x14ac:dyDescent="0.5">
      <c r="A949" t="s">
        <v>1045</v>
      </c>
      <c r="B949" t="s">
        <v>30</v>
      </c>
      <c r="C949">
        <v>3</v>
      </c>
      <c r="D949">
        <v>76.5</v>
      </c>
      <c r="E949">
        <v>229.5</v>
      </c>
      <c r="F949" s="2">
        <v>45695</v>
      </c>
      <c r="G949" s="2">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ht="18" x14ac:dyDescent="0.5">
      <c r="A950" t="s">
        <v>1046</v>
      </c>
      <c r="B950" t="s">
        <v>46</v>
      </c>
      <c r="C950">
        <v>3</v>
      </c>
      <c r="D950">
        <v>42.6</v>
      </c>
      <c r="E950">
        <v>127.80000000000001</v>
      </c>
      <c r="F950" s="2">
        <v>45695</v>
      </c>
      <c r="G950" s="2">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ht="18" x14ac:dyDescent="0.5">
      <c r="A951" t="s">
        <v>1047</v>
      </c>
      <c r="B951" t="s">
        <v>39</v>
      </c>
      <c r="C951">
        <v>3</v>
      </c>
      <c r="D951">
        <v>44.1</v>
      </c>
      <c r="E951">
        <v>132.30000000000001</v>
      </c>
      <c r="F951" s="2">
        <v>45695</v>
      </c>
      <c r="G951" s="2">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ht="18" x14ac:dyDescent="0.5">
      <c r="A952" t="s">
        <v>1048</v>
      </c>
      <c r="B952" t="s">
        <v>44</v>
      </c>
      <c r="C952">
        <v>2</v>
      </c>
      <c r="D952">
        <v>40.9</v>
      </c>
      <c r="E952">
        <v>81.8</v>
      </c>
      <c r="F952" s="2">
        <v>45695</v>
      </c>
      <c r="G952" s="2">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ht="18" x14ac:dyDescent="0.5">
      <c r="A953" t="s">
        <v>1049</v>
      </c>
      <c r="B953" t="s">
        <v>46</v>
      </c>
      <c r="C953">
        <v>3</v>
      </c>
      <c r="D953">
        <v>49.1</v>
      </c>
      <c r="E953">
        <v>147.30000000000001</v>
      </c>
      <c r="F953" s="2">
        <v>45695</v>
      </c>
      <c r="G953" s="2">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ht="18" x14ac:dyDescent="0.5">
      <c r="A954" t="s">
        <v>1050</v>
      </c>
      <c r="B954" t="s">
        <v>146</v>
      </c>
      <c r="C954">
        <v>1</v>
      </c>
      <c r="D954">
        <v>85.3</v>
      </c>
      <c r="E954">
        <v>85.3</v>
      </c>
      <c r="F954" s="2">
        <v>45695</v>
      </c>
      <c r="G954" s="2">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ht="18" x14ac:dyDescent="0.5">
      <c r="A955" t="s">
        <v>1051</v>
      </c>
      <c r="B955" t="s">
        <v>39</v>
      </c>
      <c r="C955">
        <v>4</v>
      </c>
      <c r="D955">
        <v>43.1</v>
      </c>
      <c r="E955">
        <v>172.4</v>
      </c>
      <c r="F955" s="2">
        <v>45696</v>
      </c>
      <c r="G955" s="2">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ht="18" x14ac:dyDescent="0.5">
      <c r="A956" t="s">
        <v>1052</v>
      </c>
      <c r="B956" t="s">
        <v>32</v>
      </c>
      <c r="C956">
        <v>4</v>
      </c>
      <c r="D956">
        <v>46.2</v>
      </c>
      <c r="E956">
        <v>184.8</v>
      </c>
      <c r="F956" s="2">
        <v>45696</v>
      </c>
      <c r="G956" s="2">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ht="18" x14ac:dyDescent="0.5">
      <c r="A957" t="s">
        <v>1053</v>
      </c>
      <c r="B957" t="s">
        <v>22</v>
      </c>
      <c r="C957">
        <v>1</v>
      </c>
      <c r="D957">
        <v>74.400000000000006</v>
      </c>
      <c r="E957">
        <v>74.400000000000006</v>
      </c>
      <c r="F957" s="2">
        <v>45696</v>
      </c>
      <c r="G957" s="2">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ht="18" x14ac:dyDescent="0.5">
      <c r="A958" t="s">
        <v>1054</v>
      </c>
      <c r="B958" t="s">
        <v>135</v>
      </c>
      <c r="C958">
        <v>2</v>
      </c>
      <c r="D958">
        <v>51.2</v>
      </c>
      <c r="E958">
        <v>102.4</v>
      </c>
      <c r="F958" s="2">
        <v>45696</v>
      </c>
      <c r="G958" s="2">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ht="18" x14ac:dyDescent="0.5">
      <c r="A959" t="s">
        <v>1055</v>
      </c>
      <c r="B959" t="s">
        <v>81</v>
      </c>
      <c r="C959">
        <v>4</v>
      </c>
      <c r="D959">
        <v>11.8</v>
      </c>
      <c r="E959">
        <v>47.2</v>
      </c>
      <c r="F959" s="2">
        <v>45696</v>
      </c>
      <c r="G959" s="2">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ht="18" x14ac:dyDescent="0.5">
      <c r="A960" t="s">
        <v>1056</v>
      </c>
      <c r="B960" t="s">
        <v>54</v>
      </c>
      <c r="C960">
        <v>27</v>
      </c>
      <c r="D960">
        <v>40.799999999999997</v>
      </c>
      <c r="E960">
        <v>1101.5999999999999</v>
      </c>
      <c r="F960" s="2">
        <v>45696</v>
      </c>
      <c r="G960" s="2">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ht="18" x14ac:dyDescent="0.5">
      <c r="A961" t="s">
        <v>1057</v>
      </c>
      <c r="B961" t="s">
        <v>44</v>
      </c>
      <c r="C961">
        <v>1</v>
      </c>
      <c r="D961">
        <v>24.7</v>
      </c>
      <c r="E961">
        <v>24.7</v>
      </c>
      <c r="F961" s="2">
        <v>45696</v>
      </c>
      <c r="G961" s="2">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ht="18" x14ac:dyDescent="0.5">
      <c r="A962" t="s">
        <v>1058</v>
      </c>
      <c r="B962" t="s">
        <v>44</v>
      </c>
      <c r="C962">
        <v>7</v>
      </c>
      <c r="D962">
        <v>22.1</v>
      </c>
      <c r="E962">
        <v>154.70000000000002</v>
      </c>
      <c r="F962" s="2">
        <v>45696</v>
      </c>
      <c r="G962" s="2">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ht="18" x14ac:dyDescent="0.5">
      <c r="A963" t="s">
        <v>1059</v>
      </c>
      <c r="B963" t="s">
        <v>44</v>
      </c>
      <c r="C963">
        <v>1</v>
      </c>
      <c r="D963">
        <v>18.100000000000001</v>
      </c>
      <c r="E963">
        <v>18.100000000000001</v>
      </c>
      <c r="F963" s="2">
        <v>45696</v>
      </c>
      <c r="G963" s="2">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ht="18" x14ac:dyDescent="0.5">
      <c r="A964" t="s">
        <v>1060</v>
      </c>
      <c r="B964" t="s">
        <v>135</v>
      </c>
      <c r="C964">
        <v>2</v>
      </c>
      <c r="D964">
        <v>58.8</v>
      </c>
      <c r="E964">
        <v>117.6</v>
      </c>
      <c r="F964" s="2">
        <v>45696</v>
      </c>
      <c r="G964" s="2">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ht="18" x14ac:dyDescent="0.5">
      <c r="A965" t="s">
        <v>1061</v>
      </c>
      <c r="B965" t="s">
        <v>146</v>
      </c>
      <c r="C965">
        <v>2</v>
      </c>
      <c r="D965">
        <v>30.8</v>
      </c>
      <c r="E965">
        <v>61.6</v>
      </c>
      <c r="F965" s="2">
        <v>45696</v>
      </c>
      <c r="G965" s="2">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ht="18" x14ac:dyDescent="0.5">
      <c r="A966" t="s">
        <v>1062</v>
      </c>
      <c r="B966" t="s">
        <v>16</v>
      </c>
      <c r="C966">
        <v>2</v>
      </c>
      <c r="D966">
        <v>12</v>
      </c>
      <c r="E966">
        <v>24</v>
      </c>
      <c r="F966" s="2">
        <v>45696</v>
      </c>
      <c r="G966" s="2">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ht="18" x14ac:dyDescent="0.5">
      <c r="A967" t="s">
        <v>1063</v>
      </c>
      <c r="B967" t="s">
        <v>16</v>
      </c>
      <c r="C967">
        <v>4</v>
      </c>
      <c r="D967">
        <v>13.6</v>
      </c>
      <c r="E967">
        <v>54.4</v>
      </c>
      <c r="F967" s="2">
        <v>45696</v>
      </c>
      <c r="G967" s="2">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ht="18" x14ac:dyDescent="0.5">
      <c r="A968" t="s">
        <v>1064</v>
      </c>
      <c r="B968" t="s">
        <v>16</v>
      </c>
      <c r="C968">
        <v>1</v>
      </c>
      <c r="D968">
        <v>17.899999999999999</v>
      </c>
      <c r="E968">
        <v>17.899999999999999</v>
      </c>
      <c r="F968" s="2">
        <v>45696</v>
      </c>
      <c r="G968" s="2">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ht="18" x14ac:dyDescent="0.5">
      <c r="A969" t="s">
        <v>1065</v>
      </c>
      <c r="B969" t="s">
        <v>46</v>
      </c>
      <c r="C969">
        <v>2</v>
      </c>
      <c r="D969">
        <v>38.6</v>
      </c>
      <c r="E969">
        <v>77.2</v>
      </c>
      <c r="F969" s="2">
        <v>45696</v>
      </c>
      <c r="G969" s="2">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ht="18" x14ac:dyDescent="0.5">
      <c r="A970" t="s">
        <v>1066</v>
      </c>
      <c r="B970" t="s">
        <v>37</v>
      </c>
      <c r="C970">
        <v>5</v>
      </c>
      <c r="D970">
        <v>32.700000000000003</v>
      </c>
      <c r="E970">
        <v>163.5</v>
      </c>
      <c r="F970" s="2">
        <v>45696</v>
      </c>
      <c r="G970" s="2">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ht="18" x14ac:dyDescent="0.5">
      <c r="A971" t="s">
        <v>1067</v>
      </c>
      <c r="B971" t="s">
        <v>30</v>
      </c>
      <c r="C971">
        <v>2</v>
      </c>
      <c r="D971">
        <v>111.4</v>
      </c>
      <c r="E971">
        <v>222.8</v>
      </c>
      <c r="F971" s="2">
        <v>45696</v>
      </c>
      <c r="G971" s="2">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ht="18" x14ac:dyDescent="0.5">
      <c r="A972" t="s">
        <v>1068</v>
      </c>
      <c r="B972" t="s">
        <v>26</v>
      </c>
      <c r="C972">
        <v>6</v>
      </c>
      <c r="D972">
        <v>80.3</v>
      </c>
      <c r="E972">
        <v>481.79999999999995</v>
      </c>
      <c r="F972" s="2">
        <v>45696</v>
      </c>
      <c r="G972" s="2">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ht="18" x14ac:dyDescent="0.5">
      <c r="A973" t="s">
        <v>1069</v>
      </c>
      <c r="B973" t="s">
        <v>39</v>
      </c>
      <c r="C973">
        <v>2</v>
      </c>
      <c r="D973">
        <v>58.9</v>
      </c>
      <c r="E973">
        <v>117.8</v>
      </c>
      <c r="F973" s="2">
        <v>45696</v>
      </c>
      <c r="G973" s="2">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ht="18" x14ac:dyDescent="0.5">
      <c r="A974" t="s">
        <v>1070</v>
      </c>
      <c r="B974" t="s">
        <v>39</v>
      </c>
      <c r="C974">
        <v>3</v>
      </c>
      <c r="D974">
        <v>51.9</v>
      </c>
      <c r="E974">
        <v>155.69999999999999</v>
      </c>
      <c r="F974" s="2">
        <v>45696</v>
      </c>
      <c r="G974" s="2">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ht="18" x14ac:dyDescent="0.5">
      <c r="A975" t="s">
        <v>1071</v>
      </c>
      <c r="B975" t="s">
        <v>26</v>
      </c>
      <c r="C975">
        <v>3</v>
      </c>
      <c r="D975">
        <v>50.3</v>
      </c>
      <c r="E975">
        <v>150.89999999999998</v>
      </c>
      <c r="F975" s="2">
        <v>45696</v>
      </c>
      <c r="G975" s="2">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ht="18" x14ac:dyDescent="0.5">
      <c r="A976" t="s">
        <v>1072</v>
      </c>
      <c r="B976" t="s">
        <v>67</v>
      </c>
      <c r="C976">
        <v>6</v>
      </c>
      <c r="D976">
        <v>45</v>
      </c>
      <c r="E976">
        <v>270</v>
      </c>
      <c r="F976" s="2">
        <v>45696</v>
      </c>
      <c r="G976" s="2">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ht="18" x14ac:dyDescent="0.5">
      <c r="A977" t="s">
        <v>1073</v>
      </c>
      <c r="B977" t="s">
        <v>54</v>
      </c>
      <c r="C977">
        <v>6</v>
      </c>
      <c r="D977">
        <v>44.7</v>
      </c>
      <c r="E977">
        <v>268.20000000000005</v>
      </c>
      <c r="F977" s="2">
        <v>45696</v>
      </c>
      <c r="G977" s="2">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ht="18" x14ac:dyDescent="0.5">
      <c r="A978" t="s">
        <v>1074</v>
      </c>
      <c r="B978" t="s">
        <v>146</v>
      </c>
      <c r="C978">
        <v>15</v>
      </c>
      <c r="D978">
        <v>33</v>
      </c>
      <c r="E978">
        <v>495</v>
      </c>
      <c r="F978" s="2">
        <v>45696</v>
      </c>
      <c r="G978" s="2">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ht="18" x14ac:dyDescent="0.5">
      <c r="A979" t="s">
        <v>1075</v>
      </c>
      <c r="B979" t="s">
        <v>22</v>
      </c>
      <c r="C979">
        <v>5</v>
      </c>
      <c r="D979">
        <v>44.9</v>
      </c>
      <c r="E979">
        <v>224.5</v>
      </c>
      <c r="F979" s="2">
        <v>45696</v>
      </c>
      <c r="G979" s="2">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ht="18" x14ac:dyDescent="0.5">
      <c r="A980" t="s">
        <v>1076</v>
      </c>
      <c r="B980" t="s">
        <v>54</v>
      </c>
      <c r="C980">
        <v>2</v>
      </c>
      <c r="D980">
        <v>34.6</v>
      </c>
      <c r="E980">
        <v>69.2</v>
      </c>
      <c r="F980" s="2">
        <v>45696</v>
      </c>
      <c r="G980" s="2">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ht="18" x14ac:dyDescent="0.5">
      <c r="A981" t="s">
        <v>1077</v>
      </c>
      <c r="B981" t="s">
        <v>42</v>
      </c>
      <c r="C981">
        <v>7</v>
      </c>
      <c r="D981">
        <v>47.1</v>
      </c>
      <c r="E981">
        <v>329.7</v>
      </c>
      <c r="F981" s="2">
        <v>45696</v>
      </c>
      <c r="G981" s="2">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ht="18" x14ac:dyDescent="0.5">
      <c r="A982" t="s">
        <v>1078</v>
      </c>
      <c r="B982" t="s">
        <v>32</v>
      </c>
      <c r="C982">
        <v>5</v>
      </c>
      <c r="D982">
        <v>26.1</v>
      </c>
      <c r="E982">
        <v>130.5</v>
      </c>
      <c r="F982" s="2">
        <v>45696</v>
      </c>
      <c r="G982" s="2">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ht="18" x14ac:dyDescent="0.5">
      <c r="A983" t="s">
        <v>1079</v>
      </c>
      <c r="B983" t="s">
        <v>69</v>
      </c>
      <c r="C983">
        <v>5</v>
      </c>
      <c r="D983">
        <v>66.8</v>
      </c>
      <c r="E983">
        <v>334</v>
      </c>
      <c r="F983" s="2">
        <v>45696</v>
      </c>
      <c r="G983" s="2">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ht="18" x14ac:dyDescent="0.5">
      <c r="A984" t="s">
        <v>1080</v>
      </c>
      <c r="B984" t="s">
        <v>26</v>
      </c>
      <c r="C984">
        <v>2</v>
      </c>
      <c r="D984">
        <v>167.9</v>
      </c>
      <c r="E984">
        <v>335.8</v>
      </c>
      <c r="F984" s="2">
        <v>45696</v>
      </c>
      <c r="G984" s="2">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ht="18" x14ac:dyDescent="0.5">
      <c r="A985" t="s">
        <v>1081</v>
      </c>
      <c r="B985" t="s">
        <v>54</v>
      </c>
      <c r="C985">
        <v>9</v>
      </c>
      <c r="D985">
        <v>34.6</v>
      </c>
      <c r="E985">
        <v>311.40000000000003</v>
      </c>
      <c r="F985" s="2">
        <v>45696</v>
      </c>
      <c r="G985" s="2">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ht="18" x14ac:dyDescent="0.5">
      <c r="A986" t="s">
        <v>1082</v>
      </c>
      <c r="B986" t="s">
        <v>44</v>
      </c>
      <c r="C986">
        <v>3</v>
      </c>
      <c r="D986">
        <v>35.1</v>
      </c>
      <c r="E986">
        <v>105.30000000000001</v>
      </c>
      <c r="F986" s="2">
        <v>45697</v>
      </c>
      <c r="G986" s="2">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ht="18" x14ac:dyDescent="0.5">
      <c r="A987" t="s">
        <v>1083</v>
      </c>
      <c r="B987" t="s">
        <v>39</v>
      </c>
      <c r="C987">
        <v>4</v>
      </c>
      <c r="D987">
        <v>104.5</v>
      </c>
      <c r="E987">
        <v>418</v>
      </c>
      <c r="F987" s="2">
        <v>45697</v>
      </c>
      <c r="G987" s="2">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ht="18" x14ac:dyDescent="0.5">
      <c r="A988" t="s">
        <v>1084</v>
      </c>
      <c r="B988" t="s">
        <v>44</v>
      </c>
      <c r="C988">
        <v>1</v>
      </c>
      <c r="D988">
        <v>37.9</v>
      </c>
      <c r="E988">
        <v>37.9</v>
      </c>
      <c r="F988" s="2">
        <v>45697</v>
      </c>
      <c r="G988" s="2">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ht="18" x14ac:dyDescent="0.5">
      <c r="A989" t="s">
        <v>1085</v>
      </c>
      <c r="B989" t="s">
        <v>32</v>
      </c>
      <c r="C989">
        <v>3</v>
      </c>
      <c r="D989">
        <v>25.5</v>
      </c>
      <c r="E989">
        <v>76.5</v>
      </c>
      <c r="F989" s="2">
        <v>45697</v>
      </c>
      <c r="G989" s="2">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ht="18" x14ac:dyDescent="0.5">
      <c r="A990" t="s">
        <v>1086</v>
      </c>
      <c r="B990" t="s">
        <v>16</v>
      </c>
      <c r="C990">
        <v>3</v>
      </c>
      <c r="D990">
        <v>32</v>
      </c>
      <c r="E990">
        <v>96</v>
      </c>
      <c r="F990" s="2">
        <v>45697</v>
      </c>
      <c r="G990" s="2">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ht="18" x14ac:dyDescent="0.5">
      <c r="A991" t="s">
        <v>1087</v>
      </c>
      <c r="B991" t="s">
        <v>22</v>
      </c>
      <c r="C991">
        <v>1</v>
      </c>
      <c r="D991">
        <v>47.1</v>
      </c>
      <c r="E991">
        <v>47.1</v>
      </c>
      <c r="F991" s="2">
        <v>45697</v>
      </c>
      <c r="G991" s="2">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ht="18" x14ac:dyDescent="0.5">
      <c r="A992" t="s">
        <v>1088</v>
      </c>
      <c r="B992" t="s">
        <v>39</v>
      </c>
      <c r="C992">
        <v>2</v>
      </c>
      <c r="D992">
        <v>50.6</v>
      </c>
      <c r="E992">
        <v>101.2</v>
      </c>
      <c r="F992" s="2">
        <v>45697</v>
      </c>
      <c r="G992" s="2">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ht="18" x14ac:dyDescent="0.5">
      <c r="A993" t="s">
        <v>1089</v>
      </c>
      <c r="B993" t="s">
        <v>39</v>
      </c>
      <c r="C993">
        <v>5</v>
      </c>
      <c r="D993">
        <v>81.7</v>
      </c>
      <c r="E993">
        <v>408.5</v>
      </c>
      <c r="F993" s="2">
        <v>45697</v>
      </c>
      <c r="G993" s="2">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ht="18" x14ac:dyDescent="0.5">
      <c r="A994" t="s">
        <v>1090</v>
      </c>
      <c r="B994" t="s">
        <v>37</v>
      </c>
      <c r="C994">
        <v>2</v>
      </c>
      <c r="D994">
        <v>50.7</v>
      </c>
      <c r="E994">
        <v>101.4</v>
      </c>
      <c r="F994" s="2">
        <v>45697</v>
      </c>
      <c r="G994" s="2">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ht="18" x14ac:dyDescent="0.5">
      <c r="A995" t="s">
        <v>1091</v>
      </c>
      <c r="B995" t="s">
        <v>26</v>
      </c>
      <c r="C995">
        <v>19</v>
      </c>
      <c r="D995">
        <v>67.3</v>
      </c>
      <c r="E995">
        <v>1278.7</v>
      </c>
      <c r="F995" s="2">
        <v>45697</v>
      </c>
      <c r="G995" s="2">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ht="18" x14ac:dyDescent="0.5">
      <c r="A996" t="s">
        <v>1092</v>
      </c>
      <c r="B996" t="s">
        <v>26</v>
      </c>
      <c r="C996">
        <v>4</v>
      </c>
      <c r="D996">
        <v>64.8</v>
      </c>
      <c r="E996">
        <v>259.2</v>
      </c>
      <c r="F996" s="2">
        <v>45697</v>
      </c>
      <c r="G996" s="2">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ht="18" x14ac:dyDescent="0.5">
      <c r="A997" t="s">
        <v>1093</v>
      </c>
      <c r="B997" t="s">
        <v>37</v>
      </c>
      <c r="C997">
        <v>22</v>
      </c>
      <c r="D997">
        <v>61.3</v>
      </c>
      <c r="E997">
        <v>1348.6</v>
      </c>
      <c r="F997" s="2">
        <v>45697</v>
      </c>
      <c r="G997" s="2">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ht="18" x14ac:dyDescent="0.5">
      <c r="A998" t="s">
        <v>1094</v>
      </c>
      <c r="B998" t="s">
        <v>81</v>
      </c>
      <c r="C998">
        <v>1</v>
      </c>
      <c r="D998">
        <v>32.9</v>
      </c>
      <c r="E998">
        <v>32.9</v>
      </c>
      <c r="F998" s="2">
        <v>45697</v>
      </c>
      <c r="G998" s="2">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ht="18" x14ac:dyDescent="0.5">
      <c r="A999" t="s">
        <v>1095</v>
      </c>
      <c r="B999" t="s">
        <v>39</v>
      </c>
      <c r="C999">
        <v>2</v>
      </c>
      <c r="D999">
        <v>100.8</v>
      </c>
      <c r="E999">
        <v>201.6</v>
      </c>
      <c r="F999" s="2">
        <v>45697</v>
      </c>
      <c r="G999" s="2">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ht="18" x14ac:dyDescent="0.5">
      <c r="A1000" t="s">
        <v>1096</v>
      </c>
      <c r="B1000" t="s">
        <v>44</v>
      </c>
      <c r="C1000">
        <v>4</v>
      </c>
      <c r="D1000">
        <v>25.1</v>
      </c>
      <c r="E1000">
        <v>100.4</v>
      </c>
      <c r="F1000" s="2">
        <v>45697</v>
      </c>
      <c r="G1000" s="2">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ht="18" x14ac:dyDescent="0.5">
      <c r="A1001" t="s">
        <v>1097</v>
      </c>
      <c r="B1001" t="s">
        <v>135</v>
      </c>
      <c r="C1001">
        <v>1</v>
      </c>
      <c r="D1001">
        <v>48.5</v>
      </c>
      <c r="E1001">
        <v>48.5</v>
      </c>
      <c r="F1001" s="2">
        <v>45697</v>
      </c>
      <c r="G1001" s="2">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ht="18" x14ac:dyDescent="0.5">
      <c r="A1002" t="s">
        <v>1098</v>
      </c>
      <c r="B1002" t="s">
        <v>42</v>
      </c>
      <c r="C1002">
        <v>2</v>
      </c>
      <c r="D1002">
        <v>33.6</v>
      </c>
      <c r="E1002">
        <v>67.2</v>
      </c>
      <c r="F1002" s="2">
        <v>45697</v>
      </c>
      <c r="G1002" s="2">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ht="18" x14ac:dyDescent="0.5">
      <c r="A1003" t="s">
        <v>1099</v>
      </c>
      <c r="B1003" t="s">
        <v>44</v>
      </c>
      <c r="C1003">
        <v>1</v>
      </c>
      <c r="D1003">
        <v>39.299999999999997</v>
      </c>
      <c r="E1003">
        <v>39.299999999999997</v>
      </c>
      <c r="F1003" s="2">
        <v>45697</v>
      </c>
      <c r="G1003" s="2">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ht="18" x14ac:dyDescent="0.5">
      <c r="A1004" t="s">
        <v>1100</v>
      </c>
      <c r="B1004" t="s">
        <v>32</v>
      </c>
      <c r="C1004">
        <v>10</v>
      </c>
      <c r="D1004">
        <v>48.8</v>
      </c>
      <c r="E1004">
        <v>488</v>
      </c>
      <c r="F1004" s="2">
        <v>45697</v>
      </c>
      <c r="G1004" s="2">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ht="18" x14ac:dyDescent="0.5">
      <c r="A1005" t="s">
        <v>1101</v>
      </c>
      <c r="B1005" t="s">
        <v>39</v>
      </c>
      <c r="C1005">
        <v>8</v>
      </c>
      <c r="D1005">
        <v>72.8</v>
      </c>
      <c r="E1005">
        <v>582.4</v>
      </c>
      <c r="F1005" s="2">
        <v>45697</v>
      </c>
      <c r="G1005" s="2">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ht="18" x14ac:dyDescent="0.5">
      <c r="A1006" t="s">
        <v>1102</v>
      </c>
      <c r="B1006" t="s">
        <v>54</v>
      </c>
      <c r="C1006">
        <v>8</v>
      </c>
      <c r="D1006">
        <v>46.2</v>
      </c>
      <c r="E1006">
        <v>369.6</v>
      </c>
      <c r="F1006" s="2">
        <v>45697</v>
      </c>
      <c r="G1006" s="2">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ht="18" x14ac:dyDescent="0.5">
      <c r="A1007" t="s">
        <v>1103</v>
      </c>
      <c r="B1007" t="s">
        <v>32</v>
      </c>
      <c r="C1007">
        <v>2</v>
      </c>
      <c r="D1007">
        <v>20.7</v>
      </c>
      <c r="E1007">
        <v>41.4</v>
      </c>
      <c r="F1007" s="2">
        <v>45697</v>
      </c>
      <c r="G1007" s="2">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ht="18" x14ac:dyDescent="0.5">
      <c r="A1008" t="s">
        <v>1104</v>
      </c>
      <c r="B1008" t="s">
        <v>16</v>
      </c>
      <c r="C1008">
        <v>1</v>
      </c>
      <c r="D1008">
        <v>35.700000000000003</v>
      </c>
      <c r="E1008">
        <v>35.700000000000003</v>
      </c>
      <c r="F1008" s="2">
        <v>45697</v>
      </c>
      <c r="G1008" s="2">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ht="18" x14ac:dyDescent="0.5">
      <c r="A1009" t="s">
        <v>1105</v>
      </c>
      <c r="B1009" t="s">
        <v>26</v>
      </c>
      <c r="C1009">
        <v>16</v>
      </c>
      <c r="D1009">
        <v>166.2</v>
      </c>
      <c r="E1009">
        <v>2659.2</v>
      </c>
      <c r="F1009" s="2">
        <v>45697</v>
      </c>
      <c r="G1009" s="2">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ht="18" x14ac:dyDescent="0.5">
      <c r="A1010" t="s">
        <v>1106</v>
      </c>
      <c r="B1010" t="s">
        <v>39</v>
      </c>
      <c r="C1010">
        <v>4</v>
      </c>
      <c r="D1010">
        <v>85.8</v>
      </c>
      <c r="E1010">
        <v>343.2</v>
      </c>
      <c r="F1010" s="2">
        <v>45697</v>
      </c>
      <c r="G1010" s="2">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ht="18" x14ac:dyDescent="0.5">
      <c r="A1011" t="s">
        <v>1107</v>
      </c>
      <c r="B1011" t="s">
        <v>44</v>
      </c>
      <c r="C1011">
        <v>3</v>
      </c>
      <c r="D1011">
        <v>26</v>
      </c>
      <c r="E1011">
        <v>78</v>
      </c>
      <c r="F1011" s="2">
        <v>45697</v>
      </c>
      <c r="G1011" s="2">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ht="18" x14ac:dyDescent="0.5">
      <c r="A1012" t="s">
        <v>1108</v>
      </c>
      <c r="B1012" t="s">
        <v>26</v>
      </c>
      <c r="C1012">
        <v>13</v>
      </c>
      <c r="D1012">
        <v>116.6</v>
      </c>
      <c r="E1012">
        <v>1515.8</v>
      </c>
      <c r="F1012" s="2">
        <v>45697</v>
      </c>
      <c r="G1012" s="2">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ht="18" x14ac:dyDescent="0.5">
      <c r="A1013" t="s">
        <v>1109</v>
      </c>
      <c r="B1013" t="s">
        <v>46</v>
      </c>
      <c r="C1013">
        <v>7</v>
      </c>
      <c r="D1013">
        <v>53.9</v>
      </c>
      <c r="E1013">
        <v>377.3</v>
      </c>
      <c r="F1013" s="2">
        <v>45697</v>
      </c>
      <c r="G1013" s="2">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ht="18" x14ac:dyDescent="0.5">
      <c r="A1014" t="s">
        <v>1110</v>
      </c>
      <c r="B1014" t="s">
        <v>69</v>
      </c>
      <c r="C1014">
        <v>5</v>
      </c>
      <c r="D1014">
        <v>72.3</v>
      </c>
      <c r="E1014">
        <v>361.5</v>
      </c>
      <c r="F1014" s="2">
        <v>45697</v>
      </c>
      <c r="G1014" s="2">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ht="18" x14ac:dyDescent="0.5">
      <c r="A1015" t="s">
        <v>1111</v>
      </c>
      <c r="B1015" t="s">
        <v>37</v>
      </c>
      <c r="C1015">
        <v>2</v>
      </c>
      <c r="D1015">
        <v>31.4</v>
      </c>
      <c r="E1015">
        <v>62.8</v>
      </c>
      <c r="F1015" s="2">
        <v>45697</v>
      </c>
      <c r="G1015" s="2">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ht="18" x14ac:dyDescent="0.5">
      <c r="A1016" t="s">
        <v>1112</v>
      </c>
      <c r="B1016" t="s">
        <v>76</v>
      </c>
      <c r="C1016">
        <v>2</v>
      </c>
      <c r="D1016">
        <v>53.1</v>
      </c>
      <c r="E1016">
        <v>106.2</v>
      </c>
      <c r="F1016" s="2">
        <v>45697</v>
      </c>
      <c r="G1016" s="2">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ht="18" x14ac:dyDescent="0.5">
      <c r="A1017" t="s">
        <v>1113</v>
      </c>
      <c r="B1017" t="s">
        <v>26</v>
      </c>
      <c r="C1017">
        <v>4</v>
      </c>
      <c r="D1017">
        <v>56.2</v>
      </c>
      <c r="E1017">
        <v>224.8</v>
      </c>
      <c r="F1017" s="2">
        <v>45697</v>
      </c>
      <c r="G1017" s="2">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ht="18" x14ac:dyDescent="0.5">
      <c r="A1018" t="s">
        <v>1114</v>
      </c>
      <c r="B1018" t="s">
        <v>22</v>
      </c>
      <c r="C1018">
        <v>10</v>
      </c>
      <c r="D1018">
        <v>77.3</v>
      </c>
      <c r="E1018">
        <v>773</v>
      </c>
      <c r="F1018" s="2">
        <v>45697</v>
      </c>
      <c r="G1018" s="2">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ht="18" x14ac:dyDescent="0.5">
      <c r="A1019" t="s">
        <v>1115</v>
      </c>
      <c r="B1019" t="s">
        <v>39</v>
      </c>
      <c r="C1019">
        <v>13</v>
      </c>
      <c r="D1019">
        <v>57.8</v>
      </c>
      <c r="E1019">
        <v>751.4</v>
      </c>
      <c r="F1019" s="2">
        <v>45697</v>
      </c>
      <c r="G1019" s="2">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ht="18" x14ac:dyDescent="0.5">
      <c r="A1020" t="s">
        <v>1117</v>
      </c>
      <c r="B1020" t="s">
        <v>69</v>
      </c>
      <c r="C1020">
        <v>15</v>
      </c>
      <c r="D1020">
        <v>42.1</v>
      </c>
      <c r="E1020">
        <v>631.5</v>
      </c>
      <c r="F1020" s="2">
        <v>45697</v>
      </c>
      <c r="G1020" s="2">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ht="18" x14ac:dyDescent="0.5">
      <c r="A1021" t="s">
        <v>1118</v>
      </c>
      <c r="B1021" t="s">
        <v>44</v>
      </c>
      <c r="C1021">
        <v>9</v>
      </c>
      <c r="D1021">
        <v>22.8</v>
      </c>
      <c r="E1021">
        <v>205.20000000000002</v>
      </c>
      <c r="F1021" s="2">
        <v>45697</v>
      </c>
      <c r="G1021" s="2">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ht="18" x14ac:dyDescent="0.5">
      <c r="A1022" t="s">
        <v>1119</v>
      </c>
      <c r="B1022" t="s">
        <v>26</v>
      </c>
      <c r="C1022">
        <v>3</v>
      </c>
      <c r="D1022">
        <v>171.1</v>
      </c>
      <c r="E1022">
        <v>513.29999999999995</v>
      </c>
      <c r="F1022" s="2">
        <v>45698</v>
      </c>
      <c r="G1022" s="2">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ht="18" x14ac:dyDescent="0.5">
      <c r="A1023" t="s">
        <v>1120</v>
      </c>
      <c r="B1023" t="s">
        <v>44</v>
      </c>
      <c r="C1023">
        <v>1</v>
      </c>
      <c r="D1023">
        <v>28</v>
      </c>
      <c r="E1023">
        <v>28</v>
      </c>
      <c r="F1023" s="2">
        <v>45698</v>
      </c>
      <c r="G1023" s="2">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ht="18" x14ac:dyDescent="0.5">
      <c r="A1024" t="s">
        <v>1121</v>
      </c>
      <c r="B1024" t="s">
        <v>39</v>
      </c>
      <c r="C1024">
        <v>7</v>
      </c>
      <c r="D1024">
        <v>50.2</v>
      </c>
      <c r="E1024">
        <v>351.40000000000003</v>
      </c>
      <c r="F1024" s="2">
        <v>45698</v>
      </c>
      <c r="G1024" s="2">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ht="18" x14ac:dyDescent="0.5">
      <c r="A1025" t="s">
        <v>1122</v>
      </c>
      <c r="B1025" t="s">
        <v>39</v>
      </c>
      <c r="C1025">
        <v>2</v>
      </c>
      <c r="D1025">
        <v>56</v>
      </c>
      <c r="E1025">
        <v>112</v>
      </c>
      <c r="F1025" s="2">
        <v>45698</v>
      </c>
      <c r="G1025" s="2">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ht="18" x14ac:dyDescent="0.5">
      <c r="A1026" t="s">
        <v>1123</v>
      </c>
      <c r="B1026" t="s">
        <v>22</v>
      </c>
      <c r="C1026">
        <v>2</v>
      </c>
      <c r="D1026">
        <v>38.299999999999997</v>
      </c>
      <c r="E1026">
        <v>76.599999999999994</v>
      </c>
      <c r="F1026" s="2">
        <v>45698</v>
      </c>
      <c r="G1026" s="2">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ht="18" x14ac:dyDescent="0.5">
      <c r="A1027" t="s">
        <v>1124</v>
      </c>
      <c r="B1027" t="s">
        <v>16</v>
      </c>
      <c r="C1027">
        <v>5</v>
      </c>
      <c r="D1027">
        <v>22.3</v>
      </c>
      <c r="E1027">
        <v>111.5</v>
      </c>
      <c r="F1027" s="2">
        <v>45698</v>
      </c>
      <c r="G1027" s="2">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ht="18" x14ac:dyDescent="0.5">
      <c r="A1028" t="s">
        <v>1125</v>
      </c>
      <c r="B1028" t="s">
        <v>16</v>
      </c>
      <c r="C1028">
        <v>3</v>
      </c>
      <c r="D1028">
        <v>22.3</v>
      </c>
      <c r="E1028">
        <v>66.900000000000006</v>
      </c>
      <c r="F1028" s="2">
        <v>45698</v>
      </c>
      <c r="G1028" s="2">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ht="18" x14ac:dyDescent="0.5">
      <c r="A1029" t="s">
        <v>1126</v>
      </c>
      <c r="B1029" t="s">
        <v>22</v>
      </c>
      <c r="C1029">
        <v>1</v>
      </c>
      <c r="D1029">
        <v>32.9</v>
      </c>
      <c r="E1029">
        <v>32.9</v>
      </c>
      <c r="F1029" s="2">
        <v>45698</v>
      </c>
      <c r="G1029" s="2">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ht="18" x14ac:dyDescent="0.5">
      <c r="A1030" t="s">
        <v>1127</v>
      </c>
      <c r="B1030" t="s">
        <v>54</v>
      </c>
      <c r="C1030">
        <v>3</v>
      </c>
      <c r="D1030">
        <v>31.9</v>
      </c>
      <c r="E1030">
        <v>95.699999999999989</v>
      </c>
      <c r="F1030" s="2">
        <v>45698</v>
      </c>
      <c r="G1030" s="2">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ht="18" x14ac:dyDescent="0.5">
      <c r="A1031" t="s">
        <v>1128</v>
      </c>
      <c r="B1031" t="s">
        <v>39</v>
      </c>
      <c r="C1031">
        <v>2</v>
      </c>
      <c r="D1031">
        <v>94</v>
      </c>
      <c r="E1031">
        <v>188</v>
      </c>
      <c r="F1031" s="2">
        <v>45698</v>
      </c>
      <c r="G1031" s="2">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ht="18" x14ac:dyDescent="0.5">
      <c r="A1032" t="s">
        <v>1129</v>
      </c>
      <c r="B1032" t="s">
        <v>54</v>
      </c>
      <c r="C1032">
        <v>2</v>
      </c>
      <c r="D1032">
        <v>30.7</v>
      </c>
      <c r="E1032">
        <v>61.4</v>
      </c>
      <c r="F1032" s="2">
        <v>45698</v>
      </c>
      <c r="G1032" s="2">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ht="18" x14ac:dyDescent="0.5">
      <c r="A1033" t="s">
        <v>1130</v>
      </c>
      <c r="B1033" t="s">
        <v>37</v>
      </c>
      <c r="C1033">
        <v>5</v>
      </c>
      <c r="D1033">
        <v>90.5</v>
      </c>
      <c r="E1033">
        <v>452.5</v>
      </c>
      <c r="F1033" s="2">
        <v>45698</v>
      </c>
      <c r="G1033" s="2">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ht="18" x14ac:dyDescent="0.5">
      <c r="A1034" t="s">
        <v>1131</v>
      </c>
      <c r="B1034" t="s">
        <v>44</v>
      </c>
      <c r="C1034">
        <v>5</v>
      </c>
      <c r="D1034">
        <v>25.3</v>
      </c>
      <c r="E1034">
        <v>126.5</v>
      </c>
      <c r="F1034" s="2">
        <v>45698</v>
      </c>
      <c r="G1034" s="2">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ht="18" x14ac:dyDescent="0.5">
      <c r="A1035" t="s">
        <v>1132</v>
      </c>
      <c r="B1035" t="s">
        <v>39</v>
      </c>
      <c r="C1035">
        <v>3</v>
      </c>
      <c r="D1035">
        <v>58.1</v>
      </c>
      <c r="E1035">
        <v>174.3</v>
      </c>
      <c r="F1035" s="2">
        <v>45698</v>
      </c>
      <c r="G1035" s="2">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ht="18" x14ac:dyDescent="0.5">
      <c r="A1036" t="s">
        <v>1133</v>
      </c>
      <c r="B1036" t="s">
        <v>26</v>
      </c>
      <c r="C1036">
        <v>3</v>
      </c>
      <c r="D1036">
        <v>74.900000000000006</v>
      </c>
      <c r="E1036">
        <v>224.70000000000002</v>
      </c>
      <c r="F1036" s="2">
        <v>45698</v>
      </c>
      <c r="G1036" s="2">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ht="18" x14ac:dyDescent="0.5">
      <c r="A1037" t="s">
        <v>1134</v>
      </c>
      <c r="B1037" t="s">
        <v>32</v>
      </c>
      <c r="C1037">
        <v>2</v>
      </c>
      <c r="D1037">
        <v>32.5</v>
      </c>
      <c r="E1037">
        <v>65</v>
      </c>
      <c r="F1037" s="2">
        <v>45698</v>
      </c>
      <c r="G1037" s="2">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ht="18" x14ac:dyDescent="0.5">
      <c r="A1038" t="s">
        <v>1135</v>
      </c>
      <c r="B1038" t="s">
        <v>32</v>
      </c>
      <c r="C1038">
        <v>5</v>
      </c>
      <c r="D1038">
        <v>62</v>
      </c>
      <c r="E1038">
        <v>310</v>
      </c>
      <c r="F1038" s="2">
        <v>45698</v>
      </c>
      <c r="G1038" s="2">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ht="18" x14ac:dyDescent="0.5">
      <c r="A1039" t="s">
        <v>1136</v>
      </c>
      <c r="B1039" t="s">
        <v>76</v>
      </c>
      <c r="C1039">
        <v>6</v>
      </c>
      <c r="D1039">
        <v>28.9</v>
      </c>
      <c r="E1039">
        <v>173.39999999999998</v>
      </c>
      <c r="F1039" s="2">
        <v>45698</v>
      </c>
      <c r="G1039" s="2">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ht="18" x14ac:dyDescent="0.5">
      <c r="A1040" t="s">
        <v>1137</v>
      </c>
      <c r="B1040" t="s">
        <v>39</v>
      </c>
      <c r="C1040">
        <v>8</v>
      </c>
      <c r="D1040">
        <v>42.8</v>
      </c>
      <c r="E1040">
        <v>342.4</v>
      </c>
      <c r="F1040" s="2">
        <v>45698</v>
      </c>
      <c r="G1040" s="2">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ht="18" x14ac:dyDescent="0.5">
      <c r="A1041" t="s">
        <v>1138</v>
      </c>
      <c r="B1041" t="s">
        <v>44</v>
      </c>
      <c r="C1041">
        <v>8</v>
      </c>
      <c r="D1041">
        <v>39.4</v>
      </c>
      <c r="E1041">
        <v>315.2</v>
      </c>
      <c r="F1041" s="2">
        <v>45698</v>
      </c>
      <c r="G1041" s="2">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ht="18" x14ac:dyDescent="0.5">
      <c r="A1042" t="s">
        <v>1139</v>
      </c>
      <c r="B1042" t="s">
        <v>146</v>
      </c>
      <c r="C1042">
        <v>3</v>
      </c>
      <c r="D1042">
        <v>66.400000000000006</v>
      </c>
      <c r="E1042">
        <v>199.20000000000002</v>
      </c>
      <c r="F1042" s="2">
        <v>45698</v>
      </c>
      <c r="G1042" s="2">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ht="18" x14ac:dyDescent="0.5">
      <c r="A1043" t="s">
        <v>1140</v>
      </c>
      <c r="B1043" t="s">
        <v>135</v>
      </c>
      <c r="C1043">
        <v>4</v>
      </c>
      <c r="D1043">
        <v>35.9</v>
      </c>
      <c r="E1043">
        <v>143.6</v>
      </c>
      <c r="F1043" s="2">
        <v>45698</v>
      </c>
      <c r="G1043" s="2">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ht="18" x14ac:dyDescent="0.5">
      <c r="A1044" t="s">
        <v>1141</v>
      </c>
      <c r="B1044" t="s">
        <v>16</v>
      </c>
      <c r="C1044">
        <v>4</v>
      </c>
      <c r="D1044">
        <v>26.9</v>
      </c>
      <c r="E1044">
        <v>107.6</v>
      </c>
      <c r="F1044" s="2">
        <v>45698</v>
      </c>
      <c r="G1044" s="2">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ht="18" x14ac:dyDescent="0.5">
      <c r="A1045" t="s">
        <v>1142</v>
      </c>
      <c r="B1045" t="s">
        <v>26</v>
      </c>
      <c r="C1045">
        <v>1</v>
      </c>
      <c r="D1045">
        <v>55.1</v>
      </c>
      <c r="E1045">
        <v>55.1</v>
      </c>
      <c r="F1045" s="2">
        <v>45698</v>
      </c>
      <c r="G1045" s="2">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ht="18" x14ac:dyDescent="0.5">
      <c r="A1046" t="s">
        <v>1143</v>
      </c>
      <c r="B1046" t="s">
        <v>32</v>
      </c>
      <c r="C1046">
        <v>2</v>
      </c>
      <c r="D1046">
        <v>23.9</v>
      </c>
      <c r="E1046">
        <v>47.8</v>
      </c>
      <c r="F1046" s="2">
        <v>45698</v>
      </c>
      <c r="G1046" s="2">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ht="18" x14ac:dyDescent="0.5">
      <c r="A1047" t="s">
        <v>1144</v>
      </c>
      <c r="B1047" t="s">
        <v>46</v>
      </c>
      <c r="C1047">
        <v>13</v>
      </c>
      <c r="D1047">
        <v>21.1</v>
      </c>
      <c r="E1047">
        <v>274.3</v>
      </c>
      <c r="F1047" s="2">
        <v>45698</v>
      </c>
      <c r="G1047" s="2">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ht="18" x14ac:dyDescent="0.5">
      <c r="A1048" t="s">
        <v>1145</v>
      </c>
      <c r="B1048" t="s">
        <v>44</v>
      </c>
      <c r="C1048">
        <v>5</v>
      </c>
      <c r="D1048">
        <v>33.799999999999997</v>
      </c>
      <c r="E1048">
        <v>169</v>
      </c>
      <c r="F1048" s="2">
        <v>45698</v>
      </c>
      <c r="G1048" s="2">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ht="18" x14ac:dyDescent="0.5">
      <c r="A1049" t="s">
        <v>1146</v>
      </c>
      <c r="B1049" t="s">
        <v>26</v>
      </c>
      <c r="C1049">
        <v>4</v>
      </c>
      <c r="D1049">
        <v>56.1</v>
      </c>
      <c r="E1049">
        <v>224.4</v>
      </c>
      <c r="F1049" s="2">
        <v>45698</v>
      </c>
      <c r="G1049" s="2">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ht="18" x14ac:dyDescent="0.5">
      <c r="A1050" t="s">
        <v>1147</v>
      </c>
      <c r="B1050" t="s">
        <v>30</v>
      </c>
      <c r="C1050">
        <v>1</v>
      </c>
      <c r="D1050">
        <v>58.5</v>
      </c>
      <c r="E1050">
        <v>58.5</v>
      </c>
      <c r="F1050" s="2">
        <v>45699</v>
      </c>
      <c r="G1050" s="2">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ht="18" x14ac:dyDescent="0.5">
      <c r="A1051" t="s">
        <v>1148</v>
      </c>
      <c r="B1051" t="s">
        <v>39</v>
      </c>
      <c r="C1051">
        <v>1</v>
      </c>
      <c r="D1051">
        <v>84.2</v>
      </c>
      <c r="E1051">
        <v>84.2</v>
      </c>
      <c r="F1051" s="2">
        <v>45699</v>
      </c>
      <c r="G1051" s="2">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ht="18" x14ac:dyDescent="0.5">
      <c r="A1052" t="s">
        <v>1149</v>
      </c>
      <c r="B1052" t="s">
        <v>67</v>
      </c>
      <c r="C1052">
        <v>4</v>
      </c>
      <c r="D1052">
        <v>52</v>
      </c>
      <c r="E1052">
        <v>208</v>
      </c>
      <c r="F1052" s="2">
        <v>45699</v>
      </c>
      <c r="G1052" s="2">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ht="18" x14ac:dyDescent="0.5">
      <c r="A1053" t="s">
        <v>1150</v>
      </c>
      <c r="B1053" t="s">
        <v>32</v>
      </c>
      <c r="C1053">
        <v>5</v>
      </c>
      <c r="D1053">
        <v>31.5</v>
      </c>
      <c r="E1053">
        <v>157.5</v>
      </c>
      <c r="F1053" s="2">
        <v>45699</v>
      </c>
      <c r="G1053" s="2">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ht="18" x14ac:dyDescent="0.5">
      <c r="A1054" t="s">
        <v>1151</v>
      </c>
      <c r="B1054" t="s">
        <v>128</v>
      </c>
      <c r="C1054">
        <v>3</v>
      </c>
      <c r="D1054">
        <v>46.2</v>
      </c>
      <c r="E1054">
        <v>138.60000000000002</v>
      </c>
      <c r="F1054" s="2">
        <v>45699</v>
      </c>
      <c r="G1054" s="2">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ht="18" x14ac:dyDescent="0.5">
      <c r="A1055" t="s">
        <v>1152</v>
      </c>
      <c r="B1055" t="s">
        <v>26</v>
      </c>
      <c r="C1055">
        <v>6</v>
      </c>
      <c r="D1055">
        <v>135</v>
      </c>
      <c r="E1055">
        <v>810</v>
      </c>
      <c r="F1055" s="2">
        <v>45699</v>
      </c>
      <c r="G1055" s="2">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ht="18" x14ac:dyDescent="0.5">
      <c r="A1056" t="s">
        <v>1153</v>
      </c>
      <c r="B1056" t="s">
        <v>69</v>
      </c>
      <c r="C1056">
        <v>3</v>
      </c>
      <c r="D1056">
        <v>92.2</v>
      </c>
      <c r="E1056">
        <v>276.60000000000002</v>
      </c>
      <c r="F1056" s="2">
        <v>45699</v>
      </c>
      <c r="G1056" s="2">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ht="18" x14ac:dyDescent="0.5">
      <c r="A1057" t="s">
        <v>1154</v>
      </c>
      <c r="B1057" t="s">
        <v>44</v>
      </c>
      <c r="C1057">
        <v>1</v>
      </c>
      <c r="D1057">
        <v>36.6</v>
      </c>
      <c r="E1057">
        <v>36.6</v>
      </c>
      <c r="F1057" s="2">
        <v>45699</v>
      </c>
      <c r="G1057" s="2">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ht="18" x14ac:dyDescent="0.5">
      <c r="A1058" t="s">
        <v>1155</v>
      </c>
      <c r="B1058" t="s">
        <v>46</v>
      </c>
      <c r="C1058">
        <v>2</v>
      </c>
      <c r="D1058">
        <v>50.6</v>
      </c>
      <c r="E1058">
        <v>101.2</v>
      </c>
      <c r="F1058" s="2">
        <v>45699</v>
      </c>
      <c r="G1058" s="2">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ht="18" x14ac:dyDescent="0.5">
      <c r="A1059" t="s">
        <v>1156</v>
      </c>
      <c r="B1059" t="s">
        <v>146</v>
      </c>
      <c r="C1059">
        <v>7</v>
      </c>
      <c r="D1059">
        <v>56.7</v>
      </c>
      <c r="E1059">
        <v>396.90000000000003</v>
      </c>
      <c r="F1059" s="2">
        <v>45699</v>
      </c>
      <c r="G1059" s="2">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ht="18" x14ac:dyDescent="0.5">
      <c r="A1060" t="s">
        <v>1157</v>
      </c>
      <c r="B1060" t="s">
        <v>46</v>
      </c>
      <c r="C1060">
        <v>13</v>
      </c>
      <c r="D1060">
        <v>22.9</v>
      </c>
      <c r="E1060">
        <v>297.7</v>
      </c>
      <c r="F1060" s="2">
        <v>45699</v>
      </c>
      <c r="G1060" s="2">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ht="18" x14ac:dyDescent="0.5">
      <c r="A1061" t="s">
        <v>1158</v>
      </c>
      <c r="B1061" t="s">
        <v>123</v>
      </c>
      <c r="C1061">
        <v>19</v>
      </c>
      <c r="D1061">
        <v>53.6</v>
      </c>
      <c r="E1061">
        <v>1018.4</v>
      </c>
      <c r="F1061" s="2">
        <v>45699</v>
      </c>
      <c r="G1061" s="2">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ht="18" x14ac:dyDescent="0.5">
      <c r="A1062" t="s">
        <v>1159</v>
      </c>
      <c r="B1062" t="s">
        <v>146</v>
      </c>
      <c r="C1062">
        <v>2</v>
      </c>
      <c r="D1062">
        <v>30.2</v>
      </c>
      <c r="E1062">
        <v>60.4</v>
      </c>
      <c r="F1062" s="2">
        <v>45699</v>
      </c>
      <c r="G1062" s="2">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ht="18" x14ac:dyDescent="0.5">
      <c r="A1063" t="s">
        <v>1160</v>
      </c>
      <c r="B1063" t="s">
        <v>123</v>
      </c>
      <c r="C1063">
        <v>6</v>
      </c>
      <c r="D1063">
        <v>83.4</v>
      </c>
      <c r="E1063">
        <v>500.40000000000003</v>
      </c>
      <c r="F1063" s="2">
        <v>45699</v>
      </c>
      <c r="G1063" s="2">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ht="18" x14ac:dyDescent="0.5">
      <c r="A1064" t="s">
        <v>1161</v>
      </c>
      <c r="B1064" t="s">
        <v>76</v>
      </c>
      <c r="C1064">
        <v>12</v>
      </c>
      <c r="D1064">
        <v>16.600000000000001</v>
      </c>
      <c r="E1064">
        <v>199.20000000000002</v>
      </c>
      <c r="F1064" s="2">
        <v>45699</v>
      </c>
      <c r="G1064" s="2">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ht="18" x14ac:dyDescent="0.5">
      <c r="A1065" t="s">
        <v>1162</v>
      </c>
      <c r="B1065" t="s">
        <v>44</v>
      </c>
      <c r="C1065">
        <v>17</v>
      </c>
      <c r="D1065">
        <v>21.9</v>
      </c>
      <c r="E1065">
        <v>372.29999999999995</v>
      </c>
      <c r="F1065" s="2">
        <v>45699</v>
      </c>
      <c r="G1065" s="2">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ht="18" x14ac:dyDescent="0.5">
      <c r="A1066" t="s">
        <v>1163</v>
      </c>
      <c r="B1066" t="s">
        <v>44</v>
      </c>
      <c r="C1066">
        <v>28</v>
      </c>
      <c r="D1066">
        <v>33.799999999999997</v>
      </c>
      <c r="E1066">
        <v>946.39999999999986</v>
      </c>
      <c r="F1066" s="2">
        <v>45699</v>
      </c>
      <c r="G1066" s="2">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ht="18" x14ac:dyDescent="0.5">
      <c r="A1067" t="s">
        <v>1164</v>
      </c>
      <c r="B1067" t="s">
        <v>146</v>
      </c>
      <c r="C1067">
        <v>2</v>
      </c>
      <c r="D1067">
        <v>53.2</v>
      </c>
      <c r="E1067">
        <v>106.4</v>
      </c>
      <c r="F1067" s="2">
        <v>45699</v>
      </c>
      <c r="G1067" s="2">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ht="18" x14ac:dyDescent="0.5">
      <c r="A1068" t="s">
        <v>1165</v>
      </c>
      <c r="B1068" t="s">
        <v>26</v>
      </c>
      <c r="C1068">
        <v>2</v>
      </c>
      <c r="D1068">
        <v>176.7</v>
      </c>
      <c r="E1068">
        <v>353.4</v>
      </c>
      <c r="F1068" s="2">
        <v>45699</v>
      </c>
      <c r="G1068" s="2">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ht="18" x14ac:dyDescent="0.5">
      <c r="A1069" t="s">
        <v>1166</v>
      </c>
      <c r="B1069" t="s">
        <v>69</v>
      </c>
      <c r="C1069">
        <v>3</v>
      </c>
      <c r="D1069">
        <v>54</v>
      </c>
      <c r="E1069">
        <v>162</v>
      </c>
      <c r="F1069" s="2">
        <v>45699</v>
      </c>
      <c r="G1069" s="2">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ht="18" x14ac:dyDescent="0.5">
      <c r="A1070" t="s">
        <v>1167</v>
      </c>
      <c r="B1070" t="s">
        <v>46</v>
      </c>
      <c r="C1070">
        <v>2</v>
      </c>
      <c r="D1070">
        <v>70.099999999999994</v>
      </c>
      <c r="E1070">
        <v>140.19999999999999</v>
      </c>
      <c r="F1070" s="2">
        <v>45699</v>
      </c>
      <c r="G1070" s="2">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ht="18" x14ac:dyDescent="0.5">
      <c r="A1071" t="s">
        <v>1168</v>
      </c>
      <c r="B1071" t="s">
        <v>44</v>
      </c>
      <c r="C1071">
        <v>1</v>
      </c>
      <c r="D1071">
        <v>26.5</v>
      </c>
      <c r="E1071">
        <v>26.5</v>
      </c>
      <c r="F1071" s="2">
        <v>45699</v>
      </c>
      <c r="G1071" s="2">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ht="18" x14ac:dyDescent="0.5">
      <c r="A1072" t="s">
        <v>1169</v>
      </c>
      <c r="B1072" t="s">
        <v>42</v>
      </c>
      <c r="C1072">
        <v>5</v>
      </c>
      <c r="D1072">
        <v>89</v>
      </c>
      <c r="E1072">
        <v>445</v>
      </c>
      <c r="F1072" s="2">
        <v>45699</v>
      </c>
      <c r="G1072" s="2">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ht="18" x14ac:dyDescent="0.5">
      <c r="A1073" t="s">
        <v>1170</v>
      </c>
      <c r="B1073" t="s">
        <v>22</v>
      </c>
      <c r="C1073">
        <v>6</v>
      </c>
      <c r="D1073">
        <v>47</v>
      </c>
      <c r="E1073">
        <v>282</v>
      </c>
      <c r="F1073" s="2">
        <v>45699</v>
      </c>
      <c r="G1073" s="2">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ht="18" x14ac:dyDescent="0.5">
      <c r="A1074" t="s">
        <v>1171</v>
      </c>
      <c r="B1074" t="s">
        <v>30</v>
      </c>
      <c r="C1074">
        <v>2</v>
      </c>
      <c r="D1074">
        <v>55.2</v>
      </c>
      <c r="E1074">
        <v>110.4</v>
      </c>
      <c r="F1074" s="2">
        <v>45699</v>
      </c>
      <c r="G1074" s="2">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ht="18" x14ac:dyDescent="0.5">
      <c r="A1075" t="s">
        <v>1172</v>
      </c>
      <c r="B1075" t="s">
        <v>44</v>
      </c>
      <c r="C1075">
        <v>42</v>
      </c>
      <c r="D1075">
        <v>33.299999999999997</v>
      </c>
      <c r="E1075">
        <v>1398.6</v>
      </c>
      <c r="F1075" s="2">
        <v>45699</v>
      </c>
      <c r="G1075" s="2">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ht="18" x14ac:dyDescent="0.5">
      <c r="A1076" t="s">
        <v>1173</v>
      </c>
      <c r="B1076" t="s">
        <v>26</v>
      </c>
      <c r="C1076">
        <v>4</v>
      </c>
      <c r="D1076">
        <v>110.9</v>
      </c>
      <c r="E1076">
        <v>443.6</v>
      </c>
      <c r="F1076" s="2">
        <v>45700</v>
      </c>
      <c r="G1076" s="2">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ht="18" x14ac:dyDescent="0.5">
      <c r="A1077" t="s">
        <v>1174</v>
      </c>
      <c r="B1077" t="s">
        <v>26</v>
      </c>
      <c r="C1077">
        <v>6</v>
      </c>
      <c r="D1077">
        <v>67.3</v>
      </c>
      <c r="E1077">
        <v>403.79999999999995</v>
      </c>
      <c r="F1077" s="2">
        <v>45700</v>
      </c>
      <c r="G1077" s="2">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ht="18" x14ac:dyDescent="0.5">
      <c r="A1078" t="s">
        <v>1175</v>
      </c>
      <c r="B1078" t="s">
        <v>39</v>
      </c>
      <c r="C1078">
        <v>3</v>
      </c>
      <c r="D1078">
        <v>69.7</v>
      </c>
      <c r="E1078">
        <v>209.10000000000002</v>
      </c>
      <c r="F1078" s="2">
        <v>45700</v>
      </c>
      <c r="G1078" s="2">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ht="18" x14ac:dyDescent="0.5">
      <c r="A1079" t="s">
        <v>1176</v>
      </c>
      <c r="B1079" t="s">
        <v>37</v>
      </c>
      <c r="C1079">
        <v>1</v>
      </c>
      <c r="D1079">
        <v>39.1</v>
      </c>
      <c r="E1079">
        <v>39.1</v>
      </c>
      <c r="F1079" s="2">
        <v>45700</v>
      </c>
      <c r="G1079" s="2">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ht="18" x14ac:dyDescent="0.5">
      <c r="A1080" t="s">
        <v>1177</v>
      </c>
      <c r="B1080" t="s">
        <v>26</v>
      </c>
      <c r="C1080">
        <v>3</v>
      </c>
      <c r="D1080">
        <v>208.6</v>
      </c>
      <c r="E1080">
        <v>625.79999999999995</v>
      </c>
      <c r="F1080" s="2">
        <v>45700</v>
      </c>
      <c r="G1080" s="2">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ht="18" x14ac:dyDescent="0.5">
      <c r="A1081" t="s">
        <v>1178</v>
      </c>
      <c r="B1081" t="s">
        <v>123</v>
      </c>
      <c r="C1081">
        <v>3</v>
      </c>
      <c r="D1081">
        <v>27.8</v>
      </c>
      <c r="E1081">
        <v>83.4</v>
      </c>
      <c r="F1081" s="2">
        <v>45700</v>
      </c>
      <c r="G1081" s="2">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ht="18" x14ac:dyDescent="0.5">
      <c r="A1082" t="s">
        <v>1179</v>
      </c>
      <c r="B1082" t="s">
        <v>54</v>
      </c>
      <c r="C1082">
        <v>5</v>
      </c>
      <c r="D1082">
        <v>29.4</v>
      </c>
      <c r="E1082">
        <v>147</v>
      </c>
      <c r="F1082" s="2">
        <v>45700</v>
      </c>
      <c r="G1082" s="2">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ht="18" x14ac:dyDescent="0.5">
      <c r="A1083" t="s">
        <v>1180</v>
      </c>
      <c r="B1083" t="s">
        <v>46</v>
      </c>
      <c r="C1083">
        <v>2</v>
      </c>
      <c r="D1083">
        <v>29.2</v>
      </c>
      <c r="E1083">
        <v>58.4</v>
      </c>
      <c r="F1083" s="2">
        <v>45700</v>
      </c>
      <c r="G1083" s="2">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ht="18" x14ac:dyDescent="0.5">
      <c r="A1084" t="s">
        <v>1181</v>
      </c>
      <c r="B1084" t="s">
        <v>54</v>
      </c>
      <c r="C1084">
        <v>5</v>
      </c>
      <c r="D1084">
        <v>26.5</v>
      </c>
      <c r="E1084">
        <v>132.5</v>
      </c>
      <c r="F1084" s="2">
        <v>45700</v>
      </c>
      <c r="G1084" s="2">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ht="18" x14ac:dyDescent="0.5">
      <c r="A1085" t="s">
        <v>1182</v>
      </c>
      <c r="B1085" t="s">
        <v>37</v>
      </c>
      <c r="C1085">
        <v>1</v>
      </c>
      <c r="D1085">
        <v>30.3</v>
      </c>
      <c r="E1085">
        <v>30.3</v>
      </c>
      <c r="F1085" s="2">
        <v>45700</v>
      </c>
      <c r="G1085" s="2">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ht="18" x14ac:dyDescent="0.5">
      <c r="A1086" t="s">
        <v>1183</v>
      </c>
      <c r="B1086" t="s">
        <v>128</v>
      </c>
      <c r="C1086">
        <v>12</v>
      </c>
      <c r="D1086">
        <v>39.700000000000003</v>
      </c>
      <c r="E1086">
        <v>476.40000000000003</v>
      </c>
      <c r="F1086" s="2">
        <v>45700</v>
      </c>
      <c r="G1086" s="2">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ht="18" x14ac:dyDescent="0.5">
      <c r="A1087" t="s">
        <v>1184</v>
      </c>
      <c r="B1087" t="s">
        <v>42</v>
      </c>
      <c r="C1087">
        <v>10</v>
      </c>
      <c r="D1087">
        <v>58.9</v>
      </c>
      <c r="E1087">
        <v>589</v>
      </c>
      <c r="F1087" s="2">
        <v>45700</v>
      </c>
      <c r="G1087" s="2">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ht="18" x14ac:dyDescent="0.5">
      <c r="A1088" t="s">
        <v>1185</v>
      </c>
      <c r="B1088" t="s">
        <v>26</v>
      </c>
      <c r="C1088">
        <v>2</v>
      </c>
      <c r="D1088">
        <v>174.1</v>
      </c>
      <c r="E1088">
        <v>348.2</v>
      </c>
      <c r="F1088" s="2">
        <v>45700</v>
      </c>
      <c r="G1088" s="2">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ht="18" x14ac:dyDescent="0.5">
      <c r="A1089" t="s">
        <v>1186</v>
      </c>
      <c r="B1089" t="s">
        <v>39</v>
      </c>
      <c r="C1089">
        <v>2</v>
      </c>
      <c r="D1089">
        <v>70.8</v>
      </c>
      <c r="E1089">
        <v>141.6</v>
      </c>
      <c r="F1089" s="2">
        <v>45700</v>
      </c>
      <c r="G1089" s="2">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ht="18" x14ac:dyDescent="0.5">
      <c r="A1090" t="s">
        <v>1187</v>
      </c>
      <c r="B1090" t="s">
        <v>42</v>
      </c>
      <c r="C1090">
        <v>2</v>
      </c>
      <c r="D1090">
        <v>57.4</v>
      </c>
      <c r="E1090">
        <v>114.8</v>
      </c>
      <c r="F1090" s="2">
        <v>45700</v>
      </c>
      <c r="G1090" s="2">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ht="18" x14ac:dyDescent="0.5">
      <c r="A1091" t="s">
        <v>1188</v>
      </c>
      <c r="B1091" t="s">
        <v>16</v>
      </c>
      <c r="C1091">
        <v>2</v>
      </c>
      <c r="D1091">
        <v>28.5</v>
      </c>
      <c r="E1091">
        <v>57</v>
      </c>
      <c r="F1091" s="2">
        <v>45700</v>
      </c>
      <c r="G1091" s="2">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ht="18" x14ac:dyDescent="0.5">
      <c r="A1092" t="s">
        <v>1189</v>
      </c>
      <c r="B1092" t="s">
        <v>26</v>
      </c>
      <c r="C1092">
        <v>20</v>
      </c>
      <c r="D1092">
        <v>106.6</v>
      </c>
      <c r="E1092">
        <v>2132</v>
      </c>
      <c r="F1092" s="2">
        <v>45700</v>
      </c>
      <c r="G1092" s="2">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ht="18" x14ac:dyDescent="0.5">
      <c r="A1093" t="s">
        <v>1190</v>
      </c>
      <c r="B1093" t="s">
        <v>26</v>
      </c>
      <c r="C1093">
        <v>3</v>
      </c>
      <c r="D1093">
        <v>119.7</v>
      </c>
      <c r="E1093">
        <v>359.1</v>
      </c>
      <c r="F1093" s="2">
        <v>45700</v>
      </c>
      <c r="G1093" s="2">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ht="18" x14ac:dyDescent="0.5">
      <c r="A1094" t="s">
        <v>1191</v>
      </c>
      <c r="B1094" t="s">
        <v>146</v>
      </c>
      <c r="C1094">
        <v>1</v>
      </c>
      <c r="D1094">
        <v>73.3</v>
      </c>
      <c r="E1094">
        <v>73.3</v>
      </c>
      <c r="F1094" s="2">
        <v>45700</v>
      </c>
      <c r="G1094" s="2">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ht="18" x14ac:dyDescent="0.5">
      <c r="A1095" t="s">
        <v>1192</v>
      </c>
      <c r="B1095" t="s">
        <v>16</v>
      </c>
      <c r="C1095">
        <v>2</v>
      </c>
      <c r="D1095">
        <v>25.8</v>
      </c>
      <c r="E1095">
        <v>51.6</v>
      </c>
      <c r="F1095" s="2">
        <v>45700</v>
      </c>
      <c r="G1095" s="2">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ht="18" x14ac:dyDescent="0.5">
      <c r="A1096" t="s">
        <v>1193</v>
      </c>
      <c r="B1096" t="s">
        <v>135</v>
      </c>
      <c r="C1096">
        <v>3</v>
      </c>
      <c r="D1096">
        <v>49.1</v>
      </c>
      <c r="E1096">
        <v>147.30000000000001</v>
      </c>
      <c r="F1096" s="2">
        <v>45700</v>
      </c>
      <c r="G1096" s="2">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ht="18" x14ac:dyDescent="0.5">
      <c r="A1097" t="s">
        <v>1194</v>
      </c>
      <c r="B1097" t="s">
        <v>22</v>
      </c>
      <c r="C1097">
        <v>1</v>
      </c>
      <c r="D1097">
        <v>44.9</v>
      </c>
      <c r="E1097">
        <v>44.9</v>
      </c>
      <c r="F1097" s="2">
        <v>45700</v>
      </c>
      <c r="G1097" s="2">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ht="18" x14ac:dyDescent="0.5">
      <c r="A1098" t="s">
        <v>1195</v>
      </c>
      <c r="B1098" t="s">
        <v>123</v>
      </c>
      <c r="C1098">
        <v>7</v>
      </c>
      <c r="D1098">
        <v>29.9</v>
      </c>
      <c r="E1098">
        <v>209.29999999999998</v>
      </c>
      <c r="F1098" s="2">
        <v>45700</v>
      </c>
      <c r="G1098" s="2">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ht="18" x14ac:dyDescent="0.5">
      <c r="A1099" t="s">
        <v>1196</v>
      </c>
      <c r="B1099" t="s">
        <v>42</v>
      </c>
      <c r="C1099">
        <v>2</v>
      </c>
      <c r="D1099">
        <v>54.3</v>
      </c>
      <c r="E1099">
        <v>108.6</v>
      </c>
      <c r="F1099" s="2">
        <v>45701</v>
      </c>
      <c r="G1099" s="2">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ht="18" x14ac:dyDescent="0.5">
      <c r="A1100" t="s">
        <v>1197</v>
      </c>
      <c r="B1100" t="s">
        <v>46</v>
      </c>
      <c r="C1100">
        <v>4</v>
      </c>
      <c r="D1100">
        <v>57</v>
      </c>
      <c r="E1100">
        <v>228</v>
      </c>
      <c r="F1100" s="2">
        <v>45701</v>
      </c>
      <c r="G1100" s="2">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ht="18" x14ac:dyDescent="0.5">
      <c r="A1101" t="s">
        <v>1198</v>
      </c>
      <c r="B1101" t="s">
        <v>26</v>
      </c>
      <c r="C1101">
        <v>1</v>
      </c>
      <c r="D1101">
        <v>139.19999999999999</v>
      </c>
      <c r="E1101">
        <v>139.19999999999999</v>
      </c>
      <c r="F1101" s="2">
        <v>45701</v>
      </c>
      <c r="G1101" s="2">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ht="18" x14ac:dyDescent="0.5">
      <c r="A1102" t="s">
        <v>1199</v>
      </c>
      <c r="B1102" t="s">
        <v>54</v>
      </c>
      <c r="C1102">
        <v>1</v>
      </c>
      <c r="D1102">
        <v>33</v>
      </c>
      <c r="E1102">
        <v>33</v>
      </c>
      <c r="F1102" s="2">
        <v>45701</v>
      </c>
      <c r="G1102" s="2">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ht="18" x14ac:dyDescent="0.5">
      <c r="A1103" t="s">
        <v>1200</v>
      </c>
      <c r="B1103" t="s">
        <v>67</v>
      </c>
      <c r="C1103">
        <v>6</v>
      </c>
      <c r="D1103">
        <v>80.2</v>
      </c>
      <c r="E1103">
        <v>481.20000000000005</v>
      </c>
      <c r="F1103" s="2">
        <v>45701</v>
      </c>
      <c r="G1103" s="2">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ht="18" x14ac:dyDescent="0.5">
      <c r="A1104" t="s">
        <v>1201</v>
      </c>
      <c r="B1104" t="s">
        <v>146</v>
      </c>
      <c r="C1104">
        <v>8</v>
      </c>
      <c r="D1104">
        <v>49</v>
      </c>
      <c r="E1104">
        <v>392</v>
      </c>
      <c r="F1104" s="2">
        <v>45701</v>
      </c>
      <c r="G1104" s="2">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ht="18" x14ac:dyDescent="0.5">
      <c r="A1105" t="s">
        <v>1202</v>
      </c>
      <c r="B1105" t="s">
        <v>22</v>
      </c>
      <c r="C1105">
        <v>4</v>
      </c>
      <c r="D1105">
        <v>104.4</v>
      </c>
      <c r="E1105">
        <v>417.6</v>
      </c>
      <c r="F1105" s="2">
        <v>45701</v>
      </c>
      <c r="G1105" s="2">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ht="18" x14ac:dyDescent="0.5">
      <c r="A1106" t="s">
        <v>1203</v>
      </c>
      <c r="B1106" t="s">
        <v>30</v>
      </c>
      <c r="C1106">
        <v>1</v>
      </c>
      <c r="D1106">
        <v>41.6</v>
      </c>
      <c r="E1106">
        <v>41.6</v>
      </c>
      <c r="F1106" s="2">
        <v>45701</v>
      </c>
      <c r="G1106" s="2">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ht="18" x14ac:dyDescent="0.5">
      <c r="A1107" t="s">
        <v>1204</v>
      </c>
      <c r="B1107" t="s">
        <v>171</v>
      </c>
      <c r="C1107">
        <v>2</v>
      </c>
      <c r="D1107">
        <v>16.399999999999999</v>
      </c>
      <c r="E1107">
        <v>32.799999999999997</v>
      </c>
      <c r="F1107" s="2">
        <v>45701</v>
      </c>
      <c r="G1107" s="2">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ht="18" x14ac:dyDescent="0.5">
      <c r="A1108" t="s">
        <v>1205</v>
      </c>
      <c r="B1108" t="s">
        <v>44</v>
      </c>
      <c r="C1108">
        <v>2</v>
      </c>
      <c r="D1108">
        <v>22</v>
      </c>
      <c r="E1108">
        <v>44</v>
      </c>
      <c r="F1108" s="2">
        <v>45701</v>
      </c>
      <c r="G1108" s="2">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ht="18" x14ac:dyDescent="0.5">
      <c r="A1109" t="s">
        <v>1206</v>
      </c>
      <c r="B1109" t="s">
        <v>123</v>
      </c>
      <c r="C1109">
        <v>2</v>
      </c>
      <c r="D1109">
        <v>33.6</v>
      </c>
      <c r="E1109">
        <v>67.2</v>
      </c>
      <c r="F1109" s="2">
        <v>45701</v>
      </c>
      <c r="G1109" s="2">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ht="18" x14ac:dyDescent="0.5">
      <c r="A1110" t="s">
        <v>1207</v>
      </c>
      <c r="B1110" t="s">
        <v>67</v>
      </c>
      <c r="C1110">
        <v>6</v>
      </c>
      <c r="D1110">
        <v>43</v>
      </c>
      <c r="E1110">
        <v>258</v>
      </c>
      <c r="F1110" s="2">
        <v>45701</v>
      </c>
      <c r="G1110" s="2">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ht="18" x14ac:dyDescent="0.5">
      <c r="A1111" t="s">
        <v>1208</v>
      </c>
      <c r="B1111" t="s">
        <v>39</v>
      </c>
      <c r="C1111">
        <v>5</v>
      </c>
      <c r="D1111">
        <v>108.8</v>
      </c>
      <c r="E1111">
        <v>544</v>
      </c>
      <c r="F1111" s="2">
        <v>45701</v>
      </c>
      <c r="G1111" s="2">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ht="18" x14ac:dyDescent="0.5">
      <c r="A1112" t="s">
        <v>1209</v>
      </c>
      <c r="B1112" t="s">
        <v>16</v>
      </c>
      <c r="C1112">
        <v>9</v>
      </c>
      <c r="D1112">
        <v>29.3</v>
      </c>
      <c r="E1112">
        <v>263.7</v>
      </c>
      <c r="F1112" s="2">
        <v>45701</v>
      </c>
      <c r="G1112" s="2">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ht="18" x14ac:dyDescent="0.5">
      <c r="A1113" t="s">
        <v>1210</v>
      </c>
      <c r="B1113" t="s">
        <v>26</v>
      </c>
      <c r="C1113">
        <v>1</v>
      </c>
      <c r="D1113">
        <v>122.7</v>
      </c>
      <c r="E1113">
        <v>122.7</v>
      </c>
      <c r="F1113" s="2">
        <v>45701</v>
      </c>
      <c r="G1113" s="2">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ht="18" x14ac:dyDescent="0.5">
      <c r="A1114" t="s">
        <v>1211</v>
      </c>
      <c r="B1114" t="s">
        <v>32</v>
      </c>
      <c r="C1114">
        <v>7</v>
      </c>
      <c r="D1114">
        <v>22.9</v>
      </c>
      <c r="E1114">
        <v>160.29999999999998</v>
      </c>
      <c r="F1114" s="2">
        <v>45701</v>
      </c>
      <c r="G1114" s="2">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ht="18" x14ac:dyDescent="0.5">
      <c r="A1115" t="s">
        <v>1212</v>
      </c>
      <c r="B1115" t="s">
        <v>44</v>
      </c>
      <c r="C1115">
        <v>10</v>
      </c>
      <c r="D1115">
        <v>25.5</v>
      </c>
      <c r="E1115">
        <v>255</v>
      </c>
      <c r="F1115" s="2">
        <v>45701</v>
      </c>
      <c r="G1115" s="2">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ht="18" x14ac:dyDescent="0.5">
      <c r="A1116" t="s">
        <v>1213</v>
      </c>
      <c r="B1116" t="s">
        <v>135</v>
      </c>
      <c r="C1116">
        <v>3</v>
      </c>
      <c r="D1116">
        <v>23.4</v>
      </c>
      <c r="E1116">
        <v>70.199999999999989</v>
      </c>
      <c r="F1116" s="2">
        <v>45701</v>
      </c>
      <c r="G1116" s="2">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ht="18" x14ac:dyDescent="0.5">
      <c r="A1117" t="s">
        <v>1214</v>
      </c>
      <c r="B1117" t="s">
        <v>37</v>
      </c>
      <c r="C1117">
        <v>8</v>
      </c>
      <c r="D1117">
        <v>27.4</v>
      </c>
      <c r="E1117">
        <v>219.2</v>
      </c>
      <c r="F1117" s="2">
        <v>45701</v>
      </c>
      <c r="G1117" s="2">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ht="18" x14ac:dyDescent="0.5">
      <c r="A1118" t="s">
        <v>1215</v>
      </c>
      <c r="B1118" t="s">
        <v>37</v>
      </c>
      <c r="C1118">
        <v>5</v>
      </c>
      <c r="D1118">
        <v>68.400000000000006</v>
      </c>
      <c r="E1118">
        <v>342</v>
      </c>
      <c r="F1118" s="2">
        <v>45701</v>
      </c>
      <c r="G1118" s="2">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ht="18" x14ac:dyDescent="0.5">
      <c r="A1119" t="s">
        <v>1216</v>
      </c>
      <c r="B1119" t="s">
        <v>39</v>
      </c>
      <c r="C1119">
        <v>1</v>
      </c>
      <c r="D1119">
        <v>51.9</v>
      </c>
      <c r="E1119">
        <v>51.9</v>
      </c>
      <c r="F1119" s="2">
        <v>45701</v>
      </c>
      <c r="G1119" s="2">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ht="18" x14ac:dyDescent="0.5">
      <c r="A1120" t="s">
        <v>1217</v>
      </c>
      <c r="B1120" t="s">
        <v>16</v>
      </c>
      <c r="C1120">
        <v>5</v>
      </c>
      <c r="D1120">
        <v>26.4</v>
      </c>
      <c r="E1120">
        <v>132</v>
      </c>
      <c r="F1120" s="2">
        <v>45701</v>
      </c>
      <c r="G1120" s="2">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ht="18" x14ac:dyDescent="0.5">
      <c r="A1121" t="s">
        <v>1218</v>
      </c>
      <c r="B1121" t="s">
        <v>69</v>
      </c>
      <c r="C1121">
        <v>2</v>
      </c>
      <c r="D1121">
        <v>117</v>
      </c>
      <c r="E1121">
        <v>234</v>
      </c>
      <c r="F1121" s="2">
        <v>45701</v>
      </c>
      <c r="G1121" s="2">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ht="18" x14ac:dyDescent="0.5">
      <c r="A1122" t="s">
        <v>1219</v>
      </c>
      <c r="B1122" t="s">
        <v>42</v>
      </c>
      <c r="C1122">
        <v>3</v>
      </c>
      <c r="D1122">
        <v>49.6</v>
      </c>
      <c r="E1122">
        <v>148.80000000000001</v>
      </c>
      <c r="F1122" s="2">
        <v>45702</v>
      </c>
      <c r="G1122" s="2">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ht="18" x14ac:dyDescent="0.5">
      <c r="A1123" t="s">
        <v>1220</v>
      </c>
      <c r="B1123" t="s">
        <v>32</v>
      </c>
      <c r="C1123">
        <v>3</v>
      </c>
      <c r="D1123">
        <v>38</v>
      </c>
      <c r="E1123">
        <v>114</v>
      </c>
      <c r="F1123" s="2">
        <v>45702</v>
      </c>
      <c r="G1123" s="2">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ht="18" x14ac:dyDescent="0.5">
      <c r="A1124" t="s">
        <v>1221</v>
      </c>
      <c r="B1124" t="s">
        <v>16</v>
      </c>
      <c r="C1124">
        <v>3</v>
      </c>
      <c r="D1124">
        <v>20.6</v>
      </c>
      <c r="E1124">
        <v>61.800000000000004</v>
      </c>
      <c r="F1124" s="2">
        <v>45702</v>
      </c>
      <c r="G1124" s="2">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ht="18" x14ac:dyDescent="0.5">
      <c r="A1125" t="s">
        <v>1222</v>
      </c>
      <c r="B1125" t="s">
        <v>16</v>
      </c>
      <c r="C1125">
        <v>2</v>
      </c>
      <c r="D1125">
        <v>16</v>
      </c>
      <c r="E1125">
        <v>32</v>
      </c>
      <c r="F1125" s="2">
        <v>45702</v>
      </c>
      <c r="G1125" s="2">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ht="18" x14ac:dyDescent="0.5">
      <c r="A1126" t="s">
        <v>1223</v>
      </c>
      <c r="B1126" t="s">
        <v>123</v>
      </c>
      <c r="C1126">
        <v>4</v>
      </c>
      <c r="D1126">
        <v>49.3</v>
      </c>
      <c r="E1126">
        <v>197.2</v>
      </c>
      <c r="F1126" s="2">
        <v>45702</v>
      </c>
      <c r="G1126" s="2">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ht="18" x14ac:dyDescent="0.5">
      <c r="A1127" t="s">
        <v>1224</v>
      </c>
      <c r="B1127" t="s">
        <v>46</v>
      </c>
      <c r="C1127">
        <v>2</v>
      </c>
      <c r="D1127">
        <v>24.1</v>
      </c>
      <c r="E1127">
        <v>48.2</v>
      </c>
      <c r="F1127" s="2">
        <v>45702</v>
      </c>
      <c r="G1127" s="2">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ht="18" x14ac:dyDescent="0.5">
      <c r="A1128" t="s">
        <v>1225</v>
      </c>
      <c r="B1128" t="s">
        <v>123</v>
      </c>
      <c r="C1128">
        <v>8</v>
      </c>
      <c r="D1128">
        <v>32.700000000000003</v>
      </c>
      <c r="E1128">
        <v>261.60000000000002</v>
      </c>
      <c r="F1128" s="2">
        <v>45702</v>
      </c>
      <c r="G1128" s="2">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ht="18" x14ac:dyDescent="0.5">
      <c r="A1129" t="s">
        <v>1226</v>
      </c>
      <c r="B1129" t="s">
        <v>39</v>
      </c>
      <c r="C1129">
        <v>3</v>
      </c>
      <c r="D1129">
        <v>74.400000000000006</v>
      </c>
      <c r="E1129">
        <v>223.20000000000002</v>
      </c>
      <c r="F1129" s="2">
        <v>45702</v>
      </c>
      <c r="G1129" s="2">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ht="18" x14ac:dyDescent="0.5">
      <c r="A1130" t="s">
        <v>1227</v>
      </c>
      <c r="B1130" t="s">
        <v>69</v>
      </c>
      <c r="C1130">
        <v>1</v>
      </c>
      <c r="D1130">
        <v>45.6</v>
      </c>
      <c r="E1130">
        <v>45.6</v>
      </c>
      <c r="F1130" s="2">
        <v>45702</v>
      </c>
      <c r="G1130" s="2">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ht="18" x14ac:dyDescent="0.5">
      <c r="A1131" t="s">
        <v>1228</v>
      </c>
      <c r="B1131" t="s">
        <v>44</v>
      </c>
      <c r="C1131">
        <v>8</v>
      </c>
      <c r="D1131">
        <v>19.600000000000001</v>
      </c>
      <c r="E1131">
        <v>156.80000000000001</v>
      </c>
      <c r="F1131" s="2">
        <v>45702</v>
      </c>
      <c r="G1131" s="2">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ht="18" x14ac:dyDescent="0.5">
      <c r="A1132" t="s">
        <v>1229</v>
      </c>
      <c r="B1132" t="s">
        <v>46</v>
      </c>
      <c r="C1132">
        <v>1</v>
      </c>
      <c r="D1132">
        <v>51.8</v>
      </c>
      <c r="E1132">
        <v>51.8</v>
      </c>
      <c r="F1132" s="2">
        <v>45702</v>
      </c>
      <c r="G1132" s="2">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ht="18" x14ac:dyDescent="0.5">
      <c r="A1133" t="s">
        <v>1230</v>
      </c>
      <c r="B1133" t="s">
        <v>39</v>
      </c>
      <c r="C1133">
        <v>1</v>
      </c>
      <c r="D1133">
        <v>74.7</v>
      </c>
      <c r="E1133">
        <v>74.7</v>
      </c>
      <c r="F1133" s="2">
        <v>45702</v>
      </c>
      <c r="G1133" s="2">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ht="18" x14ac:dyDescent="0.5">
      <c r="A1134" t="s">
        <v>1231</v>
      </c>
      <c r="B1134" t="s">
        <v>171</v>
      </c>
      <c r="C1134">
        <v>3</v>
      </c>
      <c r="D1134">
        <v>22.4</v>
      </c>
      <c r="E1134">
        <v>67.199999999999989</v>
      </c>
      <c r="F1134" s="2">
        <v>45702</v>
      </c>
      <c r="G1134" s="2">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ht="18" x14ac:dyDescent="0.5">
      <c r="A1135" t="s">
        <v>1232</v>
      </c>
      <c r="B1135" t="s">
        <v>22</v>
      </c>
      <c r="C1135">
        <v>4</v>
      </c>
      <c r="D1135">
        <v>31.4</v>
      </c>
      <c r="E1135">
        <v>125.6</v>
      </c>
      <c r="F1135" s="2">
        <v>45702</v>
      </c>
      <c r="G1135" s="2">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ht="18" x14ac:dyDescent="0.5">
      <c r="A1136" t="s">
        <v>1233</v>
      </c>
      <c r="B1136" t="s">
        <v>39</v>
      </c>
      <c r="C1136">
        <v>1</v>
      </c>
      <c r="D1136">
        <v>94</v>
      </c>
      <c r="E1136">
        <v>94</v>
      </c>
      <c r="F1136" s="2">
        <v>45702</v>
      </c>
      <c r="G1136" s="2">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ht="18" x14ac:dyDescent="0.5">
      <c r="A1137" t="s">
        <v>1234</v>
      </c>
      <c r="B1137" t="s">
        <v>54</v>
      </c>
      <c r="C1137">
        <v>1</v>
      </c>
      <c r="D1137">
        <v>22.3</v>
      </c>
      <c r="E1137">
        <v>22.3</v>
      </c>
      <c r="F1137" s="2">
        <v>45702</v>
      </c>
      <c r="G1137" s="2">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ht="18" x14ac:dyDescent="0.5">
      <c r="A1138" t="s">
        <v>1235</v>
      </c>
      <c r="B1138" t="s">
        <v>16</v>
      </c>
      <c r="C1138">
        <v>1</v>
      </c>
      <c r="D1138">
        <v>21.9</v>
      </c>
      <c r="E1138">
        <v>21.9</v>
      </c>
      <c r="F1138" s="2">
        <v>45702</v>
      </c>
      <c r="G1138" s="2">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ht="18" x14ac:dyDescent="0.5">
      <c r="A1139" t="s">
        <v>1236</v>
      </c>
      <c r="B1139" t="s">
        <v>135</v>
      </c>
      <c r="C1139">
        <v>3</v>
      </c>
      <c r="D1139">
        <v>27</v>
      </c>
      <c r="E1139">
        <v>81</v>
      </c>
      <c r="F1139" s="2">
        <v>45702</v>
      </c>
      <c r="G1139" s="2">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ht="18" x14ac:dyDescent="0.5">
      <c r="A1140" t="s">
        <v>1237</v>
      </c>
      <c r="B1140" t="s">
        <v>26</v>
      </c>
      <c r="C1140">
        <v>4</v>
      </c>
      <c r="D1140">
        <v>149.6</v>
      </c>
      <c r="E1140">
        <v>598.4</v>
      </c>
      <c r="F1140" s="2">
        <v>45702</v>
      </c>
      <c r="G1140" s="2">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ht="18" x14ac:dyDescent="0.5">
      <c r="A1141" t="s">
        <v>1238</v>
      </c>
      <c r="B1141" t="s">
        <v>26</v>
      </c>
      <c r="C1141">
        <v>4</v>
      </c>
      <c r="D1141">
        <v>129.1</v>
      </c>
      <c r="E1141">
        <v>516.4</v>
      </c>
      <c r="F1141" s="2">
        <v>45702</v>
      </c>
      <c r="G1141" s="2">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ht="18" x14ac:dyDescent="0.5">
      <c r="A1142" t="s">
        <v>1239</v>
      </c>
      <c r="B1142" t="s">
        <v>22</v>
      </c>
      <c r="C1142">
        <v>12</v>
      </c>
      <c r="D1142">
        <v>40.4</v>
      </c>
      <c r="E1142">
        <v>484.79999999999995</v>
      </c>
      <c r="F1142" s="2">
        <v>45702</v>
      </c>
      <c r="G1142" s="2">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ht="18" x14ac:dyDescent="0.5">
      <c r="A1143" t="s">
        <v>1240</v>
      </c>
      <c r="B1143" t="s">
        <v>32</v>
      </c>
      <c r="C1143">
        <v>3</v>
      </c>
      <c r="D1143">
        <v>48.5</v>
      </c>
      <c r="E1143">
        <v>145.5</v>
      </c>
      <c r="F1143" s="2">
        <v>45702</v>
      </c>
      <c r="G1143" s="2">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ht="18" x14ac:dyDescent="0.5">
      <c r="A1144" t="s">
        <v>1241</v>
      </c>
      <c r="B1144" t="s">
        <v>46</v>
      </c>
      <c r="C1144">
        <v>2</v>
      </c>
      <c r="D1144">
        <v>37.6</v>
      </c>
      <c r="E1144">
        <v>75.2</v>
      </c>
      <c r="F1144" s="2">
        <v>45702</v>
      </c>
      <c r="G1144" s="2">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ht="18" x14ac:dyDescent="0.5">
      <c r="A1145" t="s">
        <v>1242</v>
      </c>
      <c r="B1145" t="s">
        <v>44</v>
      </c>
      <c r="C1145">
        <v>2</v>
      </c>
      <c r="D1145">
        <v>19.600000000000001</v>
      </c>
      <c r="E1145">
        <v>39.200000000000003</v>
      </c>
      <c r="F1145" s="2">
        <v>45702</v>
      </c>
      <c r="G1145" s="2">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ht="18" x14ac:dyDescent="0.5">
      <c r="A1146" t="s">
        <v>1243</v>
      </c>
      <c r="B1146" t="s">
        <v>44</v>
      </c>
      <c r="C1146">
        <v>5</v>
      </c>
      <c r="D1146">
        <v>18.5</v>
      </c>
      <c r="E1146">
        <v>92.5</v>
      </c>
      <c r="F1146" s="2">
        <v>45702</v>
      </c>
      <c r="G1146" s="2">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ht="18" x14ac:dyDescent="0.5">
      <c r="A1147" t="s">
        <v>1244</v>
      </c>
      <c r="B1147" t="s">
        <v>37</v>
      </c>
      <c r="C1147">
        <v>3</v>
      </c>
      <c r="D1147">
        <v>25.5</v>
      </c>
      <c r="E1147">
        <v>76.5</v>
      </c>
      <c r="F1147" s="2">
        <v>45702</v>
      </c>
      <c r="G1147" s="2">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ht="18" x14ac:dyDescent="0.5">
      <c r="A1148" t="s">
        <v>1245</v>
      </c>
      <c r="B1148" t="s">
        <v>26</v>
      </c>
      <c r="C1148">
        <v>2</v>
      </c>
      <c r="D1148">
        <v>94.7</v>
      </c>
      <c r="E1148">
        <v>189.4</v>
      </c>
      <c r="F1148" s="2">
        <v>45702</v>
      </c>
      <c r="G1148" s="2">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ht="18" x14ac:dyDescent="0.5">
      <c r="A1149" t="s">
        <v>1246</v>
      </c>
      <c r="B1149" t="s">
        <v>22</v>
      </c>
      <c r="C1149">
        <v>6</v>
      </c>
      <c r="D1149">
        <v>38.799999999999997</v>
      </c>
      <c r="E1149">
        <v>232.79999999999998</v>
      </c>
      <c r="F1149" s="2">
        <v>45702</v>
      </c>
      <c r="G1149" s="2">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ht="18" x14ac:dyDescent="0.5">
      <c r="A1150" t="s">
        <v>1247</v>
      </c>
      <c r="B1150" t="s">
        <v>46</v>
      </c>
      <c r="C1150">
        <v>2</v>
      </c>
      <c r="D1150">
        <v>49.4</v>
      </c>
      <c r="E1150">
        <v>98.8</v>
      </c>
      <c r="F1150" s="2">
        <v>45703</v>
      </c>
      <c r="G1150" s="2">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ht="18" x14ac:dyDescent="0.5">
      <c r="A1151" t="s">
        <v>1248</v>
      </c>
      <c r="B1151" t="s">
        <v>42</v>
      </c>
      <c r="C1151">
        <v>3</v>
      </c>
      <c r="D1151">
        <v>68</v>
      </c>
      <c r="E1151">
        <v>204</v>
      </c>
      <c r="F1151" s="2">
        <v>45703</v>
      </c>
      <c r="G1151" s="2">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ht="18" x14ac:dyDescent="0.5">
      <c r="A1152" t="s">
        <v>1249</v>
      </c>
      <c r="B1152" t="s">
        <v>123</v>
      </c>
      <c r="C1152">
        <v>7</v>
      </c>
      <c r="D1152">
        <v>63.7</v>
      </c>
      <c r="E1152">
        <v>445.90000000000003</v>
      </c>
      <c r="F1152" s="2">
        <v>45703</v>
      </c>
      <c r="G1152" s="2">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ht="18" x14ac:dyDescent="0.5">
      <c r="A1153" t="s">
        <v>1250</v>
      </c>
      <c r="B1153" t="s">
        <v>54</v>
      </c>
      <c r="C1153">
        <v>2</v>
      </c>
      <c r="D1153">
        <v>66.2</v>
      </c>
      <c r="E1153">
        <v>132.4</v>
      </c>
      <c r="F1153" s="2">
        <v>45703</v>
      </c>
      <c r="G1153" s="2">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ht="18" x14ac:dyDescent="0.5">
      <c r="A1154" t="s">
        <v>1251</v>
      </c>
      <c r="B1154" t="s">
        <v>69</v>
      </c>
      <c r="C1154">
        <v>3</v>
      </c>
      <c r="D1154">
        <v>32.299999999999997</v>
      </c>
      <c r="E1154">
        <v>96.899999999999991</v>
      </c>
      <c r="F1154" s="2">
        <v>45703</v>
      </c>
      <c r="G1154" s="2">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ht="18" x14ac:dyDescent="0.5">
      <c r="A1155" t="s">
        <v>1252</v>
      </c>
      <c r="B1155" t="s">
        <v>32</v>
      </c>
      <c r="C1155">
        <v>2</v>
      </c>
      <c r="D1155">
        <v>66.900000000000006</v>
      </c>
      <c r="E1155">
        <v>133.80000000000001</v>
      </c>
      <c r="F1155" s="2">
        <v>45703</v>
      </c>
      <c r="G1155" s="2">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ht="18" x14ac:dyDescent="0.5">
      <c r="A1156" t="s">
        <v>1253</v>
      </c>
      <c r="B1156" t="s">
        <v>32</v>
      </c>
      <c r="C1156">
        <v>12</v>
      </c>
      <c r="D1156">
        <v>25.2</v>
      </c>
      <c r="E1156">
        <v>302.39999999999998</v>
      </c>
      <c r="F1156" s="2">
        <v>45703</v>
      </c>
      <c r="G1156" s="2">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ht="18" x14ac:dyDescent="0.5">
      <c r="A1157" t="s">
        <v>1254</v>
      </c>
      <c r="B1157" t="s">
        <v>54</v>
      </c>
      <c r="C1157">
        <v>6</v>
      </c>
      <c r="D1157">
        <v>29.5</v>
      </c>
      <c r="E1157">
        <v>177</v>
      </c>
      <c r="F1157" s="2">
        <v>45703</v>
      </c>
      <c r="G1157" s="2">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ht="18" x14ac:dyDescent="0.5">
      <c r="A1158" t="s">
        <v>1255</v>
      </c>
      <c r="B1158" t="s">
        <v>44</v>
      </c>
      <c r="C1158">
        <v>5</v>
      </c>
      <c r="D1158">
        <v>21.6</v>
      </c>
      <c r="E1158">
        <v>108</v>
      </c>
      <c r="F1158" s="2">
        <v>45703</v>
      </c>
      <c r="G1158" s="2">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ht="18" x14ac:dyDescent="0.5">
      <c r="A1159" t="s">
        <v>1256</v>
      </c>
      <c r="B1159" t="s">
        <v>69</v>
      </c>
      <c r="C1159">
        <v>3</v>
      </c>
      <c r="D1159">
        <v>69</v>
      </c>
      <c r="E1159">
        <v>207</v>
      </c>
      <c r="F1159" s="2">
        <v>45703</v>
      </c>
      <c r="G1159" s="2">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ht="18" x14ac:dyDescent="0.5">
      <c r="A1160" t="s">
        <v>1257</v>
      </c>
      <c r="B1160" t="s">
        <v>42</v>
      </c>
      <c r="C1160">
        <v>2</v>
      </c>
      <c r="D1160">
        <v>115</v>
      </c>
      <c r="E1160">
        <v>230</v>
      </c>
      <c r="F1160" s="2">
        <v>45703</v>
      </c>
      <c r="G1160" s="2">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ht="18" x14ac:dyDescent="0.5">
      <c r="A1161" t="s">
        <v>1258</v>
      </c>
      <c r="B1161" t="s">
        <v>26</v>
      </c>
      <c r="C1161">
        <v>2</v>
      </c>
      <c r="D1161">
        <v>109.3</v>
      </c>
      <c r="E1161">
        <v>218.6</v>
      </c>
      <c r="F1161" s="2">
        <v>45703</v>
      </c>
      <c r="G1161" s="2">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ht="18" x14ac:dyDescent="0.5">
      <c r="A1162" t="s">
        <v>1259</v>
      </c>
      <c r="B1162" t="s">
        <v>46</v>
      </c>
      <c r="C1162">
        <v>2</v>
      </c>
      <c r="D1162">
        <v>66.599999999999994</v>
      </c>
      <c r="E1162">
        <v>133.19999999999999</v>
      </c>
      <c r="F1162" s="2">
        <v>45703</v>
      </c>
      <c r="G1162" s="2">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ht="18" x14ac:dyDescent="0.5">
      <c r="A1163" t="s">
        <v>1260</v>
      </c>
      <c r="B1163" t="s">
        <v>69</v>
      </c>
      <c r="C1163">
        <v>5</v>
      </c>
      <c r="D1163">
        <v>47.7</v>
      </c>
      <c r="E1163">
        <v>238.5</v>
      </c>
      <c r="F1163" s="2">
        <v>45703</v>
      </c>
      <c r="G1163" s="2">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ht="18" x14ac:dyDescent="0.5">
      <c r="A1164" t="s">
        <v>1261</v>
      </c>
      <c r="B1164" t="s">
        <v>44</v>
      </c>
      <c r="C1164">
        <v>2</v>
      </c>
      <c r="D1164">
        <v>46</v>
      </c>
      <c r="E1164">
        <v>92</v>
      </c>
      <c r="F1164" s="2">
        <v>45703</v>
      </c>
      <c r="G1164" s="2">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ht="18" x14ac:dyDescent="0.5">
      <c r="A1165" t="s">
        <v>1262</v>
      </c>
      <c r="B1165" t="s">
        <v>22</v>
      </c>
      <c r="C1165">
        <v>6</v>
      </c>
      <c r="D1165">
        <v>39.299999999999997</v>
      </c>
      <c r="E1165">
        <v>235.79999999999998</v>
      </c>
      <c r="F1165" s="2">
        <v>45703</v>
      </c>
      <c r="G1165" s="2">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ht="18" x14ac:dyDescent="0.5">
      <c r="A1166" t="s">
        <v>1263</v>
      </c>
      <c r="B1166" t="s">
        <v>46</v>
      </c>
      <c r="C1166">
        <v>1</v>
      </c>
      <c r="D1166">
        <v>70.2</v>
      </c>
      <c r="E1166">
        <v>70.2</v>
      </c>
      <c r="F1166" s="2">
        <v>45703</v>
      </c>
      <c r="G1166" s="2">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ht="18" x14ac:dyDescent="0.5">
      <c r="A1167" t="s">
        <v>1264</v>
      </c>
      <c r="B1167" t="s">
        <v>30</v>
      </c>
      <c r="C1167">
        <v>4</v>
      </c>
      <c r="D1167">
        <v>71.5</v>
      </c>
      <c r="E1167">
        <v>286</v>
      </c>
      <c r="F1167" s="2">
        <v>45703</v>
      </c>
      <c r="G1167" s="2">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ht="18" x14ac:dyDescent="0.5">
      <c r="A1168" t="s">
        <v>1265</v>
      </c>
      <c r="B1168" t="s">
        <v>54</v>
      </c>
      <c r="C1168">
        <v>7</v>
      </c>
      <c r="D1168">
        <v>31</v>
      </c>
      <c r="E1168">
        <v>217</v>
      </c>
      <c r="F1168" s="2">
        <v>45703</v>
      </c>
      <c r="G1168" s="2">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ht="18" x14ac:dyDescent="0.5">
      <c r="A1169" t="s">
        <v>1266</v>
      </c>
      <c r="B1169" t="s">
        <v>26</v>
      </c>
      <c r="C1169">
        <v>5</v>
      </c>
      <c r="D1169">
        <v>68.2</v>
      </c>
      <c r="E1169">
        <v>341</v>
      </c>
      <c r="F1169" s="2">
        <v>45703</v>
      </c>
      <c r="G1169" s="2">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ht="18" x14ac:dyDescent="0.5">
      <c r="A1170" t="s">
        <v>1267</v>
      </c>
      <c r="B1170" t="s">
        <v>26</v>
      </c>
      <c r="C1170">
        <v>1</v>
      </c>
      <c r="D1170">
        <v>91.4</v>
      </c>
      <c r="E1170">
        <v>91.4</v>
      </c>
      <c r="F1170" s="2">
        <v>45703</v>
      </c>
      <c r="G1170" s="2">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ht="18" x14ac:dyDescent="0.5">
      <c r="A1171" t="s">
        <v>1268</v>
      </c>
      <c r="B1171" t="s">
        <v>39</v>
      </c>
      <c r="C1171">
        <v>10</v>
      </c>
      <c r="D1171">
        <v>112.9</v>
      </c>
      <c r="E1171">
        <v>1129</v>
      </c>
      <c r="F1171" s="2">
        <v>45703</v>
      </c>
      <c r="G1171" s="2">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ht="18" x14ac:dyDescent="0.5">
      <c r="A1172" t="s">
        <v>1269</v>
      </c>
      <c r="B1172" t="s">
        <v>135</v>
      </c>
      <c r="C1172">
        <v>9</v>
      </c>
      <c r="D1172">
        <v>33.700000000000003</v>
      </c>
      <c r="E1172">
        <v>303.3</v>
      </c>
      <c r="F1172" s="2">
        <v>45703</v>
      </c>
      <c r="G1172" s="2">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ht="18" x14ac:dyDescent="0.5">
      <c r="A1173" t="s">
        <v>1270</v>
      </c>
      <c r="B1173" t="s">
        <v>123</v>
      </c>
      <c r="C1173">
        <v>10</v>
      </c>
      <c r="D1173">
        <v>35.299999999999997</v>
      </c>
      <c r="E1173">
        <v>353</v>
      </c>
      <c r="F1173" s="2">
        <v>45703</v>
      </c>
      <c r="G1173" s="2">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ht="18" x14ac:dyDescent="0.5">
      <c r="A1174" t="s">
        <v>1271</v>
      </c>
      <c r="B1174" t="s">
        <v>146</v>
      </c>
      <c r="C1174">
        <v>3</v>
      </c>
      <c r="D1174">
        <v>45.6</v>
      </c>
      <c r="E1174">
        <v>136.80000000000001</v>
      </c>
      <c r="F1174" s="2">
        <v>45703</v>
      </c>
      <c r="G1174" s="2">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ht="18" x14ac:dyDescent="0.5">
      <c r="A1175" t="s">
        <v>1272</v>
      </c>
      <c r="B1175" t="s">
        <v>42</v>
      </c>
      <c r="C1175">
        <v>7</v>
      </c>
      <c r="D1175">
        <v>47.1</v>
      </c>
      <c r="E1175">
        <v>329.7</v>
      </c>
      <c r="F1175" s="2">
        <v>45703</v>
      </c>
      <c r="G1175" s="2">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ht="18" x14ac:dyDescent="0.5">
      <c r="A1176" t="s">
        <v>1273</v>
      </c>
      <c r="B1176" t="s">
        <v>44</v>
      </c>
      <c r="C1176">
        <v>5</v>
      </c>
      <c r="D1176">
        <v>16.2</v>
      </c>
      <c r="E1176">
        <v>81</v>
      </c>
      <c r="F1176" s="2">
        <v>45703</v>
      </c>
      <c r="G1176" s="2">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ht="18" x14ac:dyDescent="0.5">
      <c r="A1177" t="s">
        <v>1274</v>
      </c>
      <c r="B1177" t="s">
        <v>22</v>
      </c>
      <c r="C1177">
        <v>2</v>
      </c>
      <c r="D1177">
        <v>159.69999999999999</v>
      </c>
      <c r="E1177">
        <v>319.39999999999998</v>
      </c>
      <c r="F1177" s="2">
        <v>45704</v>
      </c>
      <c r="G1177" s="2">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ht="18" x14ac:dyDescent="0.5">
      <c r="A1178" t="s">
        <v>1275</v>
      </c>
      <c r="B1178" t="s">
        <v>44</v>
      </c>
      <c r="C1178">
        <v>4</v>
      </c>
      <c r="D1178">
        <v>19</v>
      </c>
      <c r="E1178">
        <v>76</v>
      </c>
      <c r="F1178" s="2">
        <v>45704</v>
      </c>
      <c r="G1178" s="2">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ht="18" x14ac:dyDescent="0.5">
      <c r="A1179" t="s">
        <v>1276</v>
      </c>
      <c r="B1179" t="s">
        <v>39</v>
      </c>
      <c r="C1179">
        <v>6</v>
      </c>
      <c r="D1179">
        <v>91.1</v>
      </c>
      <c r="E1179">
        <v>546.59999999999991</v>
      </c>
      <c r="F1179" s="2">
        <v>45704</v>
      </c>
      <c r="G1179" s="2">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ht="18" x14ac:dyDescent="0.5">
      <c r="A1180" t="s">
        <v>1277</v>
      </c>
      <c r="B1180" t="s">
        <v>26</v>
      </c>
      <c r="C1180">
        <v>5</v>
      </c>
      <c r="D1180">
        <v>94.1</v>
      </c>
      <c r="E1180">
        <v>470.5</v>
      </c>
      <c r="F1180" s="2">
        <v>45704</v>
      </c>
      <c r="G1180" s="2">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ht="18" x14ac:dyDescent="0.5">
      <c r="A1181" t="s">
        <v>1278</v>
      </c>
      <c r="B1181" t="s">
        <v>46</v>
      </c>
      <c r="C1181">
        <v>9</v>
      </c>
      <c r="D1181">
        <v>21.1</v>
      </c>
      <c r="E1181">
        <v>189.9</v>
      </c>
      <c r="F1181" s="2">
        <v>45704</v>
      </c>
      <c r="G1181" s="2">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ht="18" x14ac:dyDescent="0.5">
      <c r="A1182" t="s">
        <v>1279</v>
      </c>
      <c r="B1182" t="s">
        <v>44</v>
      </c>
      <c r="C1182">
        <v>7</v>
      </c>
      <c r="D1182">
        <v>15.3</v>
      </c>
      <c r="E1182">
        <v>107.10000000000001</v>
      </c>
      <c r="F1182" s="2">
        <v>45704</v>
      </c>
      <c r="G1182" s="2">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ht="18" x14ac:dyDescent="0.5">
      <c r="A1183" t="s">
        <v>1280</v>
      </c>
      <c r="B1183" t="s">
        <v>123</v>
      </c>
      <c r="C1183">
        <v>4</v>
      </c>
      <c r="D1183">
        <v>21.3</v>
      </c>
      <c r="E1183">
        <v>85.2</v>
      </c>
      <c r="F1183" s="2">
        <v>45704</v>
      </c>
      <c r="G1183" s="2">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ht="18" x14ac:dyDescent="0.5">
      <c r="A1184" t="s">
        <v>1281</v>
      </c>
      <c r="B1184" t="s">
        <v>16</v>
      </c>
      <c r="C1184">
        <v>2</v>
      </c>
      <c r="D1184">
        <v>23.2</v>
      </c>
      <c r="E1184">
        <v>46.4</v>
      </c>
      <c r="F1184" s="2">
        <v>45704</v>
      </c>
      <c r="G1184" s="2">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ht="18" x14ac:dyDescent="0.5">
      <c r="A1185" t="s">
        <v>1282</v>
      </c>
      <c r="B1185" t="s">
        <v>32</v>
      </c>
      <c r="C1185">
        <v>3</v>
      </c>
      <c r="D1185">
        <v>25.7</v>
      </c>
      <c r="E1185">
        <v>77.099999999999994</v>
      </c>
      <c r="F1185" s="2">
        <v>45704</v>
      </c>
      <c r="G1185" s="2">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ht="18" x14ac:dyDescent="0.5">
      <c r="A1186" t="s">
        <v>1283</v>
      </c>
      <c r="B1186" t="s">
        <v>16</v>
      </c>
      <c r="C1186">
        <v>9</v>
      </c>
      <c r="D1186">
        <v>31.6</v>
      </c>
      <c r="E1186">
        <v>284.40000000000003</v>
      </c>
      <c r="F1186" s="2">
        <v>45704</v>
      </c>
      <c r="G1186" s="2">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ht="18" x14ac:dyDescent="0.5">
      <c r="A1187" t="s">
        <v>1284</v>
      </c>
      <c r="B1187" t="s">
        <v>39</v>
      </c>
      <c r="C1187">
        <v>1</v>
      </c>
      <c r="D1187">
        <v>64.2</v>
      </c>
      <c r="E1187">
        <v>64.2</v>
      </c>
      <c r="F1187" s="2">
        <v>45704</v>
      </c>
      <c r="G1187" s="2">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ht="18" x14ac:dyDescent="0.5">
      <c r="A1188" t="s">
        <v>1285</v>
      </c>
      <c r="B1188" t="s">
        <v>44</v>
      </c>
      <c r="C1188">
        <v>2</v>
      </c>
      <c r="D1188">
        <v>55.8</v>
      </c>
      <c r="E1188">
        <v>111.6</v>
      </c>
      <c r="F1188" s="2">
        <v>45704</v>
      </c>
      <c r="G1188" s="2">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ht="18" x14ac:dyDescent="0.5">
      <c r="A1189" t="s">
        <v>1286</v>
      </c>
      <c r="B1189" t="s">
        <v>44</v>
      </c>
      <c r="C1189">
        <v>2</v>
      </c>
      <c r="D1189">
        <v>28.1</v>
      </c>
      <c r="E1189">
        <v>56.2</v>
      </c>
      <c r="F1189" s="2">
        <v>45704</v>
      </c>
      <c r="G1189" s="2">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ht="18" x14ac:dyDescent="0.5">
      <c r="A1190" t="s">
        <v>1287</v>
      </c>
      <c r="B1190" t="s">
        <v>16</v>
      </c>
      <c r="C1190">
        <v>2</v>
      </c>
      <c r="D1190">
        <v>11.6</v>
      </c>
      <c r="E1190">
        <v>23.2</v>
      </c>
      <c r="F1190" s="2">
        <v>45704</v>
      </c>
      <c r="G1190" s="2">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ht="18" x14ac:dyDescent="0.5">
      <c r="A1191" t="s">
        <v>1288</v>
      </c>
      <c r="B1191" t="s">
        <v>37</v>
      </c>
      <c r="C1191">
        <v>3</v>
      </c>
      <c r="D1191">
        <v>50.4</v>
      </c>
      <c r="E1191">
        <v>151.19999999999999</v>
      </c>
      <c r="F1191" s="2">
        <v>45704</v>
      </c>
      <c r="G1191" s="2">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ht="18" x14ac:dyDescent="0.5">
      <c r="A1192" t="s">
        <v>1289</v>
      </c>
      <c r="B1192" t="s">
        <v>39</v>
      </c>
      <c r="C1192">
        <v>6</v>
      </c>
      <c r="D1192">
        <v>48.3</v>
      </c>
      <c r="E1192">
        <v>289.79999999999995</v>
      </c>
      <c r="F1192" s="2">
        <v>45704</v>
      </c>
      <c r="G1192" s="2">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ht="18" x14ac:dyDescent="0.5">
      <c r="A1193" t="s">
        <v>1290</v>
      </c>
      <c r="B1193" t="s">
        <v>135</v>
      </c>
      <c r="C1193">
        <v>7</v>
      </c>
      <c r="D1193">
        <v>32.200000000000003</v>
      </c>
      <c r="E1193">
        <v>225.40000000000003</v>
      </c>
      <c r="F1193" s="2">
        <v>45704</v>
      </c>
      <c r="G1193" s="2">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ht="18" x14ac:dyDescent="0.5">
      <c r="A1194" t="s">
        <v>1291</v>
      </c>
      <c r="B1194" t="s">
        <v>42</v>
      </c>
      <c r="C1194">
        <v>28</v>
      </c>
      <c r="D1194">
        <v>48.5</v>
      </c>
      <c r="E1194">
        <v>1358</v>
      </c>
      <c r="F1194" s="2">
        <v>45704</v>
      </c>
      <c r="G1194" s="2">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ht="18" x14ac:dyDescent="0.5">
      <c r="A1195" t="s">
        <v>1292</v>
      </c>
      <c r="B1195" t="s">
        <v>26</v>
      </c>
      <c r="C1195">
        <v>5</v>
      </c>
      <c r="D1195">
        <v>62</v>
      </c>
      <c r="E1195">
        <v>310</v>
      </c>
      <c r="F1195" s="2">
        <v>45704</v>
      </c>
      <c r="G1195" s="2">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ht="18" x14ac:dyDescent="0.5">
      <c r="A1196" t="s">
        <v>1293</v>
      </c>
      <c r="B1196" t="s">
        <v>44</v>
      </c>
      <c r="C1196">
        <v>3</v>
      </c>
      <c r="D1196">
        <v>32.1</v>
      </c>
      <c r="E1196">
        <v>96.300000000000011</v>
      </c>
      <c r="F1196" s="2">
        <v>45705</v>
      </c>
      <c r="G1196" s="2">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ht="18" x14ac:dyDescent="0.5">
      <c r="A1197" t="s">
        <v>1294</v>
      </c>
      <c r="B1197" t="s">
        <v>69</v>
      </c>
      <c r="C1197">
        <v>3</v>
      </c>
      <c r="D1197">
        <v>106.1</v>
      </c>
      <c r="E1197">
        <v>318.29999999999995</v>
      </c>
      <c r="F1197" s="2">
        <v>45705</v>
      </c>
      <c r="G1197" s="2">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ht="18" x14ac:dyDescent="0.5">
      <c r="A1198" t="s">
        <v>1295</v>
      </c>
      <c r="B1198" t="s">
        <v>54</v>
      </c>
      <c r="C1198">
        <v>3</v>
      </c>
      <c r="D1198">
        <v>23.5</v>
      </c>
      <c r="E1198">
        <v>70.5</v>
      </c>
      <c r="F1198" s="2">
        <v>45705</v>
      </c>
      <c r="G1198" s="2">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ht="18" x14ac:dyDescent="0.5">
      <c r="A1199" t="s">
        <v>1296</v>
      </c>
      <c r="B1199" t="s">
        <v>22</v>
      </c>
      <c r="C1199">
        <v>2</v>
      </c>
      <c r="D1199">
        <v>35.6</v>
      </c>
      <c r="E1199">
        <v>71.2</v>
      </c>
      <c r="F1199" s="2">
        <v>45705</v>
      </c>
      <c r="G1199" s="2">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ht="18" x14ac:dyDescent="0.5">
      <c r="A1200" t="s">
        <v>1297</v>
      </c>
      <c r="B1200" t="s">
        <v>22</v>
      </c>
      <c r="C1200">
        <v>2</v>
      </c>
      <c r="D1200">
        <v>63.5</v>
      </c>
      <c r="E1200">
        <v>127</v>
      </c>
      <c r="F1200" s="2">
        <v>45705</v>
      </c>
      <c r="G1200" s="2">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ht="18" x14ac:dyDescent="0.5">
      <c r="A1201" t="s">
        <v>1298</v>
      </c>
      <c r="B1201" t="s">
        <v>39</v>
      </c>
      <c r="C1201">
        <v>7</v>
      </c>
      <c r="D1201">
        <v>82.9</v>
      </c>
      <c r="E1201">
        <v>580.30000000000007</v>
      </c>
      <c r="F1201" s="2">
        <v>45705</v>
      </c>
      <c r="G1201" s="2">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ht="18" x14ac:dyDescent="0.5">
      <c r="A1202" t="s">
        <v>1299</v>
      </c>
      <c r="B1202" t="s">
        <v>39</v>
      </c>
      <c r="C1202">
        <v>2</v>
      </c>
      <c r="D1202">
        <v>83.6</v>
      </c>
      <c r="E1202">
        <v>167.2</v>
      </c>
      <c r="F1202" s="2">
        <v>45705</v>
      </c>
      <c r="G1202" s="2">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ht="18" x14ac:dyDescent="0.5">
      <c r="A1203" t="s">
        <v>1300</v>
      </c>
      <c r="B1203" t="s">
        <v>32</v>
      </c>
      <c r="C1203">
        <v>2</v>
      </c>
      <c r="D1203">
        <v>29.4</v>
      </c>
      <c r="E1203">
        <v>58.8</v>
      </c>
      <c r="F1203" s="2">
        <v>45705</v>
      </c>
      <c r="G1203" s="2">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ht="18" x14ac:dyDescent="0.5">
      <c r="A1204" t="s">
        <v>1301</v>
      </c>
      <c r="B1204" t="s">
        <v>26</v>
      </c>
      <c r="C1204">
        <v>3</v>
      </c>
      <c r="D1204">
        <v>107.1</v>
      </c>
      <c r="E1204">
        <v>321.29999999999995</v>
      </c>
      <c r="F1204" s="2">
        <v>45705</v>
      </c>
      <c r="G1204" s="2">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ht="18" x14ac:dyDescent="0.5">
      <c r="A1205" t="s">
        <v>1302</v>
      </c>
      <c r="B1205" t="s">
        <v>26</v>
      </c>
      <c r="C1205">
        <v>1</v>
      </c>
      <c r="D1205">
        <v>62.7</v>
      </c>
      <c r="E1205">
        <v>62.7</v>
      </c>
      <c r="F1205" s="2">
        <v>45705</v>
      </c>
      <c r="G1205" s="2">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ht="18" x14ac:dyDescent="0.5">
      <c r="A1206" t="s">
        <v>1303</v>
      </c>
      <c r="B1206" t="s">
        <v>67</v>
      </c>
      <c r="C1206">
        <v>1</v>
      </c>
      <c r="D1206">
        <v>41.6</v>
      </c>
      <c r="E1206">
        <v>41.6</v>
      </c>
      <c r="F1206" s="2">
        <v>45705</v>
      </c>
      <c r="G1206" s="2">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ht="18" x14ac:dyDescent="0.5">
      <c r="A1207" t="s">
        <v>1304</v>
      </c>
      <c r="B1207" t="s">
        <v>39</v>
      </c>
      <c r="C1207">
        <v>1</v>
      </c>
      <c r="D1207">
        <v>44.2</v>
      </c>
      <c r="E1207">
        <v>44.2</v>
      </c>
      <c r="F1207" s="2">
        <v>45705</v>
      </c>
      <c r="G1207" s="2">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ht="18" x14ac:dyDescent="0.5">
      <c r="A1208" t="s">
        <v>1305</v>
      </c>
      <c r="B1208" t="s">
        <v>32</v>
      </c>
      <c r="C1208">
        <v>6</v>
      </c>
      <c r="D1208">
        <v>40.4</v>
      </c>
      <c r="E1208">
        <v>242.39999999999998</v>
      </c>
      <c r="F1208" s="2">
        <v>45705</v>
      </c>
      <c r="G1208" s="2">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ht="18" x14ac:dyDescent="0.5">
      <c r="A1209" t="s">
        <v>1306</v>
      </c>
      <c r="B1209" t="s">
        <v>123</v>
      </c>
      <c r="C1209">
        <v>6</v>
      </c>
      <c r="D1209">
        <v>59.6</v>
      </c>
      <c r="E1209">
        <v>357.6</v>
      </c>
      <c r="F1209" s="2">
        <v>45705</v>
      </c>
      <c r="G1209" s="2">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ht="18" x14ac:dyDescent="0.5">
      <c r="A1210" t="s">
        <v>1307</v>
      </c>
      <c r="B1210" t="s">
        <v>135</v>
      </c>
      <c r="C1210">
        <v>12</v>
      </c>
      <c r="D1210">
        <v>63.8</v>
      </c>
      <c r="E1210">
        <v>765.59999999999991</v>
      </c>
      <c r="F1210" s="2">
        <v>45705</v>
      </c>
      <c r="G1210" s="2">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ht="18" x14ac:dyDescent="0.5">
      <c r="A1211" t="s">
        <v>1308</v>
      </c>
      <c r="B1211" t="s">
        <v>46</v>
      </c>
      <c r="C1211">
        <v>6</v>
      </c>
      <c r="D1211">
        <v>30.8</v>
      </c>
      <c r="E1211">
        <v>184.8</v>
      </c>
      <c r="F1211" s="2">
        <v>45705</v>
      </c>
      <c r="G1211" s="2">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ht="18" x14ac:dyDescent="0.5">
      <c r="A1212" t="s">
        <v>1309</v>
      </c>
      <c r="B1212" t="s">
        <v>22</v>
      </c>
      <c r="C1212">
        <v>2</v>
      </c>
      <c r="D1212">
        <v>41.5</v>
      </c>
      <c r="E1212">
        <v>83</v>
      </c>
      <c r="F1212" s="2">
        <v>45705</v>
      </c>
      <c r="G1212" s="2">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ht="18" x14ac:dyDescent="0.5">
      <c r="A1213" t="s">
        <v>1310</v>
      </c>
      <c r="B1213" t="s">
        <v>54</v>
      </c>
      <c r="C1213">
        <v>4</v>
      </c>
      <c r="D1213">
        <v>44.7</v>
      </c>
      <c r="E1213">
        <v>178.8</v>
      </c>
      <c r="F1213" s="2">
        <v>45705</v>
      </c>
      <c r="G1213" s="2">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ht="18" x14ac:dyDescent="0.5">
      <c r="A1214" t="s">
        <v>1311</v>
      </c>
      <c r="B1214" t="s">
        <v>69</v>
      </c>
      <c r="C1214">
        <v>2</v>
      </c>
      <c r="D1214">
        <v>64.099999999999994</v>
      </c>
      <c r="E1214">
        <v>128.19999999999999</v>
      </c>
      <c r="F1214" s="2">
        <v>45705</v>
      </c>
      <c r="G1214" s="2">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ht="18" x14ac:dyDescent="0.5">
      <c r="A1215" t="s">
        <v>1312</v>
      </c>
      <c r="B1215" t="s">
        <v>44</v>
      </c>
      <c r="C1215">
        <v>1</v>
      </c>
      <c r="D1215">
        <v>15.9</v>
      </c>
      <c r="E1215">
        <v>15.9</v>
      </c>
      <c r="F1215" s="2">
        <v>45705</v>
      </c>
      <c r="G1215" s="2">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ht="18" x14ac:dyDescent="0.5">
      <c r="A1216" t="s">
        <v>1313</v>
      </c>
      <c r="B1216" t="s">
        <v>39</v>
      </c>
      <c r="C1216">
        <v>2</v>
      </c>
      <c r="D1216">
        <v>78.7</v>
      </c>
      <c r="E1216">
        <v>157.4</v>
      </c>
      <c r="F1216" s="2">
        <v>45705</v>
      </c>
      <c r="G1216" s="2">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ht="18" x14ac:dyDescent="0.5">
      <c r="A1217" t="s">
        <v>1314</v>
      </c>
      <c r="B1217" t="s">
        <v>37</v>
      </c>
      <c r="C1217">
        <v>12</v>
      </c>
      <c r="D1217">
        <v>29.6</v>
      </c>
      <c r="E1217">
        <v>355.20000000000005</v>
      </c>
      <c r="F1217" s="2">
        <v>45705</v>
      </c>
      <c r="G1217" s="2">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ht="18" x14ac:dyDescent="0.5">
      <c r="A1218" t="s">
        <v>1315</v>
      </c>
      <c r="B1218" t="s">
        <v>44</v>
      </c>
      <c r="C1218">
        <v>4</v>
      </c>
      <c r="D1218">
        <v>21.5</v>
      </c>
      <c r="E1218">
        <v>86</v>
      </c>
      <c r="F1218" s="2">
        <v>45705</v>
      </c>
      <c r="G1218" s="2">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ht="18" x14ac:dyDescent="0.5">
      <c r="A1219" t="s">
        <v>1316</v>
      </c>
      <c r="B1219" t="s">
        <v>46</v>
      </c>
      <c r="C1219">
        <v>3</v>
      </c>
      <c r="D1219">
        <v>74.900000000000006</v>
      </c>
      <c r="E1219">
        <v>224.70000000000002</v>
      </c>
      <c r="F1219" s="2">
        <v>45705</v>
      </c>
      <c r="G1219" s="2">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ht="18" x14ac:dyDescent="0.5">
      <c r="A1220" t="s">
        <v>1317</v>
      </c>
      <c r="B1220" t="s">
        <v>54</v>
      </c>
      <c r="C1220">
        <v>6</v>
      </c>
      <c r="D1220">
        <v>45</v>
      </c>
      <c r="E1220">
        <v>270</v>
      </c>
      <c r="F1220" s="2">
        <v>45705</v>
      </c>
      <c r="G1220" s="2">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ht="18" x14ac:dyDescent="0.5">
      <c r="A1221" t="s">
        <v>1318</v>
      </c>
      <c r="B1221" t="s">
        <v>42</v>
      </c>
      <c r="C1221">
        <v>34</v>
      </c>
      <c r="D1221">
        <v>37.9</v>
      </c>
      <c r="E1221">
        <v>1288.5999999999999</v>
      </c>
      <c r="F1221" s="2">
        <v>45705</v>
      </c>
      <c r="G1221" s="2">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ht="18" x14ac:dyDescent="0.5">
      <c r="A1222" t="s">
        <v>1319</v>
      </c>
      <c r="B1222" t="s">
        <v>39</v>
      </c>
      <c r="C1222">
        <v>3</v>
      </c>
      <c r="D1222">
        <v>56.6</v>
      </c>
      <c r="E1222">
        <v>169.8</v>
      </c>
      <c r="F1222" s="2">
        <v>45705</v>
      </c>
      <c r="G1222" s="2">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ht="18" x14ac:dyDescent="0.5">
      <c r="A1223" t="s">
        <v>1320</v>
      </c>
      <c r="B1223" t="s">
        <v>30</v>
      </c>
      <c r="C1223">
        <v>13</v>
      </c>
      <c r="D1223">
        <v>84.5</v>
      </c>
      <c r="E1223">
        <v>1098.5</v>
      </c>
      <c r="F1223" s="2">
        <v>45705</v>
      </c>
      <c r="G1223" s="2">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ht="18" x14ac:dyDescent="0.5">
      <c r="A1224" t="s">
        <v>1321</v>
      </c>
      <c r="B1224" t="s">
        <v>26</v>
      </c>
      <c r="C1224">
        <v>5</v>
      </c>
      <c r="D1224">
        <v>105.4</v>
      </c>
      <c r="E1224">
        <v>527</v>
      </c>
      <c r="F1224" s="2">
        <v>45705</v>
      </c>
      <c r="G1224" s="2">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ht="18" x14ac:dyDescent="0.5">
      <c r="A1225" t="s">
        <v>1322</v>
      </c>
      <c r="B1225" t="s">
        <v>146</v>
      </c>
      <c r="C1225">
        <v>7</v>
      </c>
      <c r="D1225">
        <v>39.4</v>
      </c>
      <c r="E1225">
        <v>275.8</v>
      </c>
      <c r="F1225" s="2">
        <v>45706</v>
      </c>
      <c r="G1225" s="2">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ht="18" x14ac:dyDescent="0.5">
      <c r="A1226" t="s">
        <v>1323</v>
      </c>
      <c r="B1226" t="s">
        <v>171</v>
      </c>
      <c r="C1226">
        <v>3</v>
      </c>
      <c r="D1226">
        <v>38</v>
      </c>
      <c r="E1226">
        <v>114</v>
      </c>
      <c r="F1226" s="2">
        <v>45706</v>
      </c>
      <c r="G1226" s="2">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ht="18" x14ac:dyDescent="0.5">
      <c r="A1227" t="s">
        <v>1324</v>
      </c>
      <c r="B1227" t="s">
        <v>135</v>
      </c>
      <c r="C1227">
        <v>4</v>
      </c>
      <c r="D1227">
        <v>42.5</v>
      </c>
      <c r="E1227">
        <v>170</v>
      </c>
      <c r="F1227" s="2">
        <v>45706</v>
      </c>
      <c r="G1227" s="2">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ht="18" x14ac:dyDescent="0.5">
      <c r="A1228" t="s">
        <v>1325</v>
      </c>
      <c r="B1228" t="s">
        <v>123</v>
      </c>
      <c r="C1228">
        <v>1</v>
      </c>
      <c r="D1228">
        <v>62.3</v>
      </c>
      <c r="E1228">
        <v>62.3</v>
      </c>
      <c r="F1228" s="2">
        <v>45706</v>
      </c>
      <c r="G1228" s="2">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ht="18" x14ac:dyDescent="0.5">
      <c r="A1229" t="s">
        <v>1326</v>
      </c>
      <c r="B1229" t="s">
        <v>39</v>
      </c>
      <c r="C1229">
        <v>5</v>
      </c>
      <c r="D1229">
        <v>49.1</v>
      </c>
      <c r="E1229">
        <v>245.5</v>
      </c>
      <c r="F1229" s="2">
        <v>45706</v>
      </c>
      <c r="G1229" s="2">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ht="18" x14ac:dyDescent="0.5">
      <c r="A1230" t="s">
        <v>1327</v>
      </c>
      <c r="B1230" t="s">
        <v>30</v>
      </c>
      <c r="C1230">
        <v>2</v>
      </c>
      <c r="D1230">
        <v>30.5</v>
      </c>
      <c r="E1230">
        <v>61</v>
      </c>
      <c r="F1230" s="2">
        <v>45706</v>
      </c>
      <c r="G1230" s="2">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ht="18" x14ac:dyDescent="0.5">
      <c r="A1231" t="s">
        <v>1328</v>
      </c>
      <c r="B1231" t="s">
        <v>26</v>
      </c>
      <c r="C1231">
        <v>2</v>
      </c>
      <c r="D1231">
        <v>154.80000000000001</v>
      </c>
      <c r="E1231">
        <v>309.60000000000002</v>
      </c>
      <c r="F1231" s="2">
        <v>45706</v>
      </c>
      <c r="G1231" s="2">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ht="18" x14ac:dyDescent="0.5">
      <c r="A1232" t="s">
        <v>1329</v>
      </c>
      <c r="B1232" t="s">
        <v>39</v>
      </c>
      <c r="C1232">
        <v>1</v>
      </c>
      <c r="D1232">
        <v>45</v>
      </c>
      <c r="E1232">
        <v>45</v>
      </c>
      <c r="F1232" s="2">
        <v>45706</v>
      </c>
      <c r="G1232" s="2">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ht="18" x14ac:dyDescent="0.5">
      <c r="A1233" t="s">
        <v>1330</v>
      </c>
      <c r="B1233" t="s">
        <v>16</v>
      </c>
      <c r="C1233">
        <v>7</v>
      </c>
      <c r="D1233">
        <v>15.3</v>
      </c>
      <c r="E1233">
        <v>107.10000000000001</v>
      </c>
      <c r="F1233" s="2">
        <v>45706</v>
      </c>
      <c r="G1233" s="2">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ht="18" x14ac:dyDescent="0.5">
      <c r="A1234" t="s">
        <v>1331</v>
      </c>
      <c r="B1234" t="s">
        <v>26</v>
      </c>
      <c r="C1234">
        <v>11</v>
      </c>
      <c r="D1234">
        <v>88.6</v>
      </c>
      <c r="E1234">
        <v>974.59999999999991</v>
      </c>
      <c r="F1234" s="2">
        <v>45706</v>
      </c>
      <c r="G1234" s="2">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ht="18" x14ac:dyDescent="0.5">
      <c r="A1235" t="s">
        <v>1332</v>
      </c>
      <c r="B1235" t="s">
        <v>46</v>
      </c>
      <c r="C1235">
        <v>2</v>
      </c>
      <c r="D1235">
        <v>49.7</v>
      </c>
      <c r="E1235">
        <v>99.4</v>
      </c>
      <c r="F1235" s="2">
        <v>45706</v>
      </c>
      <c r="G1235" s="2">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ht="18" x14ac:dyDescent="0.5">
      <c r="A1236" t="s">
        <v>1333</v>
      </c>
      <c r="B1236" t="s">
        <v>54</v>
      </c>
      <c r="C1236">
        <v>1</v>
      </c>
      <c r="D1236">
        <v>29</v>
      </c>
      <c r="E1236">
        <v>29</v>
      </c>
      <c r="F1236" s="2">
        <v>45706</v>
      </c>
      <c r="G1236" s="2">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ht="18" x14ac:dyDescent="0.5">
      <c r="A1237" t="s">
        <v>1334</v>
      </c>
      <c r="B1237" t="s">
        <v>22</v>
      </c>
      <c r="C1237">
        <v>1</v>
      </c>
      <c r="D1237">
        <v>60.7</v>
      </c>
      <c r="E1237">
        <v>60.7</v>
      </c>
      <c r="F1237" s="2">
        <v>45706</v>
      </c>
      <c r="G1237" s="2">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ht="18" x14ac:dyDescent="0.5">
      <c r="A1238" t="s">
        <v>1335</v>
      </c>
      <c r="B1238" t="s">
        <v>135</v>
      </c>
      <c r="C1238">
        <v>4</v>
      </c>
      <c r="D1238">
        <v>87.4</v>
      </c>
      <c r="E1238">
        <v>349.6</v>
      </c>
      <c r="F1238" s="2">
        <v>45706</v>
      </c>
      <c r="G1238" s="2">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ht="18" x14ac:dyDescent="0.5">
      <c r="A1239" t="s">
        <v>1336</v>
      </c>
      <c r="B1239" t="s">
        <v>32</v>
      </c>
      <c r="C1239">
        <v>7</v>
      </c>
      <c r="D1239">
        <v>44.5</v>
      </c>
      <c r="E1239">
        <v>311.5</v>
      </c>
      <c r="F1239" s="2">
        <v>45706</v>
      </c>
      <c r="G1239" s="2">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ht="18" x14ac:dyDescent="0.5">
      <c r="A1240" t="s">
        <v>1337</v>
      </c>
      <c r="B1240" t="s">
        <v>26</v>
      </c>
      <c r="C1240">
        <v>1</v>
      </c>
      <c r="D1240">
        <v>141</v>
      </c>
      <c r="E1240">
        <v>141</v>
      </c>
      <c r="F1240" s="2">
        <v>45706</v>
      </c>
      <c r="G1240" s="2">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ht="18" x14ac:dyDescent="0.5">
      <c r="A1241" t="s">
        <v>1338</v>
      </c>
      <c r="B1241" t="s">
        <v>16</v>
      </c>
      <c r="C1241">
        <v>3</v>
      </c>
      <c r="D1241">
        <v>16.7</v>
      </c>
      <c r="E1241">
        <v>50.099999999999994</v>
      </c>
      <c r="F1241" s="2">
        <v>45706</v>
      </c>
      <c r="G1241" s="2">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ht="18" x14ac:dyDescent="0.5">
      <c r="A1242" t="s">
        <v>1339</v>
      </c>
      <c r="B1242" t="s">
        <v>22</v>
      </c>
      <c r="C1242">
        <v>2</v>
      </c>
      <c r="D1242">
        <v>77.5</v>
      </c>
      <c r="E1242">
        <v>155</v>
      </c>
      <c r="F1242" s="2">
        <v>45706</v>
      </c>
      <c r="G1242" s="2">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ht="18" x14ac:dyDescent="0.5">
      <c r="A1243" t="s">
        <v>1340</v>
      </c>
      <c r="B1243" t="s">
        <v>26</v>
      </c>
      <c r="C1243">
        <v>2</v>
      </c>
      <c r="D1243">
        <v>163</v>
      </c>
      <c r="E1243">
        <v>326</v>
      </c>
      <c r="F1243" s="2">
        <v>45706</v>
      </c>
      <c r="G1243" s="2">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ht="18" x14ac:dyDescent="0.5">
      <c r="A1244" t="s">
        <v>1341</v>
      </c>
      <c r="B1244" t="s">
        <v>32</v>
      </c>
      <c r="C1244">
        <v>9</v>
      </c>
      <c r="D1244">
        <v>21.4</v>
      </c>
      <c r="E1244">
        <v>192.6</v>
      </c>
      <c r="F1244" s="2">
        <v>45706</v>
      </c>
      <c r="G1244" s="2">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ht="18" x14ac:dyDescent="0.5">
      <c r="A1245" t="s">
        <v>1342</v>
      </c>
      <c r="B1245" t="s">
        <v>54</v>
      </c>
      <c r="C1245">
        <v>11</v>
      </c>
      <c r="D1245">
        <v>31</v>
      </c>
      <c r="E1245">
        <v>341</v>
      </c>
      <c r="F1245" s="2">
        <v>45706</v>
      </c>
      <c r="G1245" s="2">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ht="18" x14ac:dyDescent="0.5">
      <c r="A1246" t="s">
        <v>1343</v>
      </c>
      <c r="B1246" t="s">
        <v>42</v>
      </c>
      <c r="C1246">
        <v>2</v>
      </c>
      <c r="D1246">
        <v>34.299999999999997</v>
      </c>
      <c r="E1246">
        <v>68.599999999999994</v>
      </c>
      <c r="F1246" s="2">
        <v>45706</v>
      </c>
      <c r="G1246" s="2">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ht="18" x14ac:dyDescent="0.5">
      <c r="A1247" t="s">
        <v>1344</v>
      </c>
      <c r="B1247" t="s">
        <v>135</v>
      </c>
      <c r="C1247">
        <v>5</v>
      </c>
      <c r="D1247">
        <v>48.2</v>
      </c>
      <c r="E1247">
        <v>241</v>
      </c>
      <c r="F1247" s="2">
        <v>45706</v>
      </c>
      <c r="G1247" s="2">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ht="18" x14ac:dyDescent="0.5">
      <c r="A1248" t="s">
        <v>1345</v>
      </c>
      <c r="B1248" t="s">
        <v>54</v>
      </c>
      <c r="C1248">
        <v>1</v>
      </c>
      <c r="D1248">
        <v>51.4</v>
      </c>
      <c r="E1248">
        <v>51.4</v>
      </c>
      <c r="F1248" s="2">
        <v>45706</v>
      </c>
      <c r="G1248" s="2">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ht="18" x14ac:dyDescent="0.5">
      <c r="A1249" t="s">
        <v>1346</v>
      </c>
      <c r="B1249" t="s">
        <v>26</v>
      </c>
      <c r="C1249">
        <v>5</v>
      </c>
      <c r="D1249">
        <v>117.2</v>
      </c>
      <c r="E1249">
        <v>586</v>
      </c>
      <c r="F1249" s="2">
        <v>45706</v>
      </c>
      <c r="G1249" s="2">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ht="18" x14ac:dyDescent="0.5">
      <c r="A1250" t="s">
        <v>1347</v>
      </c>
      <c r="B1250" t="s">
        <v>44</v>
      </c>
      <c r="C1250">
        <v>1</v>
      </c>
      <c r="D1250">
        <v>38.1</v>
      </c>
      <c r="E1250">
        <v>38.1</v>
      </c>
      <c r="F1250" s="2">
        <v>45706</v>
      </c>
      <c r="G1250" s="2">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ht="18" x14ac:dyDescent="0.5">
      <c r="A1251" t="s">
        <v>1348</v>
      </c>
      <c r="B1251" t="s">
        <v>16</v>
      </c>
      <c r="C1251">
        <v>2</v>
      </c>
      <c r="D1251">
        <v>44.1</v>
      </c>
      <c r="E1251">
        <v>88.2</v>
      </c>
      <c r="F1251" s="2">
        <v>45706</v>
      </c>
      <c r="G1251" s="2">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ht="18" x14ac:dyDescent="0.5">
      <c r="A1252" t="s">
        <v>1349</v>
      </c>
      <c r="B1252" t="s">
        <v>123</v>
      </c>
      <c r="C1252">
        <v>4</v>
      </c>
      <c r="D1252">
        <v>80.5</v>
      </c>
      <c r="E1252">
        <v>322</v>
      </c>
      <c r="F1252" s="2">
        <v>45706</v>
      </c>
      <c r="G1252" s="2">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ht="18" x14ac:dyDescent="0.5">
      <c r="A1253" t="s">
        <v>1350</v>
      </c>
      <c r="B1253" t="s">
        <v>146</v>
      </c>
      <c r="C1253">
        <v>4</v>
      </c>
      <c r="D1253">
        <v>33.6</v>
      </c>
      <c r="E1253">
        <v>134.4</v>
      </c>
      <c r="F1253" s="2">
        <v>45706</v>
      </c>
      <c r="G1253" s="2">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ht="18" x14ac:dyDescent="0.5">
      <c r="A1254" t="s">
        <v>1351</v>
      </c>
      <c r="B1254" t="s">
        <v>46</v>
      </c>
      <c r="C1254">
        <v>9</v>
      </c>
      <c r="D1254">
        <v>41.8</v>
      </c>
      <c r="E1254">
        <v>376.2</v>
      </c>
      <c r="F1254" s="2">
        <v>45706</v>
      </c>
      <c r="G1254" s="2">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ht="18" x14ac:dyDescent="0.5">
      <c r="A1255" t="s">
        <v>1352</v>
      </c>
      <c r="B1255" t="s">
        <v>22</v>
      </c>
      <c r="C1255">
        <v>2</v>
      </c>
      <c r="D1255">
        <v>106.2</v>
      </c>
      <c r="E1255">
        <v>212.4</v>
      </c>
      <c r="F1255" s="2">
        <v>45706</v>
      </c>
      <c r="G1255" s="2">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ht="18" x14ac:dyDescent="0.5">
      <c r="A1256" t="s">
        <v>1353</v>
      </c>
      <c r="B1256" t="s">
        <v>22</v>
      </c>
      <c r="C1256">
        <v>2</v>
      </c>
      <c r="D1256">
        <v>52.6</v>
      </c>
      <c r="E1256">
        <v>105.2</v>
      </c>
      <c r="F1256" s="2">
        <v>45706</v>
      </c>
      <c r="G1256" s="2">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ht="18" x14ac:dyDescent="0.5">
      <c r="A1257" t="s">
        <v>1354</v>
      </c>
      <c r="B1257" t="s">
        <v>67</v>
      </c>
      <c r="C1257">
        <v>7</v>
      </c>
      <c r="D1257">
        <v>68.5</v>
      </c>
      <c r="E1257">
        <v>479.5</v>
      </c>
      <c r="F1257" s="2">
        <v>45706</v>
      </c>
      <c r="G1257" s="2">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ht="18" x14ac:dyDescent="0.5">
      <c r="A1258" t="s">
        <v>1355</v>
      </c>
      <c r="B1258" t="s">
        <v>22</v>
      </c>
      <c r="C1258">
        <v>2</v>
      </c>
      <c r="D1258">
        <v>55.6</v>
      </c>
      <c r="E1258">
        <v>111.2</v>
      </c>
      <c r="F1258" s="2">
        <v>45706</v>
      </c>
      <c r="G1258" s="2">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ht="18" x14ac:dyDescent="0.5">
      <c r="A1259" t="s">
        <v>1356</v>
      </c>
      <c r="B1259" t="s">
        <v>26</v>
      </c>
      <c r="C1259">
        <v>3</v>
      </c>
      <c r="D1259">
        <v>134.9</v>
      </c>
      <c r="E1259">
        <v>404.70000000000005</v>
      </c>
      <c r="F1259" s="2">
        <v>45706</v>
      </c>
      <c r="G1259" s="2">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ht="18" x14ac:dyDescent="0.5">
      <c r="A1260" t="s">
        <v>1357</v>
      </c>
      <c r="B1260" t="s">
        <v>54</v>
      </c>
      <c r="C1260">
        <v>5</v>
      </c>
      <c r="D1260">
        <v>42.6</v>
      </c>
      <c r="E1260">
        <v>213</v>
      </c>
      <c r="F1260" s="2">
        <v>45706</v>
      </c>
      <c r="G1260" s="2">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ht="18" x14ac:dyDescent="0.5">
      <c r="A1261" t="s">
        <v>1358</v>
      </c>
      <c r="B1261" t="s">
        <v>42</v>
      </c>
      <c r="C1261">
        <v>5</v>
      </c>
      <c r="D1261">
        <v>60.6</v>
      </c>
      <c r="E1261">
        <v>303</v>
      </c>
      <c r="F1261" s="2">
        <v>45706</v>
      </c>
      <c r="G1261" s="2">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ht="18" x14ac:dyDescent="0.5">
      <c r="A1262" t="s">
        <v>1359</v>
      </c>
      <c r="B1262" t="s">
        <v>44</v>
      </c>
      <c r="C1262">
        <v>2</v>
      </c>
      <c r="D1262">
        <v>43.5</v>
      </c>
      <c r="E1262">
        <v>87</v>
      </c>
      <c r="F1262" s="2">
        <v>45706</v>
      </c>
      <c r="G1262" s="2">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ht="18" x14ac:dyDescent="0.5">
      <c r="A1263" t="s">
        <v>1360</v>
      </c>
      <c r="B1263" t="s">
        <v>26</v>
      </c>
      <c r="C1263">
        <v>2</v>
      </c>
      <c r="D1263">
        <v>187.1</v>
      </c>
      <c r="E1263">
        <v>374.2</v>
      </c>
      <c r="F1263" s="2">
        <v>45706</v>
      </c>
      <c r="G1263" s="2">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ht="18" x14ac:dyDescent="0.5">
      <c r="A1264" t="s">
        <v>1361</v>
      </c>
      <c r="B1264" t="s">
        <v>46</v>
      </c>
      <c r="C1264">
        <v>3</v>
      </c>
      <c r="D1264">
        <v>32</v>
      </c>
      <c r="E1264">
        <v>96</v>
      </c>
      <c r="F1264" s="2">
        <v>45706</v>
      </c>
      <c r="G1264" s="2">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ht="18" x14ac:dyDescent="0.5">
      <c r="A1265" t="s">
        <v>1362</v>
      </c>
      <c r="B1265" t="s">
        <v>46</v>
      </c>
      <c r="C1265">
        <v>2</v>
      </c>
      <c r="D1265">
        <v>110.8</v>
      </c>
      <c r="E1265">
        <v>221.6</v>
      </c>
      <c r="F1265" s="2">
        <v>45706</v>
      </c>
      <c r="G1265" s="2">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ht="18" x14ac:dyDescent="0.5">
      <c r="A1266" t="s">
        <v>1363</v>
      </c>
      <c r="B1266" t="s">
        <v>54</v>
      </c>
      <c r="C1266">
        <v>13</v>
      </c>
      <c r="D1266">
        <v>36.1</v>
      </c>
      <c r="E1266">
        <v>469.3</v>
      </c>
      <c r="F1266" s="2">
        <v>45706</v>
      </c>
      <c r="G1266" s="2">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ht="18" x14ac:dyDescent="0.5">
      <c r="A1267" t="s">
        <v>1364</v>
      </c>
      <c r="B1267" t="s">
        <v>16</v>
      </c>
      <c r="C1267">
        <v>1</v>
      </c>
      <c r="D1267">
        <v>24.1</v>
      </c>
      <c r="E1267">
        <v>24.1</v>
      </c>
      <c r="F1267" s="2">
        <v>45706</v>
      </c>
      <c r="G1267" s="2">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ht="18" x14ac:dyDescent="0.5">
      <c r="A1268" t="s">
        <v>1365</v>
      </c>
      <c r="B1268" t="s">
        <v>171</v>
      </c>
      <c r="C1268">
        <v>3</v>
      </c>
      <c r="D1268">
        <v>30.5</v>
      </c>
      <c r="E1268">
        <v>91.5</v>
      </c>
      <c r="F1268" s="2">
        <v>45706</v>
      </c>
      <c r="G1268" s="2">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ht="18" x14ac:dyDescent="0.5">
      <c r="A1269" t="s">
        <v>1366</v>
      </c>
      <c r="B1269" t="s">
        <v>146</v>
      </c>
      <c r="C1269">
        <v>6</v>
      </c>
      <c r="D1269">
        <v>68.3</v>
      </c>
      <c r="E1269">
        <v>409.79999999999995</v>
      </c>
      <c r="F1269" s="2">
        <v>45706</v>
      </c>
      <c r="G1269" s="2">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ht="18" x14ac:dyDescent="0.5">
      <c r="A1270" t="s">
        <v>1367</v>
      </c>
      <c r="B1270" t="s">
        <v>42</v>
      </c>
      <c r="C1270">
        <v>3</v>
      </c>
      <c r="D1270">
        <v>43.3</v>
      </c>
      <c r="E1270">
        <v>129.89999999999998</v>
      </c>
      <c r="F1270" s="2">
        <v>45706</v>
      </c>
      <c r="G1270" s="2">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ht="18" x14ac:dyDescent="0.5">
      <c r="A1271" t="s">
        <v>1368</v>
      </c>
      <c r="B1271" t="s">
        <v>30</v>
      </c>
      <c r="C1271">
        <v>1</v>
      </c>
      <c r="D1271">
        <v>101.7</v>
      </c>
      <c r="E1271">
        <v>101.7</v>
      </c>
      <c r="F1271" s="2">
        <v>45706</v>
      </c>
      <c r="G1271" s="2">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ht="18" x14ac:dyDescent="0.5">
      <c r="A1272" t="s">
        <v>1369</v>
      </c>
      <c r="B1272" t="s">
        <v>67</v>
      </c>
      <c r="C1272">
        <v>2</v>
      </c>
      <c r="D1272">
        <v>54.2</v>
      </c>
      <c r="E1272">
        <v>108.4</v>
      </c>
      <c r="F1272" s="2">
        <v>45706</v>
      </c>
      <c r="G1272" s="2">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ht="18" x14ac:dyDescent="0.5">
      <c r="A1273" t="s">
        <v>1370</v>
      </c>
      <c r="B1273" t="s">
        <v>128</v>
      </c>
      <c r="C1273">
        <v>2</v>
      </c>
      <c r="D1273">
        <v>51</v>
      </c>
      <c r="E1273">
        <v>102</v>
      </c>
      <c r="F1273" s="2">
        <v>45706</v>
      </c>
      <c r="G1273" s="2">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ht="18" x14ac:dyDescent="0.5">
      <c r="A1274" t="s">
        <v>1371</v>
      </c>
      <c r="B1274" t="s">
        <v>32</v>
      </c>
      <c r="C1274">
        <v>2</v>
      </c>
      <c r="D1274">
        <v>23.1</v>
      </c>
      <c r="E1274">
        <v>46.2</v>
      </c>
      <c r="F1274" s="2">
        <v>45706</v>
      </c>
      <c r="G1274" s="2">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ht="18" x14ac:dyDescent="0.5">
      <c r="A1275" t="s">
        <v>1372</v>
      </c>
      <c r="B1275" t="s">
        <v>69</v>
      </c>
      <c r="C1275">
        <v>6</v>
      </c>
      <c r="D1275">
        <v>60.1</v>
      </c>
      <c r="E1275">
        <v>360.6</v>
      </c>
      <c r="F1275" s="2">
        <v>45706</v>
      </c>
      <c r="G1275" s="2">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ht="18" x14ac:dyDescent="0.5">
      <c r="A1276" t="s">
        <v>1373</v>
      </c>
      <c r="B1276" t="s">
        <v>26</v>
      </c>
      <c r="C1276">
        <v>7</v>
      </c>
      <c r="D1276">
        <v>87.5</v>
      </c>
      <c r="E1276">
        <v>612.5</v>
      </c>
      <c r="F1276" s="2">
        <v>45706</v>
      </c>
      <c r="G1276" s="2">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ht="18" x14ac:dyDescent="0.5">
      <c r="A1277" t="s">
        <v>1374</v>
      </c>
      <c r="B1277" t="s">
        <v>22</v>
      </c>
      <c r="C1277">
        <v>3</v>
      </c>
      <c r="D1277">
        <v>51</v>
      </c>
      <c r="E1277">
        <v>153</v>
      </c>
      <c r="F1277" s="2">
        <v>45706</v>
      </c>
      <c r="G1277" s="2">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ht="18" x14ac:dyDescent="0.5">
      <c r="A1278" t="s">
        <v>1375</v>
      </c>
      <c r="B1278" t="s">
        <v>44</v>
      </c>
      <c r="C1278">
        <v>4</v>
      </c>
      <c r="D1278">
        <v>19.2</v>
      </c>
      <c r="E1278">
        <v>76.8</v>
      </c>
      <c r="F1278" s="2">
        <v>45706</v>
      </c>
      <c r="G1278" s="2">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ht="18" x14ac:dyDescent="0.5">
      <c r="A1279" t="s">
        <v>1376</v>
      </c>
      <c r="B1279" t="s">
        <v>37</v>
      </c>
      <c r="C1279">
        <v>8</v>
      </c>
      <c r="D1279">
        <v>26.5</v>
      </c>
      <c r="E1279">
        <v>212</v>
      </c>
      <c r="F1279" s="2">
        <v>45706</v>
      </c>
      <c r="G1279" s="2">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ht="18" x14ac:dyDescent="0.5">
      <c r="A1280" t="s">
        <v>1377</v>
      </c>
      <c r="B1280" t="s">
        <v>26</v>
      </c>
      <c r="C1280">
        <v>2</v>
      </c>
      <c r="D1280">
        <v>220.3</v>
      </c>
      <c r="E1280">
        <v>440.6</v>
      </c>
      <c r="F1280" s="2">
        <v>45706</v>
      </c>
      <c r="G1280" s="2">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ht="18" x14ac:dyDescent="0.5">
      <c r="A1281" t="s">
        <v>1378</v>
      </c>
      <c r="B1281" t="s">
        <v>44</v>
      </c>
      <c r="C1281">
        <v>3</v>
      </c>
      <c r="D1281">
        <v>45.7</v>
      </c>
      <c r="E1281">
        <v>137.10000000000002</v>
      </c>
      <c r="F1281" s="2">
        <v>45706</v>
      </c>
      <c r="G1281" s="2">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ht="18" x14ac:dyDescent="0.5">
      <c r="A1282" t="s">
        <v>1379</v>
      </c>
      <c r="B1282" t="s">
        <v>37</v>
      </c>
      <c r="C1282">
        <v>5</v>
      </c>
      <c r="D1282">
        <v>47.1</v>
      </c>
      <c r="E1282">
        <v>235.5</v>
      </c>
      <c r="F1282" s="2">
        <v>45706</v>
      </c>
      <c r="G1282" s="2">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ht="18" x14ac:dyDescent="0.5">
      <c r="A1283" t="s">
        <v>1380</v>
      </c>
      <c r="B1283" t="s">
        <v>22</v>
      </c>
      <c r="C1283">
        <v>5</v>
      </c>
      <c r="D1283">
        <v>81.7</v>
      </c>
      <c r="E1283">
        <v>408.5</v>
      </c>
      <c r="F1283" s="2">
        <v>45706</v>
      </c>
      <c r="G1283" s="2">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ht="18" x14ac:dyDescent="0.5">
      <c r="A1284" t="s">
        <v>1381</v>
      </c>
      <c r="B1284" t="s">
        <v>39</v>
      </c>
      <c r="C1284">
        <v>10</v>
      </c>
      <c r="D1284">
        <v>97.8</v>
      </c>
      <c r="E1284">
        <v>978</v>
      </c>
      <c r="F1284" s="2">
        <v>45706</v>
      </c>
      <c r="G1284" s="2">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ht="18" x14ac:dyDescent="0.5">
      <c r="A1285" t="s">
        <v>1382</v>
      </c>
      <c r="B1285" t="s">
        <v>39</v>
      </c>
      <c r="C1285">
        <v>3</v>
      </c>
      <c r="D1285">
        <v>42.4</v>
      </c>
      <c r="E1285">
        <v>127.19999999999999</v>
      </c>
      <c r="F1285" s="2">
        <v>45706</v>
      </c>
      <c r="G1285" s="2">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ht="18" x14ac:dyDescent="0.5">
      <c r="A1286" t="s">
        <v>1384</v>
      </c>
      <c r="B1286" t="s">
        <v>26</v>
      </c>
      <c r="C1286">
        <v>10</v>
      </c>
      <c r="D1286">
        <v>74.5</v>
      </c>
      <c r="E1286">
        <v>745</v>
      </c>
      <c r="F1286" s="2">
        <v>45706</v>
      </c>
      <c r="G1286" s="2">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ht="18" x14ac:dyDescent="0.5">
      <c r="A1287" t="s">
        <v>1385</v>
      </c>
      <c r="B1287" t="s">
        <v>135</v>
      </c>
      <c r="C1287">
        <v>6</v>
      </c>
      <c r="D1287">
        <v>47.4</v>
      </c>
      <c r="E1287">
        <v>284.39999999999998</v>
      </c>
      <c r="F1287" s="2">
        <v>45706</v>
      </c>
      <c r="G1287" s="2">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ht="18" x14ac:dyDescent="0.5">
      <c r="A1288" t="s">
        <v>1386</v>
      </c>
      <c r="B1288" t="s">
        <v>81</v>
      </c>
      <c r="C1288">
        <v>3</v>
      </c>
      <c r="D1288">
        <v>17.3</v>
      </c>
      <c r="E1288">
        <v>51.900000000000006</v>
      </c>
      <c r="F1288" s="2">
        <v>45707</v>
      </c>
      <c r="G1288" s="2">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ht="18" x14ac:dyDescent="0.5">
      <c r="A1289" t="s">
        <v>1387</v>
      </c>
      <c r="B1289" t="s">
        <v>69</v>
      </c>
      <c r="C1289">
        <v>4</v>
      </c>
      <c r="D1289">
        <v>77.900000000000006</v>
      </c>
      <c r="E1289">
        <v>311.60000000000002</v>
      </c>
      <c r="F1289" s="2">
        <v>45707</v>
      </c>
      <c r="G1289" s="2">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ht="18" x14ac:dyDescent="0.5">
      <c r="A1290" t="s">
        <v>1388</v>
      </c>
      <c r="B1290" t="s">
        <v>44</v>
      </c>
      <c r="C1290">
        <v>1</v>
      </c>
      <c r="D1290">
        <v>29.1</v>
      </c>
      <c r="E1290">
        <v>29.1</v>
      </c>
      <c r="F1290" s="2">
        <v>45707</v>
      </c>
      <c r="G1290" s="2">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ht="18" x14ac:dyDescent="0.5">
      <c r="A1291" t="s">
        <v>1389</v>
      </c>
      <c r="B1291" t="s">
        <v>44</v>
      </c>
      <c r="C1291">
        <v>1</v>
      </c>
      <c r="D1291">
        <v>49</v>
      </c>
      <c r="E1291">
        <v>49</v>
      </c>
      <c r="F1291" s="2">
        <v>45707</v>
      </c>
      <c r="G1291" s="2">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ht="18" x14ac:dyDescent="0.5">
      <c r="A1292" t="s">
        <v>1390</v>
      </c>
      <c r="B1292" t="s">
        <v>44</v>
      </c>
      <c r="C1292">
        <v>6</v>
      </c>
      <c r="D1292">
        <v>21.1</v>
      </c>
      <c r="E1292">
        <v>126.60000000000001</v>
      </c>
      <c r="F1292" s="2">
        <v>45707</v>
      </c>
      <c r="G1292" s="2">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ht="18" x14ac:dyDescent="0.5">
      <c r="A1293" t="s">
        <v>1391</v>
      </c>
      <c r="B1293" t="s">
        <v>32</v>
      </c>
      <c r="C1293">
        <v>19</v>
      </c>
      <c r="D1293">
        <v>36.9</v>
      </c>
      <c r="E1293">
        <v>701.1</v>
      </c>
      <c r="F1293" s="2">
        <v>45707</v>
      </c>
      <c r="G1293" s="2">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ht="18" x14ac:dyDescent="0.5">
      <c r="A1294" t="s">
        <v>1392</v>
      </c>
      <c r="B1294" t="s">
        <v>22</v>
      </c>
      <c r="C1294">
        <v>10</v>
      </c>
      <c r="D1294">
        <v>92.6</v>
      </c>
      <c r="E1294">
        <v>926</v>
      </c>
      <c r="F1294" s="2">
        <v>45707</v>
      </c>
      <c r="G1294" s="2">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ht="18" x14ac:dyDescent="0.5">
      <c r="A1295" t="s">
        <v>1393</v>
      </c>
      <c r="B1295" t="s">
        <v>54</v>
      </c>
      <c r="C1295">
        <v>2</v>
      </c>
      <c r="D1295">
        <v>38</v>
      </c>
      <c r="E1295">
        <v>76</v>
      </c>
      <c r="F1295" s="2">
        <v>45707</v>
      </c>
      <c r="G1295" s="2">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ht="18" x14ac:dyDescent="0.5">
      <c r="A1296" t="s">
        <v>1394</v>
      </c>
      <c r="B1296" t="s">
        <v>37</v>
      </c>
      <c r="C1296">
        <v>3</v>
      </c>
      <c r="D1296">
        <v>54.8</v>
      </c>
      <c r="E1296">
        <v>164.39999999999998</v>
      </c>
      <c r="F1296" s="2">
        <v>45707</v>
      </c>
      <c r="G1296" s="2">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ht="18" x14ac:dyDescent="0.5">
      <c r="A1297" t="s">
        <v>1395</v>
      </c>
      <c r="B1297" t="s">
        <v>54</v>
      </c>
      <c r="C1297">
        <v>12</v>
      </c>
      <c r="D1297">
        <v>56.8</v>
      </c>
      <c r="E1297">
        <v>681.59999999999991</v>
      </c>
      <c r="F1297" s="2">
        <v>45707</v>
      </c>
      <c r="G1297" s="2">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ht="18" x14ac:dyDescent="0.5">
      <c r="A1298" t="s">
        <v>1396</v>
      </c>
      <c r="B1298" t="s">
        <v>67</v>
      </c>
      <c r="C1298">
        <v>33</v>
      </c>
      <c r="D1298">
        <v>47.2</v>
      </c>
      <c r="E1298">
        <v>1557.6000000000001</v>
      </c>
      <c r="F1298" s="2">
        <v>45707</v>
      </c>
      <c r="G1298" s="2">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ht="18" x14ac:dyDescent="0.5">
      <c r="A1299" t="s">
        <v>1397</v>
      </c>
      <c r="B1299" t="s">
        <v>42</v>
      </c>
      <c r="C1299">
        <v>6</v>
      </c>
      <c r="D1299">
        <v>45.1</v>
      </c>
      <c r="E1299">
        <v>270.60000000000002</v>
      </c>
      <c r="F1299" s="2">
        <v>45707</v>
      </c>
      <c r="G1299" s="2">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ht="18" x14ac:dyDescent="0.5">
      <c r="A1300" t="s">
        <v>1398</v>
      </c>
      <c r="B1300" t="s">
        <v>32</v>
      </c>
      <c r="C1300">
        <v>12</v>
      </c>
      <c r="D1300">
        <v>25.2</v>
      </c>
      <c r="E1300">
        <v>302.39999999999998</v>
      </c>
      <c r="F1300" s="2">
        <v>45707</v>
      </c>
      <c r="G1300" s="2">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ht="18" x14ac:dyDescent="0.5">
      <c r="A1301" t="s">
        <v>1399</v>
      </c>
      <c r="B1301" t="s">
        <v>44</v>
      </c>
      <c r="C1301">
        <v>1</v>
      </c>
      <c r="D1301">
        <v>22</v>
      </c>
      <c r="E1301">
        <v>22</v>
      </c>
      <c r="F1301" s="2">
        <v>45707</v>
      </c>
      <c r="G1301" s="2">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ht="18" x14ac:dyDescent="0.5">
      <c r="A1302" t="s">
        <v>1400</v>
      </c>
      <c r="B1302" t="s">
        <v>39</v>
      </c>
      <c r="C1302">
        <v>2</v>
      </c>
      <c r="D1302">
        <v>42.2</v>
      </c>
      <c r="E1302">
        <v>84.4</v>
      </c>
      <c r="F1302" s="2">
        <v>45707</v>
      </c>
      <c r="G1302" s="2">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ht="18" x14ac:dyDescent="0.5">
      <c r="A1303" t="s">
        <v>1401</v>
      </c>
      <c r="B1303" t="s">
        <v>76</v>
      </c>
      <c r="C1303">
        <v>3</v>
      </c>
      <c r="D1303">
        <v>20.5</v>
      </c>
      <c r="E1303">
        <v>61.5</v>
      </c>
      <c r="F1303" s="2">
        <v>45707</v>
      </c>
      <c r="G1303" s="2">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ht="18" x14ac:dyDescent="0.5">
      <c r="A1304" t="s">
        <v>1402</v>
      </c>
      <c r="B1304" t="s">
        <v>26</v>
      </c>
      <c r="C1304">
        <v>1</v>
      </c>
      <c r="D1304">
        <v>190.4</v>
      </c>
      <c r="E1304">
        <v>190.4</v>
      </c>
      <c r="F1304" s="2">
        <v>45707</v>
      </c>
      <c r="G1304" s="2">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ht="18" x14ac:dyDescent="0.5">
      <c r="A1305" t="s">
        <v>1403</v>
      </c>
      <c r="B1305" t="s">
        <v>26</v>
      </c>
      <c r="C1305">
        <v>1</v>
      </c>
      <c r="D1305">
        <v>121.9</v>
      </c>
      <c r="E1305">
        <v>121.9</v>
      </c>
      <c r="F1305" s="2">
        <v>45707</v>
      </c>
      <c r="G1305" s="2">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ht="18" x14ac:dyDescent="0.5">
      <c r="A1306" t="s">
        <v>1404</v>
      </c>
      <c r="B1306" t="s">
        <v>26</v>
      </c>
      <c r="C1306">
        <v>6</v>
      </c>
      <c r="D1306">
        <v>149.19999999999999</v>
      </c>
      <c r="E1306">
        <v>895.19999999999993</v>
      </c>
      <c r="F1306" s="2">
        <v>45707</v>
      </c>
      <c r="G1306" s="2">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ht="18" x14ac:dyDescent="0.5">
      <c r="A1307" t="s">
        <v>1405</v>
      </c>
      <c r="B1307" t="s">
        <v>26</v>
      </c>
      <c r="C1307">
        <v>1</v>
      </c>
      <c r="D1307">
        <v>54.1</v>
      </c>
      <c r="E1307">
        <v>54.1</v>
      </c>
      <c r="F1307" s="2">
        <v>45707</v>
      </c>
      <c r="G1307" s="2">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ht="18" x14ac:dyDescent="0.5">
      <c r="A1308" t="s">
        <v>1406</v>
      </c>
      <c r="B1308" t="s">
        <v>37</v>
      </c>
      <c r="C1308">
        <v>2</v>
      </c>
      <c r="D1308">
        <v>27.4</v>
      </c>
      <c r="E1308">
        <v>54.8</v>
      </c>
      <c r="F1308" s="2">
        <v>45707</v>
      </c>
      <c r="G1308" s="2">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ht="18" x14ac:dyDescent="0.5">
      <c r="A1309" t="s">
        <v>1407</v>
      </c>
      <c r="B1309" t="s">
        <v>16</v>
      </c>
      <c r="C1309">
        <v>13</v>
      </c>
      <c r="D1309">
        <v>30.4</v>
      </c>
      <c r="E1309">
        <v>395.2</v>
      </c>
      <c r="F1309" s="2">
        <v>45707</v>
      </c>
      <c r="G1309" s="2">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ht="18" x14ac:dyDescent="0.5">
      <c r="A1310" t="s">
        <v>1408</v>
      </c>
      <c r="B1310" t="s">
        <v>69</v>
      </c>
      <c r="C1310">
        <v>3</v>
      </c>
      <c r="D1310">
        <v>46.2</v>
      </c>
      <c r="E1310">
        <v>138.60000000000002</v>
      </c>
      <c r="F1310" s="2">
        <v>45707</v>
      </c>
      <c r="G1310" s="2">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ht="18" x14ac:dyDescent="0.5">
      <c r="A1311" t="s">
        <v>1409</v>
      </c>
      <c r="B1311" t="s">
        <v>42</v>
      </c>
      <c r="C1311">
        <v>8</v>
      </c>
      <c r="D1311">
        <v>78.599999999999994</v>
      </c>
      <c r="E1311">
        <v>628.79999999999995</v>
      </c>
      <c r="F1311" s="2">
        <v>45707</v>
      </c>
      <c r="G1311" s="2">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ht="18" x14ac:dyDescent="0.5">
      <c r="A1312" t="s">
        <v>1410</v>
      </c>
      <c r="B1312" t="s">
        <v>135</v>
      </c>
      <c r="C1312">
        <v>10</v>
      </c>
      <c r="D1312">
        <v>25.9</v>
      </c>
      <c r="E1312">
        <v>259</v>
      </c>
      <c r="F1312" s="2">
        <v>45707</v>
      </c>
      <c r="G1312" s="2">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ht="18" x14ac:dyDescent="0.5">
      <c r="A1313" t="s">
        <v>1411</v>
      </c>
      <c r="B1313" t="s">
        <v>39</v>
      </c>
      <c r="C1313">
        <v>1</v>
      </c>
      <c r="D1313">
        <v>134.80000000000001</v>
      </c>
      <c r="E1313">
        <v>134.80000000000001</v>
      </c>
      <c r="F1313" s="2">
        <v>45707</v>
      </c>
      <c r="G1313" s="2">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ht="18" x14ac:dyDescent="0.5">
      <c r="A1314" t="s">
        <v>1412</v>
      </c>
      <c r="B1314" t="s">
        <v>123</v>
      </c>
      <c r="C1314">
        <v>5</v>
      </c>
      <c r="D1314">
        <v>43.1</v>
      </c>
      <c r="E1314">
        <v>215.5</v>
      </c>
      <c r="F1314" s="2">
        <v>45707</v>
      </c>
      <c r="G1314" s="2">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ht="18" x14ac:dyDescent="0.5">
      <c r="A1315" t="s">
        <v>1413</v>
      </c>
      <c r="B1315" t="s">
        <v>26</v>
      </c>
      <c r="C1315">
        <v>2</v>
      </c>
      <c r="D1315">
        <v>215.6</v>
      </c>
      <c r="E1315">
        <v>431.2</v>
      </c>
      <c r="F1315" s="2">
        <v>45707</v>
      </c>
      <c r="G1315" s="2">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ht="18" x14ac:dyDescent="0.5">
      <c r="A1316" t="s">
        <v>1414</v>
      </c>
      <c r="B1316" t="s">
        <v>39</v>
      </c>
      <c r="C1316">
        <v>2</v>
      </c>
      <c r="D1316">
        <v>80.7</v>
      </c>
      <c r="E1316">
        <v>161.4</v>
      </c>
      <c r="F1316" s="2">
        <v>45707</v>
      </c>
      <c r="G1316" s="2">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ht="18" x14ac:dyDescent="0.5">
      <c r="A1317" t="s">
        <v>1415</v>
      </c>
      <c r="B1317" t="s">
        <v>54</v>
      </c>
      <c r="C1317">
        <v>7</v>
      </c>
      <c r="D1317">
        <v>20.6</v>
      </c>
      <c r="E1317">
        <v>144.20000000000002</v>
      </c>
      <c r="F1317" s="2">
        <v>45707</v>
      </c>
      <c r="G1317" s="2">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ht="18" x14ac:dyDescent="0.5">
      <c r="A1318" t="s">
        <v>1416</v>
      </c>
      <c r="B1318" t="s">
        <v>69</v>
      </c>
      <c r="C1318">
        <v>3</v>
      </c>
      <c r="D1318">
        <v>37.1</v>
      </c>
      <c r="E1318">
        <v>111.30000000000001</v>
      </c>
      <c r="F1318" s="2">
        <v>45707</v>
      </c>
      <c r="G1318" s="2">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ht="18" x14ac:dyDescent="0.5">
      <c r="A1319" t="s">
        <v>1417</v>
      </c>
      <c r="B1319" t="s">
        <v>69</v>
      </c>
      <c r="C1319">
        <v>1</v>
      </c>
      <c r="D1319">
        <v>104.8</v>
      </c>
      <c r="E1319">
        <v>104.8</v>
      </c>
      <c r="F1319" s="2">
        <v>45708</v>
      </c>
      <c r="G1319" s="2">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ht="18" x14ac:dyDescent="0.5">
      <c r="A1320" t="s">
        <v>1418</v>
      </c>
      <c r="B1320" t="s">
        <v>44</v>
      </c>
      <c r="C1320">
        <v>2</v>
      </c>
      <c r="D1320">
        <v>59</v>
      </c>
      <c r="E1320">
        <v>118</v>
      </c>
      <c r="F1320" s="2">
        <v>45708</v>
      </c>
      <c r="G1320" s="2">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ht="18" x14ac:dyDescent="0.5">
      <c r="A1321" t="s">
        <v>1419</v>
      </c>
      <c r="B1321" t="s">
        <v>44</v>
      </c>
      <c r="C1321">
        <v>2</v>
      </c>
      <c r="D1321">
        <v>32.299999999999997</v>
      </c>
      <c r="E1321">
        <v>64.599999999999994</v>
      </c>
      <c r="F1321" s="2">
        <v>45708</v>
      </c>
      <c r="G1321" s="2">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ht="18" x14ac:dyDescent="0.5">
      <c r="A1322" t="s">
        <v>1420</v>
      </c>
      <c r="B1322" t="s">
        <v>44</v>
      </c>
      <c r="C1322">
        <v>4</v>
      </c>
      <c r="D1322">
        <v>28.9</v>
      </c>
      <c r="E1322">
        <v>115.6</v>
      </c>
      <c r="F1322" s="2">
        <v>45708</v>
      </c>
      <c r="G1322" s="2">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ht="18" x14ac:dyDescent="0.5">
      <c r="A1323" t="s">
        <v>1421</v>
      </c>
      <c r="B1323" t="s">
        <v>16</v>
      </c>
      <c r="C1323">
        <v>2</v>
      </c>
      <c r="D1323">
        <v>29.6</v>
      </c>
      <c r="E1323">
        <v>59.2</v>
      </c>
      <c r="F1323" s="2">
        <v>45708</v>
      </c>
      <c r="G1323" s="2">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ht="18" x14ac:dyDescent="0.5">
      <c r="A1324" t="s">
        <v>1422</v>
      </c>
      <c r="B1324" t="s">
        <v>16</v>
      </c>
      <c r="C1324">
        <v>5</v>
      </c>
      <c r="D1324">
        <v>29.4</v>
      </c>
      <c r="E1324">
        <v>147</v>
      </c>
      <c r="F1324" s="2">
        <v>45708</v>
      </c>
      <c r="G1324" s="2">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ht="18" x14ac:dyDescent="0.5">
      <c r="A1325" t="s">
        <v>1423</v>
      </c>
      <c r="B1325" t="s">
        <v>22</v>
      </c>
      <c r="C1325">
        <v>2</v>
      </c>
      <c r="D1325">
        <v>40.6</v>
      </c>
      <c r="E1325">
        <v>81.2</v>
      </c>
      <c r="F1325" s="2">
        <v>45708</v>
      </c>
      <c r="G1325" s="2">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ht="18" x14ac:dyDescent="0.5">
      <c r="A1326" t="s">
        <v>1424</v>
      </c>
      <c r="B1326" t="s">
        <v>16</v>
      </c>
      <c r="C1326">
        <v>3</v>
      </c>
      <c r="D1326">
        <v>32.5</v>
      </c>
      <c r="E1326">
        <v>97.5</v>
      </c>
      <c r="F1326" s="2">
        <v>45708</v>
      </c>
      <c r="G1326" s="2">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ht="18" x14ac:dyDescent="0.5">
      <c r="A1327" t="s">
        <v>1425</v>
      </c>
      <c r="B1327" t="s">
        <v>123</v>
      </c>
      <c r="C1327">
        <v>1</v>
      </c>
      <c r="D1327">
        <v>26.2</v>
      </c>
      <c r="E1327">
        <v>26.2</v>
      </c>
      <c r="F1327" s="2">
        <v>45708</v>
      </c>
      <c r="G1327" s="2">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ht="18" x14ac:dyDescent="0.5">
      <c r="A1328" t="s">
        <v>1427</v>
      </c>
      <c r="B1328" t="s">
        <v>54</v>
      </c>
      <c r="C1328">
        <v>30</v>
      </c>
      <c r="D1328">
        <v>44</v>
      </c>
      <c r="E1328">
        <v>1320</v>
      </c>
      <c r="F1328" s="2">
        <v>45708</v>
      </c>
      <c r="G1328" s="2">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ht="18" x14ac:dyDescent="0.5">
      <c r="A1329" t="s">
        <v>1428</v>
      </c>
      <c r="B1329" t="s">
        <v>42</v>
      </c>
      <c r="C1329">
        <v>4</v>
      </c>
      <c r="D1329">
        <v>65.599999999999994</v>
      </c>
      <c r="E1329">
        <v>262.39999999999998</v>
      </c>
      <c r="F1329" s="2">
        <v>45708</v>
      </c>
      <c r="G1329" s="2">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ht="18" x14ac:dyDescent="0.5">
      <c r="A1330" t="s">
        <v>1429</v>
      </c>
      <c r="B1330" t="s">
        <v>37</v>
      </c>
      <c r="C1330">
        <v>12</v>
      </c>
      <c r="D1330">
        <v>32.6</v>
      </c>
      <c r="E1330">
        <v>391.20000000000005</v>
      </c>
      <c r="F1330" s="2">
        <v>45708</v>
      </c>
      <c r="G1330" s="2">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ht="18" x14ac:dyDescent="0.5">
      <c r="A1331" t="s">
        <v>1430</v>
      </c>
      <c r="B1331" t="s">
        <v>128</v>
      </c>
      <c r="C1331">
        <v>2</v>
      </c>
      <c r="D1331">
        <v>88.7</v>
      </c>
      <c r="E1331">
        <v>177.4</v>
      </c>
      <c r="F1331" s="2">
        <v>45708</v>
      </c>
      <c r="G1331" s="2">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ht="18" x14ac:dyDescent="0.5">
      <c r="A1332" t="s">
        <v>1431</v>
      </c>
      <c r="B1332" t="s">
        <v>32</v>
      </c>
      <c r="C1332">
        <v>2</v>
      </c>
      <c r="D1332">
        <v>21.3</v>
      </c>
      <c r="E1332">
        <v>42.6</v>
      </c>
      <c r="F1332" s="2">
        <v>45708</v>
      </c>
      <c r="G1332" s="2">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ht="18" x14ac:dyDescent="0.5">
      <c r="A1333" t="s">
        <v>1432</v>
      </c>
      <c r="B1333" t="s">
        <v>32</v>
      </c>
      <c r="C1333">
        <v>6</v>
      </c>
      <c r="D1333">
        <v>50.6</v>
      </c>
      <c r="E1333">
        <v>303.60000000000002</v>
      </c>
      <c r="F1333" s="2">
        <v>45708</v>
      </c>
      <c r="G1333" s="2">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ht="18" x14ac:dyDescent="0.5">
      <c r="A1334" t="s">
        <v>1433</v>
      </c>
      <c r="B1334" t="s">
        <v>46</v>
      </c>
      <c r="C1334">
        <v>21</v>
      </c>
      <c r="D1334">
        <v>86.9</v>
      </c>
      <c r="E1334">
        <v>1824.9</v>
      </c>
      <c r="F1334" s="2">
        <v>45708</v>
      </c>
      <c r="G1334" s="2">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ht="18" x14ac:dyDescent="0.5">
      <c r="A1335" t="s">
        <v>1434</v>
      </c>
      <c r="B1335" t="s">
        <v>67</v>
      </c>
      <c r="C1335">
        <v>3</v>
      </c>
      <c r="D1335">
        <v>31.8</v>
      </c>
      <c r="E1335">
        <v>95.4</v>
      </c>
      <c r="F1335" s="2">
        <v>45708</v>
      </c>
      <c r="G1335" s="2">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ht="18" x14ac:dyDescent="0.5">
      <c r="A1336" t="s">
        <v>1435</v>
      </c>
      <c r="B1336" t="s">
        <v>44</v>
      </c>
      <c r="C1336">
        <v>1</v>
      </c>
      <c r="D1336">
        <v>19</v>
      </c>
      <c r="E1336">
        <v>19</v>
      </c>
      <c r="F1336" s="2">
        <v>45708</v>
      </c>
      <c r="G1336" s="2">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ht="18" x14ac:dyDescent="0.5">
      <c r="A1337" t="s">
        <v>1436</v>
      </c>
      <c r="B1337" t="s">
        <v>37</v>
      </c>
      <c r="C1337">
        <v>1</v>
      </c>
      <c r="D1337">
        <v>54.5</v>
      </c>
      <c r="E1337">
        <v>54.5</v>
      </c>
      <c r="F1337" s="2">
        <v>45708</v>
      </c>
      <c r="G1337" s="2">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ht="18" x14ac:dyDescent="0.5">
      <c r="A1338" t="s">
        <v>1437</v>
      </c>
      <c r="B1338" t="s">
        <v>46</v>
      </c>
      <c r="C1338">
        <v>5</v>
      </c>
      <c r="D1338">
        <v>68.900000000000006</v>
      </c>
      <c r="E1338">
        <v>344.5</v>
      </c>
      <c r="F1338" s="2">
        <v>45708</v>
      </c>
      <c r="G1338" s="2">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ht="18" x14ac:dyDescent="0.5">
      <c r="A1339" t="s">
        <v>1438</v>
      </c>
      <c r="B1339" t="s">
        <v>39</v>
      </c>
      <c r="C1339">
        <v>3</v>
      </c>
      <c r="D1339">
        <v>84</v>
      </c>
      <c r="E1339">
        <v>252</v>
      </c>
      <c r="F1339" s="2">
        <v>45708</v>
      </c>
      <c r="G1339" s="2">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ht="18" x14ac:dyDescent="0.5">
      <c r="A1340" t="s">
        <v>1439</v>
      </c>
      <c r="B1340" t="s">
        <v>123</v>
      </c>
      <c r="C1340">
        <v>8</v>
      </c>
      <c r="D1340">
        <v>23.1</v>
      </c>
      <c r="E1340">
        <v>184.8</v>
      </c>
      <c r="F1340" s="2">
        <v>45708</v>
      </c>
      <c r="G1340" s="2">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ht="18" x14ac:dyDescent="0.5">
      <c r="A1341" t="s">
        <v>1440</v>
      </c>
      <c r="B1341" t="s">
        <v>42</v>
      </c>
      <c r="C1341">
        <v>2</v>
      </c>
      <c r="D1341">
        <v>62.4</v>
      </c>
      <c r="E1341">
        <v>124.8</v>
      </c>
      <c r="F1341" s="2">
        <v>45708</v>
      </c>
      <c r="G1341" s="2">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ht="18" x14ac:dyDescent="0.5">
      <c r="A1342" t="s">
        <v>1441</v>
      </c>
      <c r="B1342" t="s">
        <v>39</v>
      </c>
      <c r="C1342">
        <v>12</v>
      </c>
      <c r="D1342">
        <v>40.700000000000003</v>
      </c>
      <c r="E1342">
        <v>488.40000000000003</v>
      </c>
      <c r="F1342" s="2">
        <v>45708</v>
      </c>
      <c r="G1342" s="2">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ht="18" x14ac:dyDescent="0.5">
      <c r="A1343" t="s">
        <v>1442</v>
      </c>
      <c r="B1343" t="s">
        <v>39</v>
      </c>
      <c r="C1343">
        <v>1</v>
      </c>
      <c r="D1343">
        <v>49.6</v>
      </c>
      <c r="E1343">
        <v>49.6</v>
      </c>
      <c r="F1343" s="2">
        <v>45708</v>
      </c>
      <c r="G1343" s="2">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ht="18" x14ac:dyDescent="0.5">
      <c r="A1344" t="s">
        <v>1443</v>
      </c>
      <c r="B1344" t="s">
        <v>42</v>
      </c>
      <c r="C1344">
        <v>45</v>
      </c>
      <c r="D1344">
        <v>66.599999999999994</v>
      </c>
      <c r="E1344">
        <v>2996.9999999999995</v>
      </c>
      <c r="F1344" s="2">
        <v>45708</v>
      </c>
      <c r="G1344" s="2">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ht="18" x14ac:dyDescent="0.5">
      <c r="A1345" t="s">
        <v>1444</v>
      </c>
      <c r="B1345" t="s">
        <v>44</v>
      </c>
      <c r="C1345">
        <v>3</v>
      </c>
      <c r="D1345">
        <v>26.4</v>
      </c>
      <c r="E1345">
        <v>79.199999999999989</v>
      </c>
      <c r="F1345" s="2">
        <v>45708</v>
      </c>
      <c r="G1345" s="2">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ht="18" x14ac:dyDescent="0.5">
      <c r="A1346" t="s">
        <v>1445</v>
      </c>
      <c r="B1346" t="s">
        <v>16</v>
      </c>
      <c r="C1346">
        <v>2</v>
      </c>
      <c r="D1346">
        <v>17.2</v>
      </c>
      <c r="E1346">
        <v>34.4</v>
      </c>
      <c r="F1346" s="2">
        <v>45708</v>
      </c>
      <c r="G1346" s="2">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ht="18" x14ac:dyDescent="0.5">
      <c r="A1347" t="s">
        <v>1446</v>
      </c>
      <c r="B1347" t="s">
        <v>37</v>
      </c>
      <c r="C1347">
        <v>8</v>
      </c>
      <c r="D1347">
        <v>58.1</v>
      </c>
      <c r="E1347">
        <v>464.8</v>
      </c>
      <c r="F1347" s="2">
        <v>45708</v>
      </c>
      <c r="G1347" s="2">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ht="18" x14ac:dyDescent="0.5">
      <c r="A1348" t="s">
        <v>1447</v>
      </c>
      <c r="B1348" t="s">
        <v>123</v>
      </c>
      <c r="C1348">
        <v>4</v>
      </c>
      <c r="D1348">
        <v>31.5</v>
      </c>
      <c r="E1348">
        <v>126</v>
      </c>
      <c r="F1348" s="2">
        <v>45708</v>
      </c>
      <c r="G1348" s="2">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ht="18" x14ac:dyDescent="0.5">
      <c r="A1349" t="s">
        <v>1448</v>
      </c>
      <c r="B1349" t="s">
        <v>16</v>
      </c>
      <c r="C1349">
        <v>1</v>
      </c>
      <c r="D1349">
        <v>27.1</v>
      </c>
      <c r="E1349">
        <v>27.1</v>
      </c>
      <c r="F1349" s="2">
        <v>45708</v>
      </c>
      <c r="G1349" s="2">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ht="18" x14ac:dyDescent="0.5">
      <c r="A1350" t="s">
        <v>1449</v>
      </c>
      <c r="B1350" t="s">
        <v>146</v>
      </c>
      <c r="C1350">
        <v>4</v>
      </c>
      <c r="D1350">
        <v>28.5</v>
      </c>
      <c r="E1350">
        <v>114</v>
      </c>
      <c r="F1350" s="2">
        <v>45708</v>
      </c>
      <c r="G1350" s="2">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ht="18" x14ac:dyDescent="0.5">
      <c r="A1351" t="s">
        <v>1450</v>
      </c>
      <c r="B1351" t="s">
        <v>54</v>
      </c>
      <c r="C1351">
        <v>1</v>
      </c>
      <c r="D1351">
        <v>40.5</v>
      </c>
      <c r="E1351">
        <v>40.5</v>
      </c>
      <c r="F1351" s="2">
        <v>45709</v>
      </c>
      <c r="G1351" s="2">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ht="18" x14ac:dyDescent="0.5">
      <c r="A1352" t="s">
        <v>1451</v>
      </c>
      <c r="B1352" t="s">
        <v>26</v>
      </c>
      <c r="C1352">
        <v>3</v>
      </c>
      <c r="D1352">
        <v>77.900000000000006</v>
      </c>
      <c r="E1352">
        <v>233.70000000000002</v>
      </c>
      <c r="F1352" s="2">
        <v>45709</v>
      </c>
      <c r="G1352" s="2">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ht="18" x14ac:dyDescent="0.5">
      <c r="A1353" t="s">
        <v>1452</v>
      </c>
      <c r="B1353" t="s">
        <v>146</v>
      </c>
      <c r="C1353">
        <v>4</v>
      </c>
      <c r="D1353">
        <v>37.1</v>
      </c>
      <c r="E1353">
        <v>148.4</v>
      </c>
      <c r="F1353" s="2">
        <v>45709</v>
      </c>
      <c r="G1353" s="2">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ht="18" x14ac:dyDescent="0.5">
      <c r="A1354" t="s">
        <v>1453</v>
      </c>
      <c r="B1354" t="s">
        <v>128</v>
      </c>
      <c r="C1354">
        <v>3</v>
      </c>
      <c r="D1354">
        <v>51.6</v>
      </c>
      <c r="E1354">
        <v>154.80000000000001</v>
      </c>
      <c r="F1354" s="2">
        <v>45709</v>
      </c>
      <c r="G1354" s="2">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ht="18" x14ac:dyDescent="0.5">
      <c r="A1355" t="s">
        <v>1454</v>
      </c>
      <c r="B1355" t="s">
        <v>42</v>
      </c>
      <c r="C1355">
        <v>3</v>
      </c>
      <c r="D1355">
        <v>98</v>
      </c>
      <c r="E1355">
        <v>294</v>
      </c>
      <c r="F1355" s="2">
        <v>45709</v>
      </c>
      <c r="G1355" s="2">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ht="18" x14ac:dyDescent="0.5">
      <c r="A1356" t="s">
        <v>1455</v>
      </c>
      <c r="B1356" t="s">
        <v>39</v>
      </c>
      <c r="C1356">
        <v>7</v>
      </c>
      <c r="D1356">
        <v>41.4</v>
      </c>
      <c r="E1356">
        <v>289.8</v>
      </c>
      <c r="F1356" s="2">
        <v>45709</v>
      </c>
      <c r="G1356" s="2">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ht="18" x14ac:dyDescent="0.5">
      <c r="A1357" t="s">
        <v>1456</v>
      </c>
      <c r="B1357" t="s">
        <v>67</v>
      </c>
      <c r="C1357">
        <v>8</v>
      </c>
      <c r="D1357">
        <v>34</v>
      </c>
      <c r="E1357">
        <v>272</v>
      </c>
      <c r="F1357" s="2">
        <v>45709</v>
      </c>
      <c r="G1357" s="2">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ht="18" x14ac:dyDescent="0.5">
      <c r="A1358" t="s">
        <v>1457</v>
      </c>
      <c r="B1358" t="s">
        <v>39</v>
      </c>
      <c r="C1358">
        <v>1</v>
      </c>
      <c r="D1358">
        <v>66.3</v>
      </c>
      <c r="E1358">
        <v>66.3</v>
      </c>
      <c r="F1358" s="2">
        <v>45709</v>
      </c>
      <c r="G1358" s="2">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ht="18" x14ac:dyDescent="0.5">
      <c r="A1359" t="s">
        <v>1458</v>
      </c>
      <c r="B1359" t="s">
        <v>42</v>
      </c>
      <c r="C1359">
        <v>1</v>
      </c>
      <c r="D1359">
        <v>33.5</v>
      </c>
      <c r="E1359">
        <v>33.5</v>
      </c>
      <c r="F1359" s="2">
        <v>45709</v>
      </c>
      <c r="G1359" s="2">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ht="18" x14ac:dyDescent="0.5">
      <c r="A1360" t="s">
        <v>1459</v>
      </c>
      <c r="B1360" t="s">
        <v>69</v>
      </c>
      <c r="C1360">
        <v>2</v>
      </c>
      <c r="D1360">
        <v>70.8</v>
      </c>
      <c r="E1360">
        <v>141.6</v>
      </c>
      <c r="F1360" s="2">
        <v>45709</v>
      </c>
      <c r="G1360" s="2">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ht="18" x14ac:dyDescent="0.5">
      <c r="A1361" t="s">
        <v>1460</v>
      </c>
      <c r="B1361" t="s">
        <v>39</v>
      </c>
      <c r="C1361">
        <v>2</v>
      </c>
      <c r="D1361">
        <v>127.6</v>
      </c>
      <c r="E1361">
        <v>255.2</v>
      </c>
      <c r="F1361" s="2">
        <v>45709</v>
      </c>
      <c r="G1361" s="2">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ht="18" x14ac:dyDescent="0.5">
      <c r="A1362" t="s">
        <v>1461</v>
      </c>
      <c r="B1362" t="s">
        <v>39</v>
      </c>
      <c r="C1362">
        <v>3</v>
      </c>
      <c r="D1362">
        <v>95.9</v>
      </c>
      <c r="E1362">
        <v>287.70000000000005</v>
      </c>
      <c r="F1362" s="2">
        <v>45709</v>
      </c>
      <c r="G1362" s="2">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ht="18" x14ac:dyDescent="0.5">
      <c r="A1363" t="s">
        <v>1462</v>
      </c>
      <c r="B1363" t="s">
        <v>26</v>
      </c>
      <c r="C1363">
        <v>2</v>
      </c>
      <c r="D1363">
        <v>78.099999999999994</v>
      </c>
      <c r="E1363">
        <v>156.19999999999999</v>
      </c>
      <c r="F1363" s="2">
        <v>45709</v>
      </c>
      <c r="G1363" s="2">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ht="18" x14ac:dyDescent="0.5">
      <c r="A1364" t="s">
        <v>1463</v>
      </c>
      <c r="B1364" t="s">
        <v>76</v>
      </c>
      <c r="C1364">
        <v>2</v>
      </c>
      <c r="D1364">
        <v>43.2</v>
      </c>
      <c r="E1364">
        <v>86.4</v>
      </c>
      <c r="F1364" s="2">
        <v>45709</v>
      </c>
      <c r="G1364" s="2">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ht="18" x14ac:dyDescent="0.5">
      <c r="A1365" t="s">
        <v>1464</v>
      </c>
      <c r="B1365" t="s">
        <v>44</v>
      </c>
      <c r="C1365">
        <v>4</v>
      </c>
      <c r="D1365">
        <v>28.4</v>
      </c>
      <c r="E1365">
        <v>113.6</v>
      </c>
      <c r="F1365" s="2">
        <v>45709</v>
      </c>
      <c r="G1365" s="2">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ht="18" x14ac:dyDescent="0.5">
      <c r="A1366" t="s">
        <v>1465</v>
      </c>
      <c r="B1366" t="s">
        <v>26</v>
      </c>
      <c r="C1366">
        <v>2</v>
      </c>
      <c r="D1366">
        <v>81.7</v>
      </c>
      <c r="E1366">
        <v>163.4</v>
      </c>
      <c r="F1366" s="2">
        <v>45709</v>
      </c>
      <c r="G1366" s="2">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ht="18" x14ac:dyDescent="0.5">
      <c r="A1367" t="s">
        <v>1466</v>
      </c>
      <c r="B1367" t="s">
        <v>146</v>
      </c>
      <c r="C1367">
        <v>2</v>
      </c>
      <c r="D1367">
        <v>56.7</v>
      </c>
      <c r="E1367">
        <v>113.4</v>
      </c>
      <c r="F1367" s="2">
        <v>45709</v>
      </c>
      <c r="G1367" s="2">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ht="18" x14ac:dyDescent="0.5">
      <c r="A1368" t="s">
        <v>1467</v>
      </c>
      <c r="B1368" t="s">
        <v>30</v>
      </c>
      <c r="C1368">
        <v>4</v>
      </c>
      <c r="D1368">
        <v>66.5</v>
      </c>
      <c r="E1368">
        <v>266</v>
      </c>
      <c r="F1368" s="2">
        <v>45709</v>
      </c>
      <c r="G1368" s="2">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ht="18" x14ac:dyDescent="0.5">
      <c r="A1369" t="s">
        <v>1468</v>
      </c>
      <c r="B1369" t="s">
        <v>22</v>
      </c>
      <c r="C1369">
        <v>2</v>
      </c>
      <c r="D1369">
        <v>105.3</v>
      </c>
      <c r="E1369">
        <v>210.6</v>
      </c>
      <c r="F1369" s="2">
        <v>45709</v>
      </c>
      <c r="G1369" s="2">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ht="18" x14ac:dyDescent="0.5">
      <c r="A1370" t="s">
        <v>1469</v>
      </c>
      <c r="B1370" t="s">
        <v>54</v>
      </c>
      <c r="C1370">
        <v>5</v>
      </c>
      <c r="D1370">
        <v>33.799999999999997</v>
      </c>
      <c r="E1370">
        <v>169</v>
      </c>
      <c r="F1370" s="2">
        <v>45709</v>
      </c>
      <c r="G1370" s="2">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ht="18" x14ac:dyDescent="0.5">
      <c r="A1371" t="s">
        <v>1470</v>
      </c>
      <c r="B1371" t="s">
        <v>39</v>
      </c>
      <c r="C1371">
        <v>3</v>
      </c>
      <c r="D1371">
        <v>63.4</v>
      </c>
      <c r="E1371">
        <v>190.2</v>
      </c>
      <c r="F1371" s="2">
        <v>45709</v>
      </c>
      <c r="G1371" s="2">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ht="18" x14ac:dyDescent="0.5">
      <c r="A1372" t="s">
        <v>1471</v>
      </c>
      <c r="B1372" t="s">
        <v>39</v>
      </c>
      <c r="C1372">
        <v>3</v>
      </c>
      <c r="D1372">
        <v>49</v>
      </c>
      <c r="E1372">
        <v>147</v>
      </c>
      <c r="F1372" s="2">
        <v>45709</v>
      </c>
      <c r="G1372" s="2">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ht="18" x14ac:dyDescent="0.5">
      <c r="A1373" t="s">
        <v>1472</v>
      </c>
      <c r="B1373" t="s">
        <v>22</v>
      </c>
      <c r="C1373">
        <v>2</v>
      </c>
      <c r="D1373">
        <v>40</v>
      </c>
      <c r="E1373">
        <v>80</v>
      </c>
      <c r="F1373" s="2">
        <v>45709</v>
      </c>
      <c r="G1373" s="2">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ht="18" x14ac:dyDescent="0.5">
      <c r="A1374" t="s">
        <v>1473</v>
      </c>
      <c r="B1374" t="s">
        <v>39</v>
      </c>
      <c r="C1374">
        <v>4</v>
      </c>
      <c r="D1374">
        <v>86.3</v>
      </c>
      <c r="E1374">
        <v>345.2</v>
      </c>
      <c r="F1374" s="2">
        <v>45709</v>
      </c>
      <c r="G1374" s="2">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ht="18" x14ac:dyDescent="0.5">
      <c r="A1375" t="s">
        <v>1474</v>
      </c>
      <c r="B1375" t="s">
        <v>39</v>
      </c>
      <c r="C1375">
        <v>1</v>
      </c>
      <c r="D1375">
        <v>51.6</v>
      </c>
      <c r="E1375">
        <v>51.6</v>
      </c>
      <c r="F1375" s="2">
        <v>45709</v>
      </c>
      <c r="G1375" s="2">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ht="18" x14ac:dyDescent="0.5">
      <c r="A1376" t="s">
        <v>1475</v>
      </c>
      <c r="B1376" t="s">
        <v>54</v>
      </c>
      <c r="C1376">
        <v>3</v>
      </c>
      <c r="D1376">
        <v>26.7</v>
      </c>
      <c r="E1376">
        <v>80.099999999999994</v>
      </c>
      <c r="F1376" s="2">
        <v>45709</v>
      </c>
      <c r="G1376" s="2">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ht="18" x14ac:dyDescent="0.5">
      <c r="A1377" t="s">
        <v>1476</v>
      </c>
      <c r="B1377" t="s">
        <v>146</v>
      </c>
      <c r="C1377">
        <v>2</v>
      </c>
      <c r="D1377">
        <v>68.099999999999994</v>
      </c>
      <c r="E1377">
        <v>136.19999999999999</v>
      </c>
      <c r="F1377" s="2">
        <v>45709</v>
      </c>
      <c r="G1377" s="2">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ht="18" x14ac:dyDescent="0.5">
      <c r="A1378" t="s">
        <v>1477</v>
      </c>
      <c r="B1378" t="s">
        <v>22</v>
      </c>
      <c r="C1378">
        <v>1</v>
      </c>
      <c r="D1378">
        <v>81.7</v>
      </c>
      <c r="E1378">
        <v>81.7</v>
      </c>
      <c r="F1378" s="2">
        <v>45709</v>
      </c>
      <c r="G1378" s="2">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ht="18" x14ac:dyDescent="0.5">
      <c r="A1379" t="s">
        <v>1478</v>
      </c>
      <c r="B1379" t="s">
        <v>146</v>
      </c>
      <c r="C1379">
        <v>10</v>
      </c>
      <c r="D1379">
        <v>25.1</v>
      </c>
      <c r="E1379">
        <v>251</v>
      </c>
      <c r="F1379" s="2">
        <v>45709</v>
      </c>
      <c r="G1379" s="2">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ht="18" x14ac:dyDescent="0.5">
      <c r="A1380" t="s">
        <v>1479</v>
      </c>
      <c r="B1380" t="s">
        <v>44</v>
      </c>
      <c r="C1380">
        <v>1</v>
      </c>
      <c r="D1380">
        <v>20.2</v>
      </c>
      <c r="E1380">
        <v>20.2</v>
      </c>
      <c r="F1380" s="2">
        <v>45709</v>
      </c>
      <c r="G1380" s="2">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ht="18" x14ac:dyDescent="0.5">
      <c r="A1381" t="s">
        <v>1480</v>
      </c>
      <c r="B1381" t="s">
        <v>44</v>
      </c>
      <c r="C1381">
        <v>3</v>
      </c>
      <c r="D1381">
        <v>15.4</v>
      </c>
      <c r="E1381">
        <v>46.2</v>
      </c>
      <c r="F1381" s="2">
        <v>45709</v>
      </c>
      <c r="G1381" s="2">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ht="18" x14ac:dyDescent="0.5">
      <c r="A1382" t="s">
        <v>1481</v>
      </c>
      <c r="B1382" t="s">
        <v>54</v>
      </c>
      <c r="C1382">
        <v>1</v>
      </c>
      <c r="D1382">
        <v>59.2</v>
      </c>
      <c r="E1382">
        <v>59.2</v>
      </c>
      <c r="F1382" s="2">
        <v>45709</v>
      </c>
      <c r="G1382" s="2">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ht="18" x14ac:dyDescent="0.5">
      <c r="A1383" t="s">
        <v>1482</v>
      </c>
      <c r="B1383" t="s">
        <v>16</v>
      </c>
      <c r="C1383">
        <v>1</v>
      </c>
      <c r="D1383">
        <v>46.7</v>
      </c>
      <c r="E1383">
        <v>46.7</v>
      </c>
      <c r="F1383" s="2">
        <v>45709</v>
      </c>
      <c r="G1383" s="2">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ht="18" x14ac:dyDescent="0.5">
      <c r="A1384" t="s">
        <v>1483</v>
      </c>
      <c r="B1384" t="s">
        <v>39</v>
      </c>
      <c r="C1384">
        <v>15</v>
      </c>
      <c r="D1384">
        <v>41.6</v>
      </c>
      <c r="E1384">
        <v>624</v>
      </c>
      <c r="F1384" s="2">
        <v>45709</v>
      </c>
      <c r="G1384" s="2">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ht="18" x14ac:dyDescent="0.5">
      <c r="A1385" t="s">
        <v>1484</v>
      </c>
      <c r="B1385" t="s">
        <v>44</v>
      </c>
      <c r="C1385">
        <v>2</v>
      </c>
      <c r="D1385">
        <v>19.2</v>
      </c>
      <c r="E1385">
        <v>38.4</v>
      </c>
      <c r="F1385" s="2">
        <v>45709</v>
      </c>
      <c r="G1385" s="2">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ht="18" x14ac:dyDescent="0.5">
      <c r="A1386" t="s">
        <v>1485</v>
      </c>
      <c r="B1386" t="s">
        <v>135</v>
      </c>
      <c r="C1386">
        <v>7</v>
      </c>
      <c r="D1386">
        <v>41.8</v>
      </c>
      <c r="E1386">
        <v>292.59999999999997</v>
      </c>
      <c r="F1386" s="2">
        <v>45709</v>
      </c>
      <c r="G1386" s="2">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ht="18" x14ac:dyDescent="0.5">
      <c r="A1387" t="s">
        <v>1486</v>
      </c>
      <c r="B1387" t="s">
        <v>44</v>
      </c>
      <c r="C1387">
        <v>6</v>
      </c>
      <c r="D1387">
        <v>37.4</v>
      </c>
      <c r="E1387">
        <v>224.39999999999998</v>
      </c>
      <c r="F1387" s="2">
        <v>45709</v>
      </c>
      <c r="G1387" s="2">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ht="18" x14ac:dyDescent="0.5">
      <c r="A1388" t="s">
        <v>1487</v>
      </c>
      <c r="B1388" t="s">
        <v>54</v>
      </c>
      <c r="C1388">
        <v>3</v>
      </c>
      <c r="D1388">
        <v>60.2</v>
      </c>
      <c r="E1388">
        <v>180.60000000000002</v>
      </c>
      <c r="F1388" s="2">
        <v>45709</v>
      </c>
      <c r="G1388" s="2">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ht="18" x14ac:dyDescent="0.5">
      <c r="A1389" t="s">
        <v>1488</v>
      </c>
      <c r="B1389" t="s">
        <v>46</v>
      </c>
      <c r="C1389">
        <v>2</v>
      </c>
      <c r="D1389">
        <v>91.5</v>
      </c>
      <c r="E1389">
        <v>183</v>
      </c>
      <c r="F1389" s="2">
        <v>45710</v>
      </c>
      <c r="G1389" s="2">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ht="18" x14ac:dyDescent="0.5">
      <c r="A1390" t="s">
        <v>1489</v>
      </c>
      <c r="B1390" t="s">
        <v>30</v>
      </c>
      <c r="C1390">
        <v>5</v>
      </c>
      <c r="D1390">
        <v>55.7</v>
      </c>
      <c r="E1390">
        <v>278.5</v>
      </c>
      <c r="F1390" s="2">
        <v>45710</v>
      </c>
      <c r="G1390" s="2">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ht="18" x14ac:dyDescent="0.5">
      <c r="A1391" t="s">
        <v>1490</v>
      </c>
      <c r="B1391" t="s">
        <v>42</v>
      </c>
      <c r="C1391">
        <v>2</v>
      </c>
      <c r="D1391">
        <v>76.7</v>
      </c>
      <c r="E1391">
        <v>153.4</v>
      </c>
      <c r="F1391" s="2">
        <v>45710</v>
      </c>
      <c r="G1391" s="2">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ht="18" x14ac:dyDescent="0.5">
      <c r="A1392" t="s">
        <v>1491</v>
      </c>
      <c r="B1392" t="s">
        <v>44</v>
      </c>
      <c r="C1392">
        <v>21</v>
      </c>
      <c r="D1392">
        <v>28.2</v>
      </c>
      <c r="E1392">
        <v>592.19999999999993</v>
      </c>
      <c r="F1392" s="2">
        <v>45710</v>
      </c>
      <c r="G1392" s="2">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ht="18" x14ac:dyDescent="0.5">
      <c r="A1393" t="s">
        <v>1492</v>
      </c>
      <c r="B1393" t="s">
        <v>42</v>
      </c>
      <c r="C1393">
        <v>5</v>
      </c>
      <c r="D1393">
        <v>93.2</v>
      </c>
      <c r="E1393">
        <v>466</v>
      </c>
      <c r="F1393" s="2">
        <v>45710</v>
      </c>
      <c r="G1393" s="2">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ht="18" x14ac:dyDescent="0.5">
      <c r="A1394" t="s">
        <v>1493</v>
      </c>
      <c r="B1394" t="s">
        <v>135</v>
      </c>
      <c r="C1394">
        <v>1</v>
      </c>
      <c r="D1394">
        <v>33.299999999999997</v>
      </c>
      <c r="E1394">
        <v>33.299999999999997</v>
      </c>
      <c r="F1394" s="2">
        <v>45710</v>
      </c>
      <c r="G1394" s="2">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ht="18" x14ac:dyDescent="0.5">
      <c r="A1395" t="s">
        <v>1494</v>
      </c>
      <c r="B1395" t="s">
        <v>54</v>
      </c>
      <c r="C1395">
        <v>2</v>
      </c>
      <c r="D1395">
        <v>39.1</v>
      </c>
      <c r="E1395">
        <v>78.2</v>
      </c>
      <c r="F1395" s="2">
        <v>45710</v>
      </c>
      <c r="G1395" s="2">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ht="18" x14ac:dyDescent="0.5">
      <c r="A1396" t="s">
        <v>1495</v>
      </c>
      <c r="B1396" t="s">
        <v>42</v>
      </c>
      <c r="C1396">
        <v>12</v>
      </c>
      <c r="D1396">
        <v>45.3</v>
      </c>
      <c r="E1396">
        <v>543.59999999999991</v>
      </c>
      <c r="F1396" s="2">
        <v>45710</v>
      </c>
      <c r="G1396" s="2">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ht="18" x14ac:dyDescent="0.5">
      <c r="A1397" t="s">
        <v>1496</v>
      </c>
      <c r="B1397" t="s">
        <v>46</v>
      </c>
      <c r="C1397">
        <v>7</v>
      </c>
      <c r="D1397">
        <v>33.9</v>
      </c>
      <c r="E1397">
        <v>237.29999999999998</v>
      </c>
      <c r="F1397" s="2">
        <v>45710</v>
      </c>
      <c r="G1397" s="2">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ht="18" x14ac:dyDescent="0.5">
      <c r="A1398" t="s">
        <v>1497</v>
      </c>
      <c r="B1398" t="s">
        <v>44</v>
      </c>
      <c r="C1398">
        <v>3</v>
      </c>
      <c r="D1398">
        <v>19</v>
      </c>
      <c r="E1398">
        <v>57</v>
      </c>
      <c r="F1398" s="2">
        <v>45710</v>
      </c>
      <c r="G1398" s="2">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ht="18" x14ac:dyDescent="0.5">
      <c r="A1399" t="s">
        <v>1498</v>
      </c>
      <c r="B1399" t="s">
        <v>32</v>
      </c>
      <c r="C1399">
        <v>1</v>
      </c>
      <c r="D1399">
        <v>41.9</v>
      </c>
      <c r="E1399">
        <v>41.9</v>
      </c>
      <c r="F1399" s="2">
        <v>45710</v>
      </c>
      <c r="G1399" s="2">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ht="18" x14ac:dyDescent="0.5">
      <c r="A1400" t="s">
        <v>1499</v>
      </c>
      <c r="B1400" t="s">
        <v>22</v>
      </c>
      <c r="C1400">
        <v>4</v>
      </c>
      <c r="D1400">
        <v>37.5</v>
      </c>
      <c r="E1400">
        <v>150</v>
      </c>
      <c r="F1400" s="2">
        <v>45710</v>
      </c>
      <c r="G1400" s="2">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ht="18" x14ac:dyDescent="0.5">
      <c r="A1401" t="s">
        <v>1500</v>
      </c>
      <c r="B1401" t="s">
        <v>16</v>
      </c>
      <c r="C1401">
        <v>2</v>
      </c>
      <c r="D1401">
        <v>40.799999999999997</v>
      </c>
      <c r="E1401">
        <v>81.599999999999994</v>
      </c>
      <c r="F1401" s="2">
        <v>45710</v>
      </c>
      <c r="G1401" s="2">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ht="18" x14ac:dyDescent="0.5">
      <c r="A1402" t="s">
        <v>1501</v>
      </c>
      <c r="B1402" t="s">
        <v>16</v>
      </c>
      <c r="C1402">
        <v>4</v>
      </c>
      <c r="D1402">
        <v>23.1</v>
      </c>
      <c r="E1402">
        <v>92.4</v>
      </c>
      <c r="F1402" s="2">
        <v>45710</v>
      </c>
      <c r="G1402" s="2">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ht="18" x14ac:dyDescent="0.5">
      <c r="A1403" t="s">
        <v>1502</v>
      </c>
      <c r="B1403" t="s">
        <v>44</v>
      </c>
      <c r="C1403">
        <v>5</v>
      </c>
      <c r="D1403">
        <v>39.299999999999997</v>
      </c>
      <c r="E1403">
        <v>196.5</v>
      </c>
      <c r="F1403" s="2">
        <v>45710</v>
      </c>
      <c r="G1403" s="2">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ht="18" x14ac:dyDescent="0.5">
      <c r="A1404" t="s">
        <v>1503</v>
      </c>
      <c r="B1404" t="s">
        <v>26</v>
      </c>
      <c r="C1404">
        <v>4</v>
      </c>
      <c r="D1404">
        <v>85.2</v>
      </c>
      <c r="E1404">
        <v>340.8</v>
      </c>
      <c r="F1404" s="2">
        <v>45710</v>
      </c>
      <c r="G1404" s="2">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ht="18" x14ac:dyDescent="0.5">
      <c r="A1405" t="s">
        <v>1504</v>
      </c>
      <c r="B1405" t="s">
        <v>44</v>
      </c>
      <c r="C1405">
        <v>6</v>
      </c>
      <c r="D1405">
        <v>16</v>
      </c>
      <c r="E1405">
        <v>96</v>
      </c>
      <c r="F1405" s="2">
        <v>45710</v>
      </c>
      <c r="G1405" s="2">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ht="18" x14ac:dyDescent="0.5">
      <c r="A1406" t="s">
        <v>1505</v>
      </c>
      <c r="B1406" t="s">
        <v>22</v>
      </c>
      <c r="C1406">
        <v>2</v>
      </c>
      <c r="D1406">
        <v>33.799999999999997</v>
      </c>
      <c r="E1406">
        <v>67.599999999999994</v>
      </c>
      <c r="F1406" s="2">
        <v>45710</v>
      </c>
      <c r="G1406" s="2">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ht="18" x14ac:dyDescent="0.5">
      <c r="A1407" t="s">
        <v>1506</v>
      </c>
      <c r="B1407" t="s">
        <v>30</v>
      </c>
      <c r="C1407">
        <v>1</v>
      </c>
      <c r="D1407">
        <v>70</v>
      </c>
      <c r="E1407">
        <v>70</v>
      </c>
      <c r="F1407" s="2">
        <v>45710</v>
      </c>
      <c r="G1407" s="2">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ht="18" x14ac:dyDescent="0.5">
      <c r="A1408" t="s">
        <v>1507</v>
      </c>
      <c r="B1408" t="s">
        <v>46</v>
      </c>
      <c r="C1408">
        <v>1</v>
      </c>
      <c r="D1408">
        <v>88</v>
      </c>
      <c r="E1408">
        <v>88</v>
      </c>
      <c r="F1408" s="2">
        <v>45710</v>
      </c>
      <c r="G1408" s="2">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ht="18" x14ac:dyDescent="0.5">
      <c r="A1409" t="s">
        <v>1508</v>
      </c>
      <c r="B1409" t="s">
        <v>26</v>
      </c>
      <c r="C1409">
        <v>3</v>
      </c>
      <c r="D1409">
        <v>74.099999999999994</v>
      </c>
      <c r="E1409">
        <v>222.29999999999998</v>
      </c>
      <c r="F1409" s="2">
        <v>45710</v>
      </c>
      <c r="G1409" s="2">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ht="18" x14ac:dyDescent="0.5">
      <c r="A1410" t="s">
        <v>1509</v>
      </c>
      <c r="B1410" t="s">
        <v>26</v>
      </c>
      <c r="C1410">
        <v>1</v>
      </c>
      <c r="D1410">
        <v>161.9</v>
      </c>
      <c r="E1410">
        <v>161.9</v>
      </c>
      <c r="F1410" s="2">
        <v>45710</v>
      </c>
      <c r="G1410" s="2">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ht="18" x14ac:dyDescent="0.5">
      <c r="A1411" t="s">
        <v>1510</v>
      </c>
      <c r="B1411" t="s">
        <v>32</v>
      </c>
      <c r="C1411">
        <v>2</v>
      </c>
      <c r="D1411">
        <v>44</v>
      </c>
      <c r="E1411">
        <v>88</v>
      </c>
      <c r="F1411" s="2">
        <v>45710</v>
      </c>
      <c r="G1411" s="2">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ht="18" x14ac:dyDescent="0.5">
      <c r="A1412" t="s">
        <v>1511</v>
      </c>
      <c r="B1412" t="s">
        <v>67</v>
      </c>
      <c r="C1412">
        <v>1</v>
      </c>
      <c r="D1412">
        <v>32.1</v>
      </c>
      <c r="E1412">
        <v>32.1</v>
      </c>
      <c r="F1412" s="2">
        <v>45710</v>
      </c>
      <c r="G1412" s="2">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ht="18" x14ac:dyDescent="0.5">
      <c r="A1413" t="s">
        <v>1512</v>
      </c>
      <c r="B1413" t="s">
        <v>26</v>
      </c>
      <c r="C1413">
        <v>4</v>
      </c>
      <c r="D1413">
        <v>104.8</v>
      </c>
      <c r="E1413">
        <v>419.2</v>
      </c>
      <c r="F1413" s="2">
        <v>45711</v>
      </c>
      <c r="G1413" s="2">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ht="18" x14ac:dyDescent="0.5">
      <c r="A1414" t="s">
        <v>1513</v>
      </c>
      <c r="B1414" t="s">
        <v>46</v>
      </c>
      <c r="C1414">
        <v>6</v>
      </c>
      <c r="D1414">
        <v>67.400000000000006</v>
      </c>
      <c r="E1414">
        <v>404.40000000000003</v>
      </c>
      <c r="F1414" s="2">
        <v>45711</v>
      </c>
      <c r="G1414" s="2">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ht="18" x14ac:dyDescent="0.5">
      <c r="A1415" t="s">
        <v>1514</v>
      </c>
      <c r="B1415" t="s">
        <v>39</v>
      </c>
      <c r="C1415">
        <v>2</v>
      </c>
      <c r="D1415">
        <v>115.2</v>
      </c>
      <c r="E1415">
        <v>230.4</v>
      </c>
      <c r="F1415" s="2">
        <v>45711</v>
      </c>
      <c r="G1415" s="2">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ht="18" x14ac:dyDescent="0.5">
      <c r="A1416" t="s">
        <v>1515</v>
      </c>
      <c r="B1416" t="s">
        <v>44</v>
      </c>
      <c r="C1416">
        <v>29</v>
      </c>
      <c r="D1416">
        <v>15.5</v>
      </c>
      <c r="E1416">
        <v>449.5</v>
      </c>
      <c r="F1416" s="2">
        <v>45711</v>
      </c>
      <c r="G1416" s="2">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ht="18" x14ac:dyDescent="0.5">
      <c r="A1417" t="s">
        <v>1516</v>
      </c>
      <c r="B1417" t="s">
        <v>39</v>
      </c>
      <c r="C1417">
        <v>11</v>
      </c>
      <c r="D1417">
        <v>66.400000000000006</v>
      </c>
      <c r="E1417">
        <v>730.40000000000009</v>
      </c>
      <c r="F1417" s="2">
        <v>45711</v>
      </c>
      <c r="G1417" s="2">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ht="18" x14ac:dyDescent="0.5">
      <c r="A1418" t="s">
        <v>1517</v>
      </c>
      <c r="B1418" t="s">
        <v>46</v>
      </c>
      <c r="C1418">
        <v>12</v>
      </c>
      <c r="D1418">
        <v>68.099999999999994</v>
      </c>
      <c r="E1418">
        <v>817.19999999999993</v>
      </c>
      <c r="F1418" s="2">
        <v>45711</v>
      </c>
      <c r="G1418" s="2">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ht="18" x14ac:dyDescent="0.5">
      <c r="A1419" t="s">
        <v>1518</v>
      </c>
      <c r="B1419" t="s">
        <v>44</v>
      </c>
      <c r="C1419">
        <v>5</v>
      </c>
      <c r="D1419">
        <v>32.5</v>
      </c>
      <c r="E1419">
        <v>162.5</v>
      </c>
      <c r="F1419" s="2">
        <v>45711</v>
      </c>
      <c r="G1419" s="2">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ht="18" x14ac:dyDescent="0.5">
      <c r="A1420" t="s">
        <v>1519</v>
      </c>
      <c r="B1420" t="s">
        <v>123</v>
      </c>
      <c r="C1420">
        <v>3</v>
      </c>
      <c r="D1420">
        <v>61.2</v>
      </c>
      <c r="E1420">
        <v>183.60000000000002</v>
      </c>
      <c r="F1420" s="2">
        <v>45711</v>
      </c>
      <c r="G1420" s="2">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ht="18" x14ac:dyDescent="0.5">
      <c r="A1421" t="s">
        <v>1520</v>
      </c>
      <c r="B1421" t="s">
        <v>46</v>
      </c>
      <c r="C1421">
        <v>2</v>
      </c>
      <c r="D1421">
        <v>54.2</v>
      </c>
      <c r="E1421">
        <v>108.4</v>
      </c>
      <c r="F1421" s="2">
        <v>45711</v>
      </c>
      <c r="G1421" s="2">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ht="18" x14ac:dyDescent="0.5">
      <c r="A1422" t="s">
        <v>1521</v>
      </c>
      <c r="B1422" t="s">
        <v>67</v>
      </c>
      <c r="C1422">
        <v>8</v>
      </c>
      <c r="D1422">
        <v>28.7</v>
      </c>
      <c r="E1422">
        <v>229.6</v>
      </c>
      <c r="F1422" s="2">
        <v>45711</v>
      </c>
      <c r="G1422" s="2">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ht="18" x14ac:dyDescent="0.5">
      <c r="A1423" t="s">
        <v>1522</v>
      </c>
      <c r="B1423" t="s">
        <v>69</v>
      </c>
      <c r="C1423">
        <v>6</v>
      </c>
      <c r="D1423">
        <v>38.200000000000003</v>
      </c>
      <c r="E1423">
        <v>229.20000000000002</v>
      </c>
      <c r="F1423" s="2">
        <v>45711</v>
      </c>
      <c r="G1423" s="2">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ht="18" x14ac:dyDescent="0.5">
      <c r="A1424" t="s">
        <v>1523</v>
      </c>
      <c r="B1424" t="s">
        <v>44</v>
      </c>
      <c r="C1424">
        <v>12</v>
      </c>
      <c r="D1424">
        <v>17.600000000000001</v>
      </c>
      <c r="E1424">
        <v>211.20000000000002</v>
      </c>
      <c r="F1424" s="2">
        <v>45711</v>
      </c>
      <c r="G1424" s="2">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ht="18" x14ac:dyDescent="0.5">
      <c r="A1425" t="s">
        <v>1524</v>
      </c>
      <c r="B1425" t="s">
        <v>54</v>
      </c>
      <c r="C1425">
        <v>3</v>
      </c>
      <c r="D1425">
        <v>74.599999999999994</v>
      </c>
      <c r="E1425">
        <v>223.79999999999998</v>
      </c>
      <c r="F1425" s="2">
        <v>45711</v>
      </c>
      <c r="G1425" s="2">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ht="18" x14ac:dyDescent="0.5">
      <c r="A1426" t="s">
        <v>1525</v>
      </c>
      <c r="B1426" t="s">
        <v>128</v>
      </c>
      <c r="C1426">
        <v>15</v>
      </c>
      <c r="D1426">
        <v>72.599999999999994</v>
      </c>
      <c r="E1426">
        <v>1089</v>
      </c>
      <c r="F1426" s="2">
        <v>45711</v>
      </c>
      <c r="G1426" s="2">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ht="18" x14ac:dyDescent="0.5">
      <c r="A1427" t="s">
        <v>1526</v>
      </c>
      <c r="B1427" t="s">
        <v>42</v>
      </c>
      <c r="C1427">
        <v>1</v>
      </c>
      <c r="D1427">
        <v>62.3</v>
      </c>
      <c r="E1427">
        <v>62.3</v>
      </c>
      <c r="F1427" s="2">
        <v>45711</v>
      </c>
      <c r="G1427" s="2">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ht="18" x14ac:dyDescent="0.5">
      <c r="A1428" t="s">
        <v>1527</v>
      </c>
      <c r="B1428" t="s">
        <v>30</v>
      </c>
      <c r="C1428">
        <v>3</v>
      </c>
      <c r="D1428">
        <v>33.799999999999997</v>
      </c>
      <c r="E1428">
        <v>101.39999999999999</v>
      </c>
      <c r="F1428" s="2">
        <v>45711</v>
      </c>
      <c r="G1428" s="2">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ht="18" x14ac:dyDescent="0.5">
      <c r="A1429" t="s">
        <v>1528</v>
      </c>
      <c r="B1429" t="s">
        <v>46</v>
      </c>
      <c r="C1429">
        <v>1</v>
      </c>
      <c r="D1429">
        <v>85.7</v>
      </c>
      <c r="E1429">
        <v>85.7</v>
      </c>
      <c r="F1429" s="2">
        <v>45711</v>
      </c>
      <c r="G1429" s="2">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ht="18" x14ac:dyDescent="0.5">
      <c r="A1430" t="s">
        <v>1529</v>
      </c>
      <c r="B1430" t="s">
        <v>39</v>
      </c>
      <c r="C1430">
        <v>2</v>
      </c>
      <c r="D1430">
        <v>92.1</v>
      </c>
      <c r="E1430">
        <v>184.2</v>
      </c>
      <c r="F1430" s="2">
        <v>45711</v>
      </c>
      <c r="G1430" s="2">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ht="18" x14ac:dyDescent="0.5">
      <c r="A1431" t="s">
        <v>1530</v>
      </c>
      <c r="B1431" t="s">
        <v>128</v>
      </c>
      <c r="C1431">
        <v>3</v>
      </c>
      <c r="D1431">
        <v>65.099999999999994</v>
      </c>
      <c r="E1431">
        <v>195.29999999999998</v>
      </c>
      <c r="F1431" s="2">
        <v>45711</v>
      </c>
      <c r="G1431" s="2">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ht="18" x14ac:dyDescent="0.5">
      <c r="A1432" t="s">
        <v>1531</v>
      </c>
      <c r="B1432" t="s">
        <v>46</v>
      </c>
      <c r="C1432">
        <v>7</v>
      </c>
      <c r="D1432">
        <v>20.3</v>
      </c>
      <c r="E1432">
        <v>142.1</v>
      </c>
      <c r="F1432" s="2">
        <v>45711</v>
      </c>
      <c r="G1432" s="2">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ht="18" x14ac:dyDescent="0.5">
      <c r="A1433" t="s">
        <v>1532</v>
      </c>
      <c r="B1433" t="s">
        <v>171</v>
      </c>
      <c r="C1433">
        <v>2</v>
      </c>
      <c r="D1433">
        <v>29.8</v>
      </c>
      <c r="E1433">
        <v>59.6</v>
      </c>
      <c r="F1433" s="2">
        <v>45711</v>
      </c>
      <c r="G1433" s="2">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ht="18" x14ac:dyDescent="0.5">
      <c r="A1434" t="s">
        <v>1533</v>
      </c>
      <c r="B1434" t="s">
        <v>16</v>
      </c>
      <c r="C1434">
        <v>2</v>
      </c>
      <c r="D1434">
        <v>24.2</v>
      </c>
      <c r="E1434">
        <v>48.4</v>
      </c>
      <c r="F1434" s="2">
        <v>45711</v>
      </c>
      <c r="G1434" s="2">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ht="18" x14ac:dyDescent="0.5">
      <c r="A1435" t="s">
        <v>1534</v>
      </c>
      <c r="B1435" t="s">
        <v>30</v>
      </c>
      <c r="C1435">
        <v>1</v>
      </c>
      <c r="D1435">
        <v>57.3</v>
      </c>
      <c r="E1435">
        <v>57.3</v>
      </c>
      <c r="F1435" s="2">
        <v>45711</v>
      </c>
      <c r="G1435" s="2">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ht="18" x14ac:dyDescent="0.5">
      <c r="A1436" t="s">
        <v>1535</v>
      </c>
      <c r="B1436" t="s">
        <v>26</v>
      </c>
      <c r="C1436">
        <v>1</v>
      </c>
      <c r="D1436">
        <v>108.9</v>
      </c>
      <c r="E1436">
        <v>108.9</v>
      </c>
      <c r="F1436" s="2">
        <v>45711</v>
      </c>
      <c r="G1436" s="2">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ht="18" x14ac:dyDescent="0.5">
      <c r="A1437" t="s">
        <v>1536</v>
      </c>
      <c r="B1437" t="s">
        <v>42</v>
      </c>
      <c r="C1437">
        <v>5</v>
      </c>
      <c r="D1437">
        <v>50.7</v>
      </c>
      <c r="E1437">
        <v>253.5</v>
      </c>
      <c r="F1437" s="2">
        <v>45711</v>
      </c>
      <c r="G1437" s="2">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ht="18" x14ac:dyDescent="0.5">
      <c r="A1438" t="s">
        <v>1537</v>
      </c>
      <c r="B1438" t="s">
        <v>42</v>
      </c>
      <c r="C1438">
        <v>9</v>
      </c>
      <c r="D1438">
        <v>66.099999999999994</v>
      </c>
      <c r="E1438">
        <v>594.9</v>
      </c>
      <c r="F1438" s="2">
        <v>45711</v>
      </c>
      <c r="G1438" s="2">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ht="18" x14ac:dyDescent="0.5">
      <c r="A1439" t="s">
        <v>1538</v>
      </c>
      <c r="B1439" t="s">
        <v>69</v>
      </c>
      <c r="C1439">
        <v>5</v>
      </c>
      <c r="D1439">
        <v>36.700000000000003</v>
      </c>
      <c r="E1439">
        <v>183.5</v>
      </c>
      <c r="F1439" s="2">
        <v>45711</v>
      </c>
      <c r="G1439" s="2">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ht="18" x14ac:dyDescent="0.5">
      <c r="A1440" t="s">
        <v>1539</v>
      </c>
      <c r="B1440" t="s">
        <v>44</v>
      </c>
      <c r="C1440">
        <v>17</v>
      </c>
      <c r="D1440">
        <v>19.3</v>
      </c>
      <c r="E1440">
        <v>328.1</v>
      </c>
      <c r="F1440" s="2">
        <v>45711</v>
      </c>
      <c r="G1440" s="2">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ht="18" x14ac:dyDescent="0.5">
      <c r="A1441" t="s">
        <v>1540</v>
      </c>
      <c r="B1441" t="s">
        <v>44</v>
      </c>
      <c r="C1441">
        <v>4</v>
      </c>
      <c r="D1441">
        <v>20.7</v>
      </c>
      <c r="E1441">
        <v>82.8</v>
      </c>
      <c r="F1441" s="2">
        <v>45711</v>
      </c>
      <c r="G1441" s="2">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ht="18" x14ac:dyDescent="0.5">
      <c r="A1442" t="s">
        <v>1541</v>
      </c>
      <c r="B1442" t="s">
        <v>37</v>
      </c>
      <c r="C1442">
        <v>3</v>
      </c>
      <c r="D1442">
        <v>54.7</v>
      </c>
      <c r="E1442">
        <v>164.10000000000002</v>
      </c>
      <c r="F1442" s="2">
        <v>45711</v>
      </c>
      <c r="G1442" s="2">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ht="18" x14ac:dyDescent="0.5">
      <c r="A1443" t="s">
        <v>1542</v>
      </c>
      <c r="B1443" t="s">
        <v>32</v>
      </c>
      <c r="C1443">
        <v>2</v>
      </c>
      <c r="D1443">
        <v>19.8</v>
      </c>
      <c r="E1443">
        <v>39.6</v>
      </c>
      <c r="F1443" s="2">
        <v>45711</v>
      </c>
      <c r="G1443" s="2">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ht="18" x14ac:dyDescent="0.5">
      <c r="A1444" t="s">
        <v>1543</v>
      </c>
      <c r="B1444" t="s">
        <v>42</v>
      </c>
      <c r="C1444">
        <v>1</v>
      </c>
      <c r="D1444">
        <v>41.1</v>
      </c>
      <c r="E1444">
        <v>41.1</v>
      </c>
      <c r="F1444" s="2">
        <v>45711</v>
      </c>
      <c r="G1444" s="2">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ht="18" x14ac:dyDescent="0.5">
      <c r="A1445" t="s">
        <v>1544</v>
      </c>
      <c r="B1445" t="s">
        <v>67</v>
      </c>
      <c r="C1445">
        <v>8</v>
      </c>
      <c r="D1445">
        <v>43.5</v>
      </c>
      <c r="E1445">
        <v>348</v>
      </c>
      <c r="F1445" s="2">
        <v>45711</v>
      </c>
      <c r="G1445" s="2">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ht="18" x14ac:dyDescent="0.5">
      <c r="A1446" t="s">
        <v>1545</v>
      </c>
      <c r="B1446" t="s">
        <v>44</v>
      </c>
      <c r="C1446">
        <v>14</v>
      </c>
      <c r="D1446">
        <v>19</v>
      </c>
      <c r="E1446">
        <v>266</v>
      </c>
      <c r="F1446" s="2">
        <v>45711</v>
      </c>
      <c r="G1446" s="2">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ht="18" x14ac:dyDescent="0.5">
      <c r="A1447" t="s">
        <v>1546</v>
      </c>
      <c r="B1447" t="s">
        <v>26</v>
      </c>
      <c r="C1447">
        <v>4</v>
      </c>
      <c r="D1447">
        <v>51.4</v>
      </c>
      <c r="E1447">
        <v>205.6</v>
      </c>
      <c r="F1447" s="2">
        <v>45711</v>
      </c>
      <c r="G1447" s="2">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ht="18" x14ac:dyDescent="0.5">
      <c r="A1448" t="s">
        <v>1547</v>
      </c>
      <c r="B1448" t="s">
        <v>54</v>
      </c>
      <c r="C1448">
        <v>2</v>
      </c>
      <c r="D1448">
        <v>39.799999999999997</v>
      </c>
      <c r="E1448">
        <v>79.599999999999994</v>
      </c>
      <c r="F1448" s="2">
        <v>45711</v>
      </c>
      <c r="G1448" s="2">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ht="18" x14ac:dyDescent="0.5">
      <c r="A1449" t="s">
        <v>1548</v>
      </c>
      <c r="B1449" t="s">
        <v>39</v>
      </c>
      <c r="C1449">
        <v>5</v>
      </c>
      <c r="D1449">
        <v>61</v>
      </c>
      <c r="E1449">
        <v>305</v>
      </c>
      <c r="F1449" s="2">
        <v>45711</v>
      </c>
      <c r="G1449" s="2">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ht="18" x14ac:dyDescent="0.5">
      <c r="A1450" t="s">
        <v>1549</v>
      </c>
      <c r="B1450" t="s">
        <v>44</v>
      </c>
      <c r="C1450">
        <v>11</v>
      </c>
      <c r="D1450">
        <v>15.1</v>
      </c>
      <c r="E1450">
        <v>166.1</v>
      </c>
      <c r="F1450" s="2">
        <v>45712</v>
      </c>
      <c r="G1450" s="2">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ht="18" x14ac:dyDescent="0.5">
      <c r="A1451" t="s">
        <v>1550</v>
      </c>
      <c r="B1451" t="s">
        <v>22</v>
      </c>
      <c r="C1451">
        <v>7</v>
      </c>
      <c r="D1451">
        <v>71.3</v>
      </c>
      <c r="E1451">
        <v>499.09999999999997</v>
      </c>
      <c r="F1451" s="2">
        <v>45712</v>
      </c>
      <c r="G1451" s="2">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ht="18" x14ac:dyDescent="0.5">
      <c r="A1452" t="s">
        <v>1551</v>
      </c>
      <c r="B1452" t="s">
        <v>54</v>
      </c>
      <c r="C1452">
        <v>1</v>
      </c>
      <c r="D1452">
        <v>25.8</v>
      </c>
      <c r="E1452">
        <v>25.8</v>
      </c>
      <c r="F1452" s="2">
        <v>45712</v>
      </c>
      <c r="G1452" s="2">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ht="18" x14ac:dyDescent="0.5">
      <c r="A1453" t="s">
        <v>1552</v>
      </c>
      <c r="B1453" t="s">
        <v>44</v>
      </c>
      <c r="C1453">
        <v>5</v>
      </c>
      <c r="D1453">
        <v>39.6</v>
      </c>
      <c r="E1453">
        <v>198</v>
      </c>
      <c r="F1453" s="2">
        <v>45712</v>
      </c>
      <c r="G1453" s="2">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ht="18" x14ac:dyDescent="0.5">
      <c r="A1454" t="s">
        <v>1553</v>
      </c>
      <c r="B1454" t="s">
        <v>37</v>
      </c>
      <c r="C1454">
        <v>2</v>
      </c>
      <c r="D1454">
        <v>64</v>
      </c>
      <c r="E1454">
        <v>128</v>
      </c>
      <c r="F1454" s="2">
        <v>45712</v>
      </c>
      <c r="G1454" s="2">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ht="18" x14ac:dyDescent="0.5">
      <c r="A1455" t="s">
        <v>1554</v>
      </c>
      <c r="B1455" t="s">
        <v>44</v>
      </c>
      <c r="C1455">
        <v>2</v>
      </c>
      <c r="D1455">
        <v>30.6</v>
      </c>
      <c r="E1455">
        <v>61.2</v>
      </c>
      <c r="F1455" s="2">
        <v>45712</v>
      </c>
      <c r="G1455" s="2">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ht="18" x14ac:dyDescent="0.5">
      <c r="A1456" t="s">
        <v>1555</v>
      </c>
      <c r="B1456" t="s">
        <v>44</v>
      </c>
      <c r="C1456">
        <v>2</v>
      </c>
      <c r="D1456">
        <v>21.3</v>
      </c>
      <c r="E1456">
        <v>42.6</v>
      </c>
      <c r="F1456" s="2">
        <v>45712</v>
      </c>
      <c r="G1456" s="2">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ht="18" x14ac:dyDescent="0.5">
      <c r="A1457" t="s">
        <v>1556</v>
      </c>
      <c r="B1457" t="s">
        <v>42</v>
      </c>
      <c r="C1457">
        <v>1</v>
      </c>
      <c r="D1457">
        <v>40.799999999999997</v>
      </c>
      <c r="E1457">
        <v>40.799999999999997</v>
      </c>
      <c r="F1457" s="2">
        <v>45712</v>
      </c>
      <c r="G1457" s="2">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ht="18" x14ac:dyDescent="0.5">
      <c r="A1458" t="s">
        <v>1557</v>
      </c>
      <c r="B1458" t="s">
        <v>46</v>
      </c>
      <c r="C1458">
        <v>4</v>
      </c>
      <c r="D1458">
        <v>27.7</v>
      </c>
      <c r="E1458">
        <v>110.8</v>
      </c>
      <c r="F1458" s="2">
        <v>45712</v>
      </c>
      <c r="G1458" s="2">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ht="18" x14ac:dyDescent="0.5">
      <c r="A1459" t="s">
        <v>1558</v>
      </c>
      <c r="B1459" t="s">
        <v>39</v>
      </c>
      <c r="C1459">
        <v>2</v>
      </c>
      <c r="D1459">
        <v>64.599999999999994</v>
      </c>
      <c r="E1459">
        <v>129.19999999999999</v>
      </c>
      <c r="F1459" s="2">
        <v>45712</v>
      </c>
      <c r="G1459" s="2">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ht="18" x14ac:dyDescent="0.5">
      <c r="A1460" t="s">
        <v>1559</v>
      </c>
      <c r="B1460" t="s">
        <v>39</v>
      </c>
      <c r="C1460">
        <v>16</v>
      </c>
      <c r="D1460">
        <v>91.1</v>
      </c>
      <c r="E1460">
        <v>1457.6</v>
      </c>
      <c r="F1460" s="2">
        <v>45712</v>
      </c>
      <c r="G1460" s="2">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ht="18" x14ac:dyDescent="0.5">
      <c r="A1461" t="s">
        <v>1560</v>
      </c>
      <c r="B1461" t="s">
        <v>22</v>
      </c>
      <c r="C1461">
        <v>1</v>
      </c>
      <c r="D1461">
        <v>39.5</v>
      </c>
      <c r="E1461">
        <v>39.5</v>
      </c>
      <c r="F1461" s="2">
        <v>45712</v>
      </c>
      <c r="G1461" s="2">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ht="18" x14ac:dyDescent="0.5">
      <c r="A1462" t="s">
        <v>1561</v>
      </c>
      <c r="B1462" t="s">
        <v>46</v>
      </c>
      <c r="C1462">
        <v>2</v>
      </c>
      <c r="D1462">
        <v>21.8</v>
      </c>
      <c r="E1462">
        <v>43.6</v>
      </c>
      <c r="F1462" s="2">
        <v>45712</v>
      </c>
      <c r="G1462" s="2">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ht="18" x14ac:dyDescent="0.5">
      <c r="A1463" t="s">
        <v>1562</v>
      </c>
      <c r="B1463" t="s">
        <v>44</v>
      </c>
      <c r="C1463">
        <v>2</v>
      </c>
      <c r="D1463">
        <v>51</v>
      </c>
      <c r="E1463">
        <v>102</v>
      </c>
      <c r="F1463" s="2">
        <v>45712</v>
      </c>
      <c r="G1463" s="2">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ht="18" x14ac:dyDescent="0.5">
      <c r="A1464" t="s">
        <v>1563</v>
      </c>
      <c r="B1464" t="s">
        <v>26</v>
      </c>
      <c r="C1464">
        <v>1</v>
      </c>
      <c r="D1464">
        <v>92.6</v>
      </c>
      <c r="E1464">
        <v>92.6</v>
      </c>
      <c r="F1464" s="2">
        <v>45712</v>
      </c>
      <c r="G1464" s="2">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ht="18" x14ac:dyDescent="0.5">
      <c r="A1465" t="s">
        <v>1564</v>
      </c>
      <c r="B1465" t="s">
        <v>46</v>
      </c>
      <c r="C1465">
        <v>2</v>
      </c>
      <c r="D1465">
        <v>31.1</v>
      </c>
      <c r="E1465">
        <v>62.2</v>
      </c>
      <c r="F1465" s="2">
        <v>45712</v>
      </c>
      <c r="G1465" s="2">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ht="18" x14ac:dyDescent="0.5">
      <c r="A1466" t="s">
        <v>1565</v>
      </c>
      <c r="B1466" t="s">
        <v>37</v>
      </c>
      <c r="C1466">
        <v>3</v>
      </c>
      <c r="D1466">
        <v>56.4</v>
      </c>
      <c r="E1466">
        <v>169.2</v>
      </c>
      <c r="F1466" s="2">
        <v>45712</v>
      </c>
      <c r="G1466" s="2">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ht="18" x14ac:dyDescent="0.5">
      <c r="A1467" t="s">
        <v>1566</v>
      </c>
      <c r="B1467" t="s">
        <v>46</v>
      </c>
      <c r="C1467">
        <v>1</v>
      </c>
      <c r="D1467">
        <v>41.9</v>
      </c>
      <c r="E1467">
        <v>41.9</v>
      </c>
      <c r="F1467" s="2">
        <v>45712</v>
      </c>
      <c r="G1467" s="2">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ht="18" x14ac:dyDescent="0.5">
      <c r="A1468" t="s">
        <v>1567</v>
      </c>
      <c r="B1468" t="s">
        <v>54</v>
      </c>
      <c r="C1468">
        <v>7</v>
      </c>
      <c r="D1468">
        <v>45.9</v>
      </c>
      <c r="E1468">
        <v>321.3</v>
      </c>
      <c r="F1468" s="2">
        <v>45712</v>
      </c>
      <c r="G1468" s="2">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ht="18" x14ac:dyDescent="0.5">
      <c r="A1469" t="s">
        <v>1568</v>
      </c>
      <c r="B1469" t="s">
        <v>81</v>
      </c>
      <c r="C1469">
        <v>9</v>
      </c>
      <c r="D1469">
        <v>24.4</v>
      </c>
      <c r="E1469">
        <v>219.6</v>
      </c>
      <c r="F1469" s="2">
        <v>45712</v>
      </c>
      <c r="G1469" s="2">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ht="18" x14ac:dyDescent="0.5">
      <c r="A1470" t="s">
        <v>1569</v>
      </c>
      <c r="B1470" t="s">
        <v>44</v>
      </c>
      <c r="C1470">
        <v>1</v>
      </c>
      <c r="D1470">
        <v>18.2</v>
      </c>
      <c r="E1470">
        <v>18.2</v>
      </c>
      <c r="F1470" s="2">
        <v>45712</v>
      </c>
      <c r="G1470" s="2">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ht="18" x14ac:dyDescent="0.5">
      <c r="A1471" t="s">
        <v>1570</v>
      </c>
      <c r="B1471" t="s">
        <v>44</v>
      </c>
      <c r="C1471">
        <v>4</v>
      </c>
      <c r="D1471">
        <v>51.2</v>
      </c>
      <c r="E1471">
        <v>204.8</v>
      </c>
      <c r="F1471" s="2">
        <v>45712</v>
      </c>
      <c r="G1471" s="2">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ht="18" x14ac:dyDescent="0.5">
      <c r="A1472" t="s">
        <v>1571</v>
      </c>
      <c r="B1472" t="s">
        <v>39</v>
      </c>
      <c r="C1472">
        <v>1</v>
      </c>
      <c r="D1472">
        <v>59.7</v>
      </c>
      <c r="E1472">
        <v>59.7</v>
      </c>
      <c r="F1472" s="2">
        <v>45712</v>
      </c>
      <c r="G1472" s="2">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ht="18" x14ac:dyDescent="0.5">
      <c r="A1473" t="s">
        <v>1572</v>
      </c>
      <c r="B1473" t="s">
        <v>32</v>
      </c>
      <c r="C1473">
        <v>2</v>
      </c>
      <c r="D1473">
        <v>33.6</v>
      </c>
      <c r="E1473">
        <v>67.2</v>
      </c>
      <c r="F1473" s="2">
        <v>45712</v>
      </c>
      <c r="G1473" s="2">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ht="18" x14ac:dyDescent="0.5">
      <c r="A1474" t="s">
        <v>1573</v>
      </c>
      <c r="B1474" t="s">
        <v>69</v>
      </c>
      <c r="C1474">
        <v>1</v>
      </c>
      <c r="D1474">
        <v>90.4</v>
      </c>
      <c r="E1474">
        <v>90.4</v>
      </c>
      <c r="F1474" s="2">
        <v>45712</v>
      </c>
      <c r="G1474" s="2">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ht="18" x14ac:dyDescent="0.5">
      <c r="A1475" t="s">
        <v>1574</v>
      </c>
      <c r="B1475" t="s">
        <v>67</v>
      </c>
      <c r="C1475">
        <v>3</v>
      </c>
      <c r="D1475">
        <v>70.3</v>
      </c>
      <c r="E1475">
        <v>210.89999999999998</v>
      </c>
      <c r="F1475" s="2">
        <v>45712</v>
      </c>
      <c r="G1475" s="2">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ht="18" x14ac:dyDescent="0.5">
      <c r="A1476" t="s">
        <v>1575</v>
      </c>
      <c r="B1476" t="s">
        <v>32</v>
      </c>
      <c r="C1476">
        <v>2</v>
      </c>
      <c r="D1476">
        <v>20.5</v>
      </c>
      <c r="E1476">
        <v>41</v>
      </c>
      <c r="F1476" s="2">
        <v>45712</v>
      </c>
      <c r="G1476" s="2">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ht="18" x14ac:dyDescent="0.5">
      <c r="A1477" t="s">
        <v>1576</v>
      </c>
      <c r="B1477" t="s">
        <v>37</v>
      </c>
      <c r="C1477">
        <v>11</v>
      </c>
      <c r="D1477">
        <v>37.6</v>
      </c>
      <c r="E1477">
        <v>413.6</v>
      </c>
      <c r="F1477" s="2">
        <v>45712</v>
      </c>
      <c r="G1477" s="2">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ht="18" x14ac:dyDescent="0.5">
      <c r="A1478" t="s">
        <v>1577</v>
      </c>
      <c r="B1478" t="s">
        <v>37</v>
      </c>
      <c r="C1478">
        <v>4</v>
      </c>
      <c r="D1478">
        <v>61.5</v>
      </c>
      <c r="E1478">
        <v>246</v>
      </c>
      <c r="F1478" s="2">
        <v>45712</v>
      </c>
      <c r="G1478" s="2">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ht="18" x14ac:dyDescent="0.5">
      <c r="A1479" t="s">
        <v>1578</v>
      </c>
      <c r="B1479" t="s">
        <v>46</v>
      </c>
      <c r="C1479">
        <v>1</v>
      </c>
      <c r="D1479">
        <v>33.5</v>
      </c>
      <c r="E1479">
        <v>33.5</v>
      </c>
      <c r="F1479" s="2">
        <v>45713</v>
      </c>
      <c r="G1479" s="2">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ht="18" x14ac:dyDescent="0.5">
      <c r="A1480" t="s">
        <v>1579</v>
      </c>
      <c r="B1480" t="s">
        <v>32</v>
      </c>
      <c r="C1480">
        <v>3</v>
      </c>
      <c r="D1480">
        <v>29.3</v>
      </c>
      <c r="E1480">
        <v>87.9</v>
      </c>
      <c r="F1480" s="2">
        <v>45713</v>
      </c>
      <c r="G1480" s="2">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ht="18" x14ac:dyDescent="0.5">
      <c r="A1481" t="s">
        <v>1580</v>
      </c>
      <c r="B1481" t="s">
        <v>26</v>
      </c>
      <c r="C1481">
        <v>2</v>
      </c>
      <c r="D1481">
        <v>125.9</v>
      </c>
      <c r="E1481">
        <v>251.8</v>
      </c>
      <c r="F1481" s="2">
        <v>45713</v>
      </c>
      <c r="G1481" s="2">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ht="18" x14ac:dyDescent="0.5">
      <c r="A1482" t="s">
        <v>1581</v>
      </c>
      <c r="B1482" t="s">
        <v>37</v>
      </c>
      <c r="C1482">
        <v>5</v>
      </c>
      <c r="D1482">
        <v>29.3</v>
      </c>
      <c r="E1482">
        <v>146.5</v>
      </c>
      <c r="F1482" s="2">
        <v>45713</v>
      </c>
      <c r="G1482" s="2">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ht="18" x14ac:dyDescent="0.5">
      <c r="A1483" t="s">
        <v>1582</v>
      </c>
      <c r="B1483" t="s">
        <v>46</v>
      </c>
      <c r="C1483">
        <v>1</v>
      </c>
      <c r="D1483">
        <v>37.799999999999997</v>
      </c>
      <c r="E1483">
        <v>37.799999999999997</v>
      </c>
      <c r="F1483" s="2">
        <v>45713</v>
      </c>
      <c r="G1483" s="2">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ht="18" x14ac:dyDescent="0.5">
      <c r="A1484" t="s">
        <v>1583</v>
      </c>
      <c r="B1484" t="s">
        <v>16</v>
      </c>
      <c r="C1484">
        <v>4</v>
      </c>
      <c r="D1484">
        <v>31.7</v>
      </c>
      <c r="E1484">
        <v>126.8</v>
      </c>
      <c r="F1484" s="2">
        <v>45713</v>
      </c>
      <c r="G1484" s="2">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ht="18" x14ac:dyDescent="0.5">
      <c r="A1485" t="s">
        <v>1584</v>
      </c>
      <c r="B1485" t="s">
        <v>44</v>
      </c>
      <c r="C1485">
        <v>5</v>
      </c>
      <c r="D1485">
        <v>26.3</v>
      </c>
      <c r="E1485">
        <v>131.5</v>
      </c>
      <c r="F1485" s="2">
        <v>45713</v>
      </c>
      <c r="G1485" s="2">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ht="18" x14ac:dyDescent="0.5">
      <c r="A1486" t="s">
        <v>1585</v>
      </c>
      <c r="B1486" t="s">
        <v>44</v>
      </c>
      <c r="C1486">
        <v>3</v>
      </c>
      <c r="D1486">
        <v>23.1</v>
      </c>
      <c r="E1486">
        <v>69.300000000000011</v>
      </c>
      <c r="F1486" s="2">
        <v>45713</v>
      </c>
      <c r="G1486" s="2">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ht="18" x14ac:dyDescent="0.5">
      <c r="A1487" t="s">
        <v>1586</v>
      </c>
      <c r="B1487" t="s">
        <v>32</v>
      </c>
      <c r="C1487">
        <v>1</v>
      </c>
      <c r="D1487">
        <v>22.3</v>
      </c>
      <c r="E1487">
        <v>22.3</v>
      </c>
      <c r="F1487" s="2">
        <v>45713</v>
      </c>
      <c r="G1487" s="2">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ht="18" x14ac:dyDescent="0.5">
      <c r="A1488" t="s">
        <v>1587</v>
      </c>
      <c r="B1488" t="s">
        <v>69</v>
      </c>
      <c r="C1488">
        <v>2</v>
      </c>
      <c r="D1488">
        <v>99.5</v>
      </c>
      <c r="E1488">
        <v>199</v>
      </c>
      <c r="F1488" s="2">
        <v>45713</v>
      </c>
      <c r="G1488" s="2">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ht="18" x14ac:dyDescent="0.5">
      <c r="A1489" t="s">
        <v>1588</v>
      </c>
      <c r="B1489" t="s">
        <v>69</v>
      </c>
      <c r="C1489">
        <v>4</v>
      </c>
      <c r="D1489">
        <v>47.4</v>
      </c>
      <c r="E1489">
        <v>189.6</v>
      </c>
      <c r="F1489" s="2">
        <v>45713</v>
      </c>
      <c r="G1489" s="2">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ht="18" x14ac:dyDescent="0.5">
      <c r="A1490" t="s">
        <v>1589</v>
      </c>
      <c r="B1490" t="s">
        <v>16</v>
      </c>
      <c r="C1490">
        <v>11</v>
      </c>
      <c r="D1490">
        <v>37.5</v>
      </c>
      <c r="E1490">
        <v>412.5</v>
      </c>
      <c r="F1490" s="2">
        <v>45713</v>
      </c>
      <c r="G1490" s="2">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ht="18" x14ac:dyDescent="0.5">
      <c r="A1491" t="s">
        <v>1590</v>
      </c>
      <c r="B1491" t="s">
        <v>54</v>
      </c>
      <c r="C1491">
        <v>1</v>
      </c>
      <c r="D1491">
        <v>45.1</v>
      </c>
      <c r="E1491">
        <v>45.1</v>
      </c>
      <c r="F1491" s="2">
        <v>45713</v>
      </c>
      <c r="G1491" s="2">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ht="18" x14ac:dyDescent="0.5">
      <c r="A1492" t="s">
        <v>1591</v>
      </c>
      <c r="B1492" t="s">
        <v>37</v>
      </c>
      <c r="C1492">
        <v>10</v>
      </c>
      <c r="D1492">
        <v>34.4</v>
      </c>
      <c r="E1492">
        <v>344</v>
      </c>
      <c r="F1492" s="2">
        <v>45713</v>
      </c>
      <c r="G1492" s="2">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ht="18" x14ac:dyDescent="0.5">
      <c r="A1493" t="s">
        <v>1592</v>
      </c>
      <c r="B1493" t="s">
        <v>32</v>
      </c>
      <c r="C1493">
        <v>2</v>
      </c>
      <c r="D1493">
        <v>38</v>
      </c>
      <c r="E1493">
        <v>76</v>
      </c>
      <c r="F1493" s="2">
        <v>45713</v>
      </c>
      <c r="G1493" s="2">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ht="18" x14ac:dyDescent="0.5">
      <c r="A1494" t="s">
        <v>1593</v>
      </c>
      <c r="B1494" t="s">
        <v>30</v>
      </c>
      <c r="C1494">
        <v>14</v>
      </c>
      <c r="D1494">
        <v>32.4</v>
      </c>
      <c r="E1494">
        <v>453.59999999999997</v>
      </c>
      <c r="F1494" s="2">
        <v>45713</v>
      </c>
      <c r="G1494" s="2">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ht="18" x14ac:dyDescent="0.5">
      <c r="A1495" t="s">
        <v>1594</v>
      </c>
      <c r="B1495" t="s">
        <v>39</v>
      </c>
      <c r="C1495">
        <v>3</v>
      </c>
      <c r="D1495">
        <v>40.9</v>
      </c>
      <c r="E1495">
        <v>122.69999999999999</v>
      </c>
      <c r="F1495" s="2">
        <v>45713</v>
      </c>
      <c r="G1495" s="2">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ht="18" x14ac:dyDescent="0.5">
      <c r="A1496" t="s">
        <v>1595</v>
      </c>
      <c r="B1496" t="s">
        <v>42</v>
      </c>
      <c r="C1496">
        <v>7</v>
      </c>
      <c r="D1496">
        <v>76.2</v>
      </c>
      <c r="E1496">
        <v>533.4</v>
      </c>
      <c r="F1496" s="2">
        <v>45713</v>
      </c>
      <c r="G1496" s="2">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ht="18" x14ac:dyDescent="0.5">
      <c r="A1497" t="s">
        <v>1596</v>
      </c>
      <c r="B1497" t="s">
        <v>26</v>
      </c>
      <c r="C1497">
        <v>1</v>
      </c>
      <c r="D1497">
        <v>85.6</v>
      </c>
      <c r="E1497">
        <v>85.6</v>
      </c>
      <c r="F1497" s="2">
        <v>45713</v>
      </c>
      <c r="G1497" s="2">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ht="18" x14ac:dyDescent="0.5">
      <c r="A1498" t="s">
        <v>1597</v>
      </c>
      <c r="B1498" t="s">
        <v>32</v>
      </c>
      <c r="C1498">
        <v>4</v>
      </c>
      <c r="D1498">
        <v>25</v>
      </c>
      <c r="E1498">
        <v>100</v>
      </c>
      <c r="F1498" s="2">
        <v>45713</v>
      </c>
      <c r="G1498" s="2">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ht="18" x14ac:dyDescent="0.5">
      <c r="A1499" t="s">
        <v>1598</v>
      </c>
      <c r="B1499" t="s">
        <v>26</v>
      </c>
      <c r="C1499">
        <v>5</v>
      </c>
      <c r="D1499">
        <v>150.69999999999999</v>
      </c>
      <c r="E1499">
        <v>753.5</v>
      </c>
      <c r="F1499" s="2">
        <v>45713</v>
      </c>
      <c r="G1499" s="2">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ht="18" x14ac:dyDescent="0.5">
      <c r="A1500" t="s">
        <v>1599</v>
      </c>
      <c r="B1500" t="s">
        <v>44</v>
      </c>
      <c r="C1500">
        <v>1</v>
      </c>
      <c r="D1500">
        <v>19.600000000000001</v>
      </c>
      <c r="E1500">
        <v>19.600000000000001</v>
      </c>
      <c r="F1500" s="2">
        <v>45713</v>
      </c>
      <c r="G1500" s="2">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ht="18" x14ac:dyDescent="0.5">
      <c r="A1501" t="s">
        <v>1600</v>
      </c>
      <c r="B1501" t="s">
        <v>76</v>
      </c>
      <c r="C1501">
        <v>2</v>
      </c>
      <c r="D1501">
        <v>37.5</v>
      </c>
      <c r="E1501">
        <v>75</v>
      </c>
      <c r="F1501" s="2">
        <v>45713</v>
      </c>
      <c r="G1501" s="2">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ht="18" x14ac:dyDescent="0.5">
      <c r="A1502" t="s">
        <v>1601</v>
      </c>
      <c r="B1502" t="s">
        <v>46</v>
      </c>
      <c r="C1502">
        <v>3</v>
      </c>
      <c r="D1502">
        <v>51.9</v>
      </c>
      <c r="E1502">
        <v>155.69999999999999</v>
      </c>
      <c r="F1502" s="2">
        <v>45713</v>
      </c>
      <c r="G1502" s="2">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ht="18" x14ac:dyDescent="0.5">
      <c r="A1503" t="s">
        <v>1602</v>
      </c>
      <c r="B1503" t="s">
        <v>22</v>
      </c>
      <c r="C1503">
        <v>2</v>
      </c>
      <c r="D1503">
        <v>30.9</v>
      </c>
      <c r="E1503">
        <v>61.8</v>
      </c>
      <c r="F1503" s="2">
        <v>45713</v>
      </c>
      <c r="G1503" s="2">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ht="18" x14ac:dyDescent="0.5">
      <c r="A1504" t="s">
        <v>1603</v>
      </c>
      <c r="B1504" t="s">
        <v>32</v>
      </c>
      <c r="C1504">
        <v>3</v>
      </c>
      <c r="D1504">
        <v>21.2</v>
      </c>
      <c r="E1504">
        <v>63.599999999999994</v>
      </c>
      <c r="F1504" s="2">
        <v>45713</v>
      </c>
      <c r="G1504" s="2">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ht="18" x14ac:dyDescent="0.5">
      <c r="A1505" t="s">
        <v>1604</v>
      </c>
      <c r="B1505" t="s">
        <v>76</v>
      </c>
      <c r="C1505">
        <v>17</v>
      </c>
      <c r="D1505">
        <v>17.5</v>
      </c>
      <c r="E1505">
        <v>297.5</v>
      </c>
      <c r="F1505" s="2">
        <v>45713</v>
      </c>
      <c r="G1505" s="2">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ht="18" x14ac:dyDescent="0.5">
      <c r="A1506" t="s">
        <v>1605</v>
      </c>
      <c r="B1506" t="s">
        <v>69</v>
      </c>
      <c r="C1506">
        <v>2</v>
      </c>
      <c r="D1506">
        <v>53.8</v>
      </c>
      <c r="E1506">
        <v>107.6</v>
      </c>
      <c r="F1506" s="2">
        <v>45713</v>
      </c>
      <c r="G1506" s="2">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ht="18" x14ac:dyDescent="0.5">
      <c r="A1507" t="s">
        <v>1606</v>
      </c>
      <c r="B1507" t="s">
        <v>171</v>
      </c>
      <c r="C1507">
        <v>2</v>
      </c>
      <c r="D1507">
        <v>17</v>
      </c>
      <c r="E1507">
        <v>34</v>
      </c>
      <c r="F1507" s="2">
        <v>45713</v>
      </c>
      <c r="G1507" s="2">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ht="18" x14ac:dyDescent="0.5">
      <c r="A1508" t="s">
        <v>1607</v>
      </c>
      <c r="B1508" t="s">
        <v>39</v>
      </c>
      <c r="C1508">
        <v>1</v>
      </c>
      <c r="D1508">
        <v>103.2</v>
      </c>
      <c r="E1508">
        <v>103.2</v>
      </c>
      <c r="F1508" s="2">
        <v>45713</v>
      </c>
      <c r="G1508" s="2">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ht="18" x14ac:dyDescent="0.5">
      <c r="A1509" t="s">
        <v>1608</v>
      </c>
      <c r="B1509" t="s">
        <v>39</v>
      </c>
      <c r="C1509">
        <v>4</v>
      </c>
      <c r="D1509">
        <v>70.3</v>
      </c>
      <c r="E1509">
        <v>281.2</v>
      </c>
      <c r="F1509" s="2">
        <v>45713</v>
      </c>
      <c r="G1509" s="2">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ht="18" x14ac:dyDescent="0.5">
      <c r="A1510" t="s">
        <v>1609</v>
      </c>
      <c r="B1510" t="s">
        <v>26</v>
      </c>
      <c r="C1510">
        <v>2</v>
      </c>
      <c r="D1510">
        <v>73.8</v>
      </c>
      <c r="E1510">
        <v>147.6</v>
      </c>
      <c r="F1510" s="2">
        <v>45713</v>
      </c>
      <c r="G1510" s="2">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ht="18" x14ac:dyDescent="0.5">
      <c r="A1511" t="s">
        <v>1610</v>
      </c>
      <c r="B1511" t="s">
        <v>22</v>
      </c>
      <c r="C1511">
        <v>12</v>
      </c>
      <c r="D1511">
        <v>67.7</v>
      </c>
      <c r="E1511">
        <v>812.40000000000009</v>
      </c>
      <c r="F1511" s="2">
        <v>45713</v>
      </c>
      <c r="G1511" s="2">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ht="18" x14ac:dyDescent="0.5">
      <c r="A1512" t="s">
        <v>1611</v>
      </c>
      <c r="B1512" t="s">
        <v>76</v>
      </c>
      <c r="C1512">
        <v>7</v>
      </c>
      <c r="D1512">
        <v>43.8</v>
      </c>
      <c r="E1512">
        <v>306.59999999999997</v>
      </c>
      <c r="F1512" s="2">
        <v>45713</v>
      </c>
      <c r="G1512" s="2">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ht="18" x14ac:dyDescent="0.5">
      <c r="A1513" t="s">
        <v>1612</v>
      </c>
      <c r="B1513" t="s">
        <v>135</v>
      </c>
      <c r="C1513">
        <v>6</v>
      </c>
      <c r="D1513">
        <v>71.900000000000006</v>
      </c>
      <c r="E1513">
        <v>431.40000000000003</v>
      </c>
      <c r="F1513" s="2">
        <v>45713</v>
      </c>
      <c r="G1513" s="2">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ht="18" x14ac:dyDescent="0.5">
      <c r="A1514" t="s">
        <v>1613</v>
      </c>
      <c r="B1514" t="s">
        <v>44</v>
      </c>
      <c r="C1514">
        <v>2</v>
      </c>
      <c r="D1514">
        <v>26.3</v>
      </c>
      <c r="E1514">
        <v>52.6</v>
      </c>
      <c r="F1514" s="2">
        <v>45714</v>
      </c>
      <c r="G1514" s="2">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ht="18" x14ac:dyDescent="0.5">
      <c r="A1515" t="s">
        <v>1614</v>
      </c>
      <c r="B1515" t="s">
        <v>39</v>
      </c>
      <c r="C1515">
        <v>4</v>
      </c>
      <c r="D1515">
        <v>52.6</v>
      </c>
      <c r="E1515">
        <v>210.4</v>
      </c>
      <c r="F1515" s="2">
        <v>45714</v>
      </c>
      <c r="G1515" s="2">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ht="18" x14ac:dyDescent="0.5">
      <c r="A1516" t="s">
        <v>1615</v>
      </c>
      <c r="B1516" t="s">
        <v>54</v>
      </c>
      <c r="C1516">
        <v>1</v>
      </c>
      <c r="D1516">
        <v>32.700000000000003</v>
      </c>
      <c r="E1516">
        <v>32.700000000000003</v>
      </c>
      <c r="F1516" s="2">
        <v>45714</v>
      </c>
      <c r="G1516" s="2">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ht="18" x14ac:dyDescent="0.5">
      <c r="A1517" t="s">
        <v>1616</v>
      </c>
      <c r="B1517" t="s">
        <v>37</v>
      </c>
      <c r="C1517">
        <v>4</v>
      </c>
      <c r="D1517">
        <v>38.9</v>
      </c>
      <c r="E1517">
        <v>155.6</v>
      </c>
      <c r="F1517" s="2">
        <v>45714</v>
      </c>
      <c r="G1517" s="2">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ht="18" x14ac:dyDescent="0.5">
      <c r="A1518" t="s">
        <v>1617</v>
      </c>
      <c r="B1518" t="s">
        <v>46</v>
      </c>
      <c r="C1518">
        <v>5</v>
      </c>
      <c r="D1518">
        <v>35</v>
      </c>
      <c r="E1518">
        <v>175</v>
      </c>
      <c r="F1518" s="2">
        <v>45714</v>
      </c>
      <c r="G1518" s="2">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ht="18" x14ac:dyDescent="0.5">
      <c r="A1519" t="s">
        <v>1618</v>
      </c>
      <c r="B1519" t="s">
        <v>26</v>
      </c>
      <c r="C1519">
        <v>2</v>
      </c>
      <c r="D1519">
        <v>121</v>
      </c>
      <c r="E1519">
        <v>242</v>
      </c>
      <c r="F1519" s="2">
        <v>45714</v>
      </c>
      <c r="G1519" s="2">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ht="18" x14ac:dyDescent="0.5">
      <c r="A1520" t="s">
        <v>1619</v>
      </c>
      <c r="B1520" t="s">
        <v>39</v>
      </c>
      <c r="C1520">
        <v>3</v>
      </c>
      <c r="D1520">
        <v>65.099999999999994</v>
      </c>
      <c r="E1520">
        <v>195.29999999999998</v>
      </c>
      <c r="F1520" s="2">
        <v>45714</v>
      </c>
      <c r="G1520" s="2">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ht="18" x14ac:dyDescent="0.5">
      <c r="A1521" t="s">
        <v>1620</v>
      </c>
      <c r="B1521" t="s">
        <v>22</v>
      </c>
      <c r="C1521">
        <v>21</v>
      </c>
      <c r="D1521">
        <v>63.8</v>
      </c>
      <c r="E1521">
        <v>1339.8</v>
      </c>
      <c r="F1521" s="2">
        <v>45714</v>
      </c>
      <c r="G1521" s="2">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ht="18" x14ac:dyDescent="0.5">
      <c r="A1522" t="s">
        <v>1621</v>
      </c>
      <c r="B1522" t="s">
        <v>42</v>
      </c>
      <c r="C1522">
        <v>1</v>
      </c>
      <c r="D1522">
        <v>77.7</v>
      </c>
      <c r="E1522">
        <v>77.7</v>
      </c>
      <c r="F1522" s="2">
        <v>45714</v>
      </c>
      <c r="G1522" s="2">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ht="18" x14ac:dyDescent="0.5">
      <c r="A1523" t="s">
        <v>1622</v>
      </c>
      <c r="B1523" t="s">
        <v>37</v>
      </c>
      <c r="C1523">
        <v>4</v>
      </c>
      <c r="D1523">
        <v>60.3</v>
      </c>
      <c r="E1523">
        <v>241.2</v>
      </c>
      <c r="F1523" s="2">
        <v>45714</v>
      </c>
      <c r="G1523" s="2">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ht="18" x14ac:dyDescent="0.5">
      <c r="A1524" t="s">
        <v>1623</v>
      </c>
      <c r="B1524" t="s">
        <v>37</v>
      </c>
      <c r="C1524">
        <v>2</v>
      </c>
      <c r="D1524">
        <v>124.1</v>
      </c>
      <c r="E1524">
        <v>248.2</v>
      </c>
      <c r="F1524" s="2">
        <v>45714</v>
      </c>
      <c r="G1524" s="2">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ht="18" x14ac:dyDescent="0.5">
      <c r="A1525" t="s">
        <v>1624</v>
      </c>
      <c r="B1525" t="s">
        <v>128</v>
      </c>
      <c r="C1525">
        <v>7</v>
      </c>
      <c r="D1525">
        <v>66</v>
      </c>
      <c r="E1525">
        <v>462</v>
      </c>
      <c r="F1525" s="2">
        <v>45714</v>
      </c>
      <c r="G1525" s="2">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ht="18" x14ac:dyDescent="0.5">
      <c r="A1526" t="s">
        <v>1625</v>
      </c>
      <c r="B1526" t="s">
        <v>26</v>
      </c>
      <c r="C1526">
        <v>63</v>
      </c>
      <c r="D1526">
        <v>118.2</v>
      </c>
      <c r="E1526">
        <v>7446.6</v>
      </c>
      <c r="F1526" s="2">
        <v>45714</v>
      </c>
      <c r="G1526" s="2">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ht="18" x14ac:dyDescent="0.5">
      <c r="A1527" t="s">
        <v>1626</v>
      </c>
      <c r="B1527" t="s">
        <v>37</v>
      </c>
      <c r="C1527">
        <v>5</v>
      </c>
      <c r="D1527">
        <v>64.3</v>
      </c>
      <c r="E1527">
        <v>321.5</v>
      </c>
      <c r="F1527" s="2">
        <v>45714</v>
      </c>
      <c r="G1527" s="2">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ht="18" x14ac:dyDescent="0.5">
      <c r="A1528" t="s">
        <v>1627</v>
      </c>
      <c r="B1528" t="s">
        <v>22</v>
      </c>
      <c r="C1528">
        <v>2</v>
      </c>
      <c r="D1528">
        <v>54.8</v>
      </c>
      <c r="E1528">
        <v>109.6</v>
      </c>
      <c r="F1528" s="2">
        <v>45714</v>
      </c>
      <c r="G1528" s="2">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ht="18" x14ac:dyDescent="0.5">
      <c r="A1529" t="s">
        <v>1628</v>
      </c>
      <c r="B1529" t="s">
        <v>42</v>
      </c>
      <c r="C1529">
        <v>2</v>
      </c>
      <c r="D1529">
        <v>78.599999999999994</v>
      </c>
      <c r="E1529">
        <v>157.19999999999999</v>
      </c>
      <c r="F1529" s="2">
        <v>45714</v>
      </c>
      <c r="G1529" s="2">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ht="18" x14ac:dyDescent="0.5">
      <c r="A1530" t="s">
        <v>1629</v>
      </c>
      <c r="B1530" t="s">
        <v>26</v>
      </c>
      <c r="C1530">
        <v>5</v>
      </c>
      <c r="D1530">
        <v>158.5</v>
      </c>
      <c r="E1530">
        <v>792.5</v>
      </c>
      <c r="F1530" s="2">
        <v>45714</v>
      </c>
      <c r="G1530" s="2">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ht="18" x14ac:dyDescent="0.5">
      <c r="A1531" t="s">
        <v>1630</v>
      </c>
      <c r="B1531" t="s">
        <v>32</v>
      </c>
      <c r="C1531">
        <v>10</v>
      </c>
      <c r="D1531">
        <v>23.5</v>
      </c>
      <c r="E1531">
        <v>235</v>
      </c>
      <c r="F1531" s="2">
        <v>45714</v>
      </c>
      <c r="G1531" s="2">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ht="18" x14ac:dyDescent="0.5">
      <c r="A1532" t="s">
        <v>1631</v>
      </c>
      <c r="B1532" t="s">
        <v>37</v>
      </c>
      <c r="C1532">
        <v>2</v>
      </c>
      <c r="D1532">
        <v>32.1</v>
      </c>
      <c r="E1532">
        <v>64.2</v>
      </c>
      <c r="F1532" s="2">
        <v>45714</v>
      </c>
      <c r="G1532" s="2">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ht="18" x14ac:dyDescent="0.5">
      <c r="A1533" t="s">
        <v>1632</v>
      </c>
      <c r="B1533" t="s">
        <v>135</v>
      </c>
      <c r="C1533">
        <v>4</v>
      </c>
      <c r="D1533">
        <v>71.900000000000006</v>
      </c>
      <c r="E1533">
        <v>287.60000000000002</v>
      </c>
      <c r="F1533" s="2">
        <v>45714</v>
      </c>
      <c r="G1533" s="2">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ht="18" x14ac:dyDescent="0.5">
      <c r="A1534" t="s">
        <v>1633</v>
      </c>
      <c r="B1534" t="s">
        <v>32</v>
      </c>
      <c r="C1534">
        <v>6</v>
      </c>
      <c r="D1534">
        <v>22.3</v>
      </c>
      <c r="E1534">
        <v>133.80000000000001</v>
      </c>
      <c r="F1534" s="2">
        <v>45714</v>
      </c>
      <c r="G1534" s="2">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ht="18" x14ac:dyDescent="0.5">
      <c r="A1535" t="s">
        <v>1634</v>
      </c>
      <c r="B1535" t="s">
        <v>67</v>
      </c>
      <c r="C1535">
        <v>2</v>
      </c>
      <c r="D1535">
        <v>29.5</v>
      </c>
      <c r="E1535">
        <v>59</v>
      </c>
      <c r="F1535" s="2">
        <v>45714</v>
      </c>
      <c r="G1535" s="2">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ht="18" x14ac:dyDescent="0.5">
      <c r="A1536" t="s">
        <v>1635</v>
      </c>
      <c r="B1536" t="s">
        <v>39</v>
      </c>
      <c r="C1536">
        <v>4</v>
      </c>
      <c r="D1536">
        <v>41.9</v>
      </c>
      <c r="E1536">
        <v>167.6</v>
      </c>
      <c r="F1536" s="2">
        <v>45714</v>
      </c>
      <c r="G1536" s="2">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ht="18" x14ac:dyDescent="0.5">
      <c r="A1537" t="s">
        <v>1636</v>
      </c>
      <c r="B1537" t="s">
        <v>39</v>
      </c>
      <c r="C1537">
        <v>3</v>
      </c>
      <c r="D1537">
        <v>107.8</v>
      </c>
      <c r="E1537">
        <v>323.39999999999998</v>
      </c>
      <c r="F1537" s="2">
        <v>45714</v>
      </c>
      <c r="G1537" s="2">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ht="18" x14ac:dyDescent="0.5">
      <c r="A1538" t="s">
        <v>1637</v>
      </c>
      <c r="B1538" t="s">
        <v>32</v>
      </c>
      <c r="C1538">
        <v>5</v>
      </c>
      <c r="D1538">
        <v>18.100000000000001</v>
      </c>
      <c r="E1538">
        <v>90.5</v>
      </c>
      <c r="F1538" s="2">
        <v>45714</v>
      </c>
      <c r="G1538" s="2">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ht="18" x14ac:dyDescent="0.5">
      <c r="A1539" t="s">
        <v>1638</v>
      </c>
      <c r="B1539" t="s">
        <v>69</v>
      </c>
      <c r="C1539">
        <v>9</v>
      </c>
      <c r="D1539">
        <v>79.8</v>
      </c>
      <c r="E1539">
        <v>718.19999999999993</v>
      </c>
      <c r="F1539" s="2">
        <v>45714</v>
      </c>
      <c r="G1539" s="2">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ht="18" x14ac:dyDescent="0.5">
      <c r="A1540" t="s">
        <v>1639</v>
      </c>
      <c r="B1540" t="s">
        <v>16</v>
      </c>
      <c r="C1540">
        <v>3</v>
      </c>
      <c r="D1540">
        <v>22.3</v>
      </c>
      <c r="E1540">
        <v>66.900000000000006</v>
      </c>
      <c r="F1540" s="2">
        <v>45714</v>
      </c>
      <c r="G1540" s="2">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ht="18" x14ac:dyDescent="0.5">
      <c r="A1541" t="s">
        <v>1640</v>
      </c>
      <c r="B1541" t="s">
        <v>44</v>
      </c>
      <c r="C1541">
        <v>1</v>
      </c>
      <c r="D1541">
        <v>22.9</v>
      </c>
      <c r="E1541">
        <v>22.9</v>
      </c>
      <c r="F1541" s="2">
        <v>45714</v>
      </c>
      <c r="G1541" s="2">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ht="18" x14ac:dyDescent="0.5">
      <c r="A1542" t="s">
        <v>1641</v>
      </c>
      <c r="B1542" t="s">
        <v>16</v>
      </c>
      <c r="C1542">
        <v>3</v>
      </c>
      <c r="D1542">
        <v>16.2</v>
      </c>
      <c r="E1542">
        <v>48.599999999999994</v>
      </c>
      <c r="F1542" s="2">
        <v>45715</v>
      </c>
      <c r="G1542" s="2">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ht="18" x14ac:dyDescent="0.5">
      <c r="A1543" t="s">
        <v>1642</v>
      </c>
      <c r="B1543" t="s">
        <v>54</v>
      </c>
      <c r="C1543">
        <v>4</v>
      </c>
      <c r="D1543">
        <v>59.5</v>
      </c>
      <c r="E1543">
        <v>238</v>
      </c>
      <c r="F1543" s="2">
        <v>45715</v>
      </c>
      <c r="G1543" s="2">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ht="18" x14ac:dyDescent="0.5">
      <c r="A1544" t="s">
        <v>1643</v>
      </c>
      <c r="B1544" t="s">
        <v>146</v>
      </c>
      <c r="C1544">
        <v>5</v>
      </c>
      <c r="D1544">
        <v>26.2</v>
      </c>
      <c r="E1544">
        <v>131</v>
      </c>
      <c r="F1544" s="2">
        <v>45715</v>
      </c>
      <c r="G1544" s="2">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ht="18" x14ac:dyDescent="0.5">
      <c r="A1545" t="s">
        <v>1644</v>
      </c>
      <c r="B1545" t="s">
        <v>30</v>
      </c>
      <c r="C1545">
        <v>1</v>
      </c>
      <c r="D1545">
        <v>44.2</v>
      </c>
      <c r="E1545">
        <v>44.2</v>
      </c>
      <c r="F1545" s="2">
        <v>45715</v>
      </c>
      <c r="G1545" s="2">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ht="18" x14ac:dyDescent="0.5">
      <c r="A1546" t="s">
        <v>1645</v>
      </c>
      <c r="B1546" t="s">
        <v>46</v>
      </c>
      <c r="C1546">
        <v>2</v>
      </c>
      <c r="D1546">
        <v>59.2</v>
      </c>
      <c r="E1546">
        <v>118.4</v>
      </c>
      <c r="F1546" s="2">
        <v>45715</v>
      </c>
      <c r="G1546" s="2">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ht="18" x14ac:dyDescent="0.5">
      <c r="A1547" t="s">
        <v>1646</v>
      </c>
      <c r="B1547" t="s">
        <v>123</v>
      </c>
      <c r="C1547">
        <v>4</v>
      </c>
      <c r="D1547">
        <v>41.5</v>
      </c>
      <c r="E1547">
        <v>166</v>
      </c>
      <c r="F1547" s="2">
        <v>45715</v>
      </c>
      <c r="G1547" s="2">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ht="18" x14ac:dyDescent="0.5">
      <c r="A1548" t="s">
        <v>1647</v>
      </c>
      <c r="B1548" t="s">
        <v>39</v>
      </c>
      <c r="C1548">
        <v>12</v>
      </c>
      <c r="D1548">
        <v>67.099999999999994</v>
      </c>
      <c r="E1548">
        <v>805.19999999999993</v>
      </c>
      <c r="F1548" s="2">
        <v>45715</v>
      </c>
      <c r="G1548" s="2">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ht="18" x14ac:dyDescent="0.5">
      <c r="A1549" t="s">
        <v>1648</v>
      </c>
      <c r="B1549" t="s">
        <v>44</v>
      </c>
      <c r="C1549">
        <v>2</v>
      </c>
      <c r="D1549">
        <v>28.7</v>
      </c>
      <c r="E1549">
        <v>57.4</v>
      </c>
      <c r="F1549" s="2">
        <v>45715</v>
      </c>
      <c r="G1549" s="2">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ht="18" x14ac:dyDescent="0.5">
      <c r="A1550" t="s">
        <v>1649</v>
      </c>
      <c r="B1550" t="s">
        <v>26</v>
      </c>
      <c r="C1550">
        <v>4</v>
      </c>
      <c r="D1550">
        <v>132.1</v>
      </c>
      <c r="E1550">
        <v>528.4</v>
      </c>
      <c r="F1550" s="2">
        <v>45715</v>
      </c>
      <c r="G1550" s="2">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ht="18" x14ac:dyDescent="0.5">
      <c r="A1551" t="s">
        <v>1650</v>
      </c>
      <c r="B1551" t="s">
        <v>146</v>
      </c>
      <c r="C1551">
        <v>2</v>
      </c>
      <c r="D1551">
        <v>47</v>
      </c>
      <c r="E1551">
        <v>94</v>
      </c>
      <c r="F1551" s="2">
        <v>45715</v>
      </c>
      <c r="G1551" s="2">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ht="18" x14ac:dyDescent="0.5">
      <c r="A1552" t="s">
        <v>1651</v>
      </c>
      <c r="B1552" t="s">
        <v>44</v>
      </c>
      <c r="C1552">
        <v>2</v>
      </c>
      <c r="D1552">
        <v>41.6</v>
      </c>
      <c r="E1552">
        <v>83.2</v>
      </c>
      <c r="F1552" s="2">
        <v>45715</v>
      </c>
      <c r="G1552" s="2">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ht="18" x14ac:dyDescent="0.5">
      <c r="A1553" t="s">
        <v>1652</v>
      </c>
      <c r="B1553" t="s">
        <v>44</v>
      </c>
      <c r="C1553">
        <v>38</v>
      </c>
      <c r="D1553">
        <v>17.3</v>
      </c>
      <c r="E1553">
        <v>657.4</v>
      </c>
      <c r="F1553" s="2">
        <v>45715</v>
      </c>
      <c r="G1553" s="2">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ht="18" x14ac:dyDescent="0.5">
      <c r="A1554" t="s">
        <v>1653</v>
      </c>
      <c r="B1554" t="s">
        <v>76</v>
      </c>
      <c r="C1554">
        <v>3</v>
      </c>
      <c r="D1554">
        <v>41.8</v>
      </c>
      <c r="E1554">
        <v>125.39999999999999</v>
      </c>
      <c r="F1554" s="2">
        <v>45715</v>
      </c>
      <c r="G1554" s="2">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ht="18" x14ac:dyDescent="0.5">
      <c r="A1555" t="s">
        <v>1654</v>
      </c>
      <c r="B1555" t="s">
        <v>54</v>
      </c>
      <c r="C1555">
        <v>1</v>
      </c>
      <c r="D1555">
        <v>24</v>
      </c>
      <c r="E1555">
        <v>24</v>
      </c>
      <c r="F1555" s="2">
        <v>45715</v>
      </c>
      <c r="G1555" s="2">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ht="18" x14ac:dyDescent="0.5">
      <c r="A1556" t="s">
        <v>1655</v>
      </c>
      <c r="B1556" t="s">
        <v>81</v>
      </c>
      <c r="C1556">
        <v>9</v>
      </c>
      <c r="D1556">
        <v>18.5</v>
      </c>
      <c r="E1556">
        <v>166.5</v>
      </c>
      <c r="F1556" s="2">
        <v>45715</v>
      </c>
      <c r="G1556" s="2">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ht="18" x14ac:dyDescent="0.5">
      <c r="A1557" t="s">
        <v>1656</v>
      </c>
      <c r="B1557" t="s">
        <v>30</v>
      </c>
      <c r="C1557">
        <v>12</v>
      </c>
      <c r="D1557">
        <v>66.7</v>
      </c>
      <c r="E1557">
        <v>800.40000000000009</v>
      </c>
      <c r="F1557" s="2">
        <v>45715</v>
      </c>
      <c r="G1557" s="2">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ht="18" x14ac:dyDescent="0.5">
      <c r="A1558" t="s">
        <v>1657</v>
      </c>
      <c r="B1558" t="s">
        <v>22</v>
      </c>
      <c r="C1558">
        <v>4</v>
      </c>
      <c r="D1558">
        <v>33.1</v>
      </c>
      <c r="E1558">
        <v>132.4</v>
      </c>
      <c r="F1558" s="2">
        <v>45715</v>
      </c>
      <c r="G1558" s="2">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ht="18" x14ac:dyDescent="0.5">
      <c r="A1559" t="s">
        <v>1658</v>
      </c>
      <c r="B1559" t="s">
        <v>171</v>
      </c>
      <c r="C1559">
        <v>9</v>
      </c>
      <c r="D1559">
        <v>42.1</v>
      </c>
      <c r="E1559">
        <v>378.90000000000003</v>
      </c>
      <c r="F1559" s="2">
        <v>45715</v>
      </c>
      <c r="G1559" s="2">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ht="18" x14ac:dyDescent="0.5">
      <c r="A1560" t="s">
        <v>1659</v>
      </c>
      <c r="B1560" t="s">
        <v>146</v>
      </c>
      <c r="C1560">
        <v>7</v>
      </c>
      <c r="D1560">
        <v>58.7</v>
      </c>
      <c r="E1560">
        <v>410.90000000000003</v>
      </c>
      <c r="F1560" s="2">
        <v>45715</v>
      </c>
      <c r="G1560" s="2">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ht="18" x14ac:dyDescent="0.5">
      <c r="A1561" t="s">
        <v>1660</v>
      </c>
      <c r="B1561" t="s">
        <v>39</v>
      </c>
      <c r="C1561">
        <v>4</v>
      </c>
      <c r="D1561">
        <v>54</v>
      </c>
      <c r="E1561">
        <v>216</v>
      </c>
      <c r="F1561" s="2">
        <v>45715</v>
      </c>
      <c r="G1561" s="2">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ht="18" x14ac:dyDescent="0.5">
      <c r="A1562" t="s">
        <v>1661</v>
      </c>
      <c r="B1562" t="s">
        <v>44</v>
      </c>
      <c r="C1562">
        <v>1</v>
      </c>
      <c r="D1562">
        <v>52.1</v>
      </c>
      <c r="E1562">
        <v>52.1</v>
      </c>
      <c r="F1562" s="2">
        <v>45715</v>
      </c>
      <c r="G1562" s="2">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ht="18" x14ac:dyDescent="0.5">
      <c r="A1563" t="s">
        <v>1662</v>
      </c>
      <c r="B1563" t="s">
        <v>171</v>
      </c>
      <c r="C1563">
        <v>2</v>
      </c>
      <c r="D1563">
        <v>27</v>
      </c>
      <c r="E1563">
        <v>54</v>
      </c>
      <c r="F1563" s="2">
        <v>45715</v>
      </c>
      <c r="G1563" s="2">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ht="18" x14ac:dyDescent="0.5">
      <c r="A1564" t="s">
        <v>1663</v>
      </c>
      <c r="B1564" t="s">
        <v>69</v>
      </c>
      <c r="C1564">
        <v>10</v>
      </c>
      <c r="D1564">
        <v>31</v>
      </c>
      <c r="E1564">
        <v>310</v>
      </c>
      <c r="F1564" s="2">
        <v>45716</v>
      </c>
      <c r="G1564" s="2">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ht="18" x14ac:dyDescent="0.5">
      <c r="A1565" t="s">
        <v>1664</v>
      </c>
      <c r="B1565" t="s">
        <v>54</v>
      </c>
      <c r="C1565">
        <v>2</v>
      </c>
      <c r="D1565">
        <v>46.7</v>
      </c>
      <c r="E1565">
        <v>93.4</v>
      </c>
      <c r="F1565" s="2">
        <v>45716</v>
      </c>
      <c r="G1565" s="2">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ht="18" x14ac:dyDescent="0.5">
      <c r="A1566" t="s">
        <v>1665</v>
      </c>
      <c r="B1566" t="s">
        <v>39</v>
      </c>
      <c r="C1566">
        <v>1</v>
      </c>
      <c r="D1566">
        <v>144.69999999999999</v>
      </c>
      <c r="E1566">
        <v>144.69999999999999</v>
      </c>
      <c r="F1566" s="2">
        <v>45716</v>
      </c>
      <c r="G1566" s="2">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ht="18" x14ac:dyDescent="0.5">
      <c r="A1567" t="s">
        <v>1666</v>
      </c>
      <c r="B1567" t="s">
        <v>26</v>
      </c>
      <c r="C1567">
        <v>9</v>
      </c>
      <c r="D1567">
        <v>90.9</v>
      </c>
      <c r="E1567">
        <v>818.1</v>
      </c>
      <c r="F1567" s="2">
        <v>45716</v>
      </c>
      <c r="G1567" s="2">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ht="18" x14ac:dyDescent="0.5">
      <c r="A1568" t="s">
        <v>1667</v>
      </c>
      <c r="B1568" t="s">
        <v>22</v>
      </c>
      <c r="C1568">
        <v>2</v>
      </c>
      <c r="D1568">
        <v>75.8</v>
      </c>
      <c r="E1568">
        <v>151.6</v>
      </c>
      <c r="F1568" s="2">
        <v>45716</v>
      </c>
      <c r="G1568" s="2">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ht="18" x14ac:dyDescent="0.5">
      <c r="A1569" t="s">
        <v>1668</v>
      </c>
      <c r="B1569" t="s">
        <v>42</v>
      </c>
      <c r="C1569">
        <v>5</v>
      </c>
      <c r="D1569">
        <v>57.9</v>
      </c>
      <c r="E1569">
        <v>289.5</v>
      </c>
      <c r="F1569" s="2">
        <v>45716</v>
      </c>
      <c r="G1569" s="2">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ht="18" x14ac:dyDescent="0.5">
      <c r="A1570" t="s">
        <v>1669</v>
      </c>
      <c r="B1570" t="s">
        <v>44</v>
      </c>
      <c r="C1570">
        <v>5</v>
      </c>
      <c r="D1570">
        <v>44.8</v>
      </c>
      <c r="E1570">
        <v>224</v>
      </c>
      <c r="F1570" s="2">
        <v>45716</v>
      </c>
      <c r="G1570" s="2">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ht="18" x14ac:dyDescent="0.5">
      <c r="A1571" t="s">
        <v>1670</v>
      </c>
      <c r="B1571" t="s">
        <v>46</v>
      </c>
      <c r="C1571">
        <v>3</v>
      </c>
      <c r="D1571">
        <v>44.2</v>
      </c>
      <c r="E1571">
        <v>132.60000000000002</v>
      </c>
      <c r="F1571" s="2">
        <v>45716</v>
      </c>
      <c r="G1571" s="2">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ht="18" x14ac:dyDescent="0.5">
      <c r="A1572" t="s">
        <v>1671</v>
      </c>
      <c r="B1572" t="s">
        <v>37</v>
      </c>
      <c r="C1572">
        <v>5</v>
      </c>
      <c r="D1572">
        <v>53.5</v>
      </c>
      <c r="E1572">
        <v>267.5</v>
      </c>
      <c r="F1572" s="2">
        <v>45716</v>
      </c>
      <c r="G1572" s="2">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ht="18" x14ac:dyDescent="0.5">
      <c r="A1573" t="s">
        <v>1672</v>
      </c>
      <c r="B1573" t="s">
        <v>39</v>
      </c>
      <c r="C1573">
        <v>2</v>
      </c>
      <c r="D1573">
        <v>72.2</v>
      </c>
      <c r="E1573">
        <v>144.4</v>
      </c>
      <c r="F1573" s="2">
        <v>45716</v>
      </c>
      <c r="G1573" s="2">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ht="18" x14ac:dyDescent="0.5">
      <c r="A1574" t="s">
        <v>1673</v>
      </c>
      <c r="B1574" t="s">
        <v>39</v>
      </c>
      <c r="C1574">
        <v>4</v>
      </c>
      <c r="D1574">
        <v>62.4</v>
      </c>
      <c r="E1574">
        <v>249.6</v>
      </c>
      <c r="F1574" s="2">
        <v>45716</v>
      </c>
      <c r="G1574" s="2">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ht="18" x14ac:dyDescent="0.5">
      <c r="A1575" t="s">
        <v>1674</v>
      </c>
      <c r="B1575" t="s">
        <v>54</v>
      </c>
      <c r="C1575">
        <v>5</v>
      </c>
      <c r="D1575">
        <v>24.7</v>
      </c>
      <c r="E1575">
        <v>123.5</v>
      </c>
      <c r="F1575" s="2">
        <v>45716</v>
      </c>
      <c r="G1575" s="2">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ht="18" x14ac:dyDescent="0.5">
      <c r="A1576" t="s">
        <v>1675</v>
      </c>
      <c r="B1576" t="s">
        <v>22</v>
      </c>
      <c r="C1576">
        <v>5</v>
      </c>
      <c r="D1576">
        <v>61.7</v>
      </c>
      <c r="E1576">
        <v>308.5</v>
      </c>
      <c r="F1576" s="2">
        <v>45716</v>
      </c>
      <c r="G1576" s="2">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ht="18" x14ac:dyDescent="0.5">
      <c r="A1577" t="s">
        <v>1676</v>
      </c>
      <c r="B1577" t="s">
        <v>44</v>
      </c>
      <c r="C1577">
        <v>5</v>
      </c>
      <c r="D1577">
        <v>18.2</v>
      </c>
      <c r="E1577">
        <v>91</v>
      </c>
      <c r="F1577" s="2">
        <v>45716</v>
      </c>
      <c r="G1577" s="2">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ht="18" x14ac:dyDescent="0.5">
      <c r="A1578" t="s">
        <v>1677</v>
      </c>
      <c r="B1578" t="s">
        <v>54</v>
      </c>
      <c r="C1578">
        <v>4</v>
      </c>
      <c r="D1578">
        <v>37.200000000000003</v>
      </c>
      <c r="E1578">
        <v>148.80000000000001</v>
      </c>
      <c r="F1578" s="2">
        <v>45716</v>
      </c>
      <c r="G1578" s="2">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ht="18" x14ac:dyDescent="0.5">
      <c r="A1579" t="s">
        <v>1678</v>
      </c>
      <c r="B1579" t="s">
        <v>46</v>
      </c>
      <c r="C1579">
        <v>3</v>
      </c>
      <c r="D1579">
        <v>53.5</v>
      </c>
      <c r="E1579">
        <v>160.5</v>
      </c>
      <c r="F1579" s="2">
        <v>45716</v>
      </c>
      <c r="G1579" s="2">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ht="18" x14ac:dyDescent="0.5">
      <c r="A1580" t="s">
        <v>1679</v>
      </c>
      <c r="B1580" t="s">
        <v>44</v>
      </c>
      <c r="C1580">
        <v>3</v>
      </c>
      <c r="D1580">
        <v>43.6</v>
      </c>
      <c r="E1580">
        <v>130.80000000000001</v>
      </c>
      <c r="F1580" s="2">
        <v>45716</v>
      </c>
      <c r="G1580" s="2">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ht="18" x14ac:dyDescent="0.5">
      <c r="A1581" t="s">
        <v>1680</v>
      </c>
      <c r="B1581" t="s">
        <v>22</v>
      </c>
      <c r="C1581">
        <v>10</v>
      </c>
      <c r="D1581">
        <v>135</v>
      </c>
      <c r="E1581">
        <v>1350</v>
      </c>
      <c r="F1581" s="2">
        <v>45716</v>
      </c>
      <c r="G1581" s="2">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ht="18" x14ac:dyDescent="0.5">
      <c r="A1582" t="s">
        <v>1681</v>
      </c>
      <c r="B1582" t="s">
        <v>44</v>
      </c>
      <c r="C1582">
        <v>5</v>
      </c>
      <c r="D1582">
        <v>38.5</v>
      </c>
      <c r="E1582">
        <v>192.5</v>
      </c>
      <c r="F1582" s="2">
        <v>45716</v>
      </c>
      <c r="G1582" s="2">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ht="18" x14ac:dyDescent="0.5">
      <c r="A1583" t="s">
        <v>1682</v>
      </c>
      <c r="B1583" t="s">
        <v>46</v>
      </c>
      <c r="C1583">
        <v>2</v>
      </c>
      <c r="D1583">
        <v>24</v>
      </c>
      <c r="E1583">
        <v>48</v>
      </c>
      <c r="F1583" s="2">
        <v>45716</v>
      </c>
      <c r="G1583" s="2">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ht="18" x14ac:dyDescent="0.5">
      <c r="A1584" t="s">
        <v>1683</v>
      </c>
      <c r="B1584" t="s">
        <v>32</v>
      </c>
      <c r="C1584">
        <v>3</v>
      </c>
      <c r="D1584">
        <v>28.2</v>
      </c>
      <c r="E1584">
        <v>84.6</v>
      </c>
      <c r="F1584" s="2">
        <v>45716</v>
      </c>
      <c r="G1584" s="2">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ht="18" x14ac:dyDescent="0.5">
      <c r="A1585" t="s">
        <v>1684</v>
      </c>
      <c r="B1585" t="s">
        <v>42</v>
      </c>
      <c r="C1585">
        <v>3</v>
      </c>
      <c r="D1585">
        <v>37.4</v>
      </c>
      <c r="E1585">
        <v>112.19999999999999</v>
      </c>
      <c r="F1585" s="2">
        <v>45716</v>
      </c>
      <c r="G1585" s="2">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ht="18" x14ac:dyDescent="0.5">
      <c r="A1586" t="s">
        <v>1685</v>
      </c>
      <c r="B1586" t="s">
        <v>39</v>
      </c>
      <c r="C1586">
        <v>3</v>
      </c>
      <c r="D1586">
        <v>53.5</v>
      </c>
      <c r="E1586">
        <v>160.5</v>
      </c>
      <c r="F1586" s="2">
        <v>45716</v>
      </c>
      <c r="G1586" s="2">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ht="18" x14ac:dyDescent="0.5">
      <c r="A1587" t="s">
        <v>1686</v>
      </c>
      <c r="B1587" t="s">
        <v>67</v>
      </c>
      <c r="C1587">
        <v>5</v>
      </c>
      <c r="D1587">
        <v>36.200000000000003</v>
      </c>
      <c r="E1587">
        <v>181</v>
      </c>
      <c r="F1587" s="2">
        <v>45716</v>
      </c>
      <c r="G1587" s="2">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ht="18" x14ac:dyDescent="0.5">
      <c r="A1588" t="s">
        <v>1687</v>
      </c>
      <c r="B1588" t="s">
        <v>16</v>
      </c>
      <c r="C1588">
        <v>8</v>
      </c>
      <c r="D1588">
        <v>31.9</v>
      </c>
      <c r="E1588">
        <v>255.2</v>
      </c>
      <c r="F1588" s="2">
        <v>45716</v>
      </c>
      <c r="G1588" s="2">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ht="18" x14ac:dyDescent="0.5">
      <c r="A1589" t="s">
        <v>1688</v>
      </c>
      <c r="B1589" t="s">
        <v>44</v>
      </c>
      <c r="C1589">
        <v>3</v>
      </c>
      <c r="D1589">
        <v>21.3</v>
      </c>
      <c r="E1589">
        <v>63.900000000000006</v>
      </c>
      <c r="F1589" s="2">
        <v>45716</v>
      </c>
      <c r="G1589" s="2">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ht="18" x14ac:dyDescent="0.5">
      <c r="A1590" t="s">
        <v>1689</v>
      </c>
      <c r="B1590" t="s">
        <v>44</v>
      </c>
      <c r="C1590">
        <v>1</v>
      </c>
      <c r="D1590">
        <v>36.299999999999997</v>
      </c>
      <c r="E1590">
        <v>36.299999999999997</v>
      </c>
      <c r="F1590" s="2">
        <v>45716</v>
      </c>
      <c r="G1590" s="2">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ht="18" x14ac:dyDescent="0.5">
      <c r="A1591" t="s">
        <v>1690</v>
      </c>
      <c r="B1591" t="s">
        <v>39</v>
      </c>
      <c r="C1591">
        <v>3</v>
      </c>
      <c r="D1591">
        <v>110.5</v>
      </c>
      <c r="E1591">
        <v>331.5</v>
      </c>
      <c r="F1591" s="2">
        <v>45716</v>
      </c>
      <c r="G1591" s="2">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ht="18" x14ac:dyDescent="0.5">
      <c r="A1592" t="s">
        <v>1691</v>
      </c>
      <c r="B1592" t="s">
        <v>54</v>
      </c>
      <c r="C1592">
        <v>7</v>
      </c>
      <c r="D1592">
        <v>32.6</v>
      </c>
      <c r="E1592">
        <v>228.20000000000002</v>
      </c>
      <c r="F1592" s="2">
        <v>45716</v>
      </c>
      <c r="G1592" s="2">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ht="18" x14ac:dyDescent="0.5">
      <c r="A1593" t="s">
        <v>1692</v>
      </c>
      <c r="B1593" t="s">
        <v>37</v>
      </c>
      <c r="C1593">
        <v>3</v>
      </c>
      <c r="D1593">
        <v>55.6</v>
      </c>
      <c r="E1593">
        <v>166.8</v>
      </c>
      <c r="F1593" s="2">
        <v>45717</v>
      </c>
      <c r="G1593" s="2">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ht="18" x14ac:dyDescent="0.5">
      <c r="A1594" t="s">
        <v>1693</v>
      </c>
      <c r="B1594" t="s">
        <v>22</v>
      </c>
      <c r="C1594">
        <v>4</v>
      </c>
      <c r="D1594">
        <v>38</v>
      </c>
      <c r="E1594">
        <v>152</v>
      </c>
      <c r="F1594" s="2">
        <v>45717</v>
      </c>
      <c r="G1594" s="2">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ht="18" x14ac:dyDescent="0.5">
      <c r="A1595" t="s">
        <v>1694</v>
      </c>
      <c r="B1595" t="s">
        <v>54</v>
      </c>
      <c r="C1595">
        <v>2</v>
      </c>
      <c r="D1595">
        <v>51.8</v>
      </c>
      <c r="E1595">
        <v>103.6</v>
      </c>
      <c r="F1595" s="2">
        <v>45717</v>
      </c>
      <c r="G1595" s="2">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ht="18" x14ac:dyDescent="0.5">
      <c r="A1596" t="s">
        <v>1695</v>
      </c>
      <c r="B1596" t="s">
        <v>67</v>
      </c>
      <c r="C1596">
        <v>8</v>
      </c>
      <c r="D1596">
        <v>28.7</v>
      </c>
      <c r="E1596">
        <v>229.6</v>
      </c>
      <c r="F1596" s="2">
        <v>45717</v>
      </c>
      <c r="G1596" s="2">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ht="18" x14ac:dyDescent="0.5">
      <c r="A1597" t="s">
        <v>1696</v>
      </c>
      <c r="B1597" t="s">
        <v>39</v>
      </c>
      <c r="C1597">
        <v>12</v>
      </c>
      <c r="D1597">
        <v>52.2</v>
      </c>
      <c r="E1597">
        <v>626.40000000000009</v>
      </c>
      <c r="F1597" s="2">
        <v>45717</v>
      </c>
      <c r="G1597" s="2">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ht="18" x14ac:dyDescent="0.5">
      <c r="A1598" t="s">
        <v>1697</v>
      </c>
      <c r="B1598" t="s">
        <v>22</v>
      </c>
      <c r="C1598">
        <v>2</v>
      </c>
      <c r="D1598">
        <v>68.2</v>
      </c>
      <c r="E1598">
        <v>136.4</v>
      </c>
      <c r="F1598" s="2">
        <v>45717</v>
      </c>
      <c r="G1598" s="2">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ht="18" x14ac:dyDescent="0.5">
      <c r="A1599" t="s">
        <v>1698</v>
      </c>
      <c r="B1599" t="s">
        <v>16</v>
      </c>
      <c r="C1599">
        <v>3</v>
      </c>
      <c r="D1599">
        <v>34</v>
      </c>
      <c r="E1599">
        <v>102</v>
      </c>
      <c r="F1599" s="2">
        <v>45717</v>
      </c>
      <c r="G1599" s="2">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ht="18" x14ac:dyDescent="0.5">
      <c r="A1600" t="s">
        <v>1699</v>
      </c>
      <c r="B1600" t="s">
        <v>44</v>
      </c>
      <c r="C1600">
        <v>3</v>
      </c>
      <c r="D1600">
        <v>19.100000000000001</v>
      </c>
      <c r="E1600">
        <v>57.300000000000004</v>
      </c>
      <c r="F1600" s="2">
        <v>45717</v>
      </c>
      <c r="G1600" s="2">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ht="18" x14ac:dyDescent="0.5">
      <c r="A1601" t="s">
        <v>1700</v>
      </c>
      <c r="B1601" t="s">
        <v>37</v>
      </c>
      <c r="C1601">
        <v>8</v>
      </c>
      <c r="D1601">
        <v>34</v>
      </c>
      <c r="E1601">
        <v>272</v>
      </c>
      <c r="F1601" s="2">
        <v>45717</v>
      </c>
      <c r="G1601" s="2">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ht="18" x14ac:dyDescent="0.5">
      <c r="A1602" t="s">
        <v>1701</v>
      </c>
      <c r="B1602" t="s">
        <v>69</v>
      </c>
      <c r="C1602">
        <v>2</v>
      </c>
      <c r="D1602">
        <v>109.1</v>
      </c>
      <c r="E1602">
        <v>218.2</v>
      </c>
      <c r="F1602" s="2">
        <v>45717</v>
      </c>
      <c r="G1602" s="2">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ht="18" x14ac:dyDescent="0.5">
      <c r="A1603" t="s">
        <v>1702</v>
      </c>
      <c r="B1603" t="s">
        <v>146</v>
      </c>
      <c r="C1603">
        <v>2</v>
      </c>
      <c r="D1603">
        <v>64.8</v>
      </c>
      <c r="E1603">
        <v>129.6</v>
      </c>
      <c r="F1603" s="2">
        <v>45717</v>
      </c>
      <c r="G1603" s="2">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ht="18" x14ac:dyDescent="0.5">
      <c r="A1604" t="s">
        <v>1703</v>
      </c>
      <c r="B1604" t="s">
        <v>54</v>
      </c>
      <c r="C1604">
        <v>2</v>
      </c>
      <c r="D1604">
        <v>21.1</v>
      </c>
      <c r="E1604">
        <v>42.2</v>
      </c>
      <c r="F1604" s="2">
        <v>45717</v>
      </c>
      <c r="G1604" s="2">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ht="18" x14ac:dyDescent="0.5">
      <c r="A1605" t="s">
        <v>1704</v>
      </c>
      <c r="B1605" t="s">
        <v>16</v>
      </c>
      <c r="C1605">
        <v>8</v>
      </c>
      <c r="D1605">
        <v>21.3</v>
      </c>
      <c r="E1605">
        <v>170.4</v>
      </c>
      <c r="F1605" s="2">
        <v>45717</v>
      </c>
      <c r="G1605" s="2">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ht="18" x14ac:dyDescent="0.5">
      <c r="A1606" t="s">
        <v>1705</v>
      </c>
      <c r="B1606" t="s">
        <v>46</v>
      </c>
      <c r="C1606">
        <v>3</v>
      </c>
      <c r="D1606">
        <v>24.3</v>
      </c>
      <c r="E1606">
        <v>72.900000000000006</v>
      </c>
      <c r="F1606" s="2">
        <v>45717</v>
      </c>
      <c r="G1606" s="2">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ht="18" x14ac:dyDescent="0.5">
      <c r="A1607" t="s">
        <v>1706</v>
      </c>
      <c r="B1607" t="s">
        <v>44</v>
      </c>
      <c r="C1607">
        <v>1</v>
      </c>
      <c r="D1607">
        <v>43.3</v>
      </c>
      <c r="E1607">
        <v>43.3</v>
      </c>
      <c r="F1607" s="2">
        <v>45717</v>
      </c>
      <c r="G1607" s="2">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ht="18" x14ac:dyDescent="0.5">
      <c r="A1608" t="s">
        <v>1707</v>
      </c>
      <c r="B1608" t="s">
        <v>46</v>
      </c>
      <c r="C1608">
        <v>3</v>
      </c>
      <c r="D1608">
        <v>41</v>
      </c>
      <c r="E1608">
        <v>123</v>
      </c>
      <c r="F1608" s="2">
        <v>45717</v>
      </c>
      <c r="G1608" s="2">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ht="18" x14ac:dyDescent="0.5">
      <c r="A1609" t="s">
        <v>1708</v>
      </c>
      <c r="B1609" t="s">
        <v>128</v>
      </c>
      <c r="C1609">
        <v>3</v>
      </c>
      <c r="D1609">
        <v>54.1</v>
      </c>
      <c r="E1609">
        <v>162.30000000000001</v>
      </c>
      <c r="F1609" s="2">
        <v>45717</v>
      </c>
      <c r="G1609" s="2">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ht="18" x14ac:dyDescent="0.5">
      <c r="A1610" t="s">
        <v>1709</v>
      </c>
      <c r="B1610" t="s">
        <v>67</v>
      </c>
      <c r="C1610">
        <v>2</v>
      </c>
      <c r="D1610">
        <v>39</v>
      </c>
      <c r="E1610">
        <v>78</v>
      </c>
      <c r="F1610" s="2">
        <v>45717</v>
      </c>
      <c r="G1610" s="2">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ht="18" x14ac:dyDescent="0.5">
      <c r="A1611" t="s">
        <v>1710</v>
      </c>
      <c r="B1611" t="s">
        <v>44</v>
      </c>
      <c r="C1611">
        <v>2</v>
      </c>
      <c r="D1611">
        <v>40.299999999999997</v>
      </c>
      <c r="E1611">
        <v>80.599999999999994</v>
      </c>
      <c r="F1611" s="2">
        <v>45717</v>
      </c>
      <c r="G1611" s="2">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ht="18" x14ac:dyDescent="0.5">
      <c r="A1612" t="s">
        <v>1711</v>
      </c>
      <c r="B1612" t="s">
        <v>44</v>
      </c>
      <c r="C1612">
        <v>3</v>
      </c>
      <c r="D1612">
        <v>24.1</v>
      </c>
      <c r="E1612">
        <v>72.300000000000011</v>
      </c>
      <c r="F1612" s="2">
        <v>45717</v>
      </c>
      <c r="G1612" s="2">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ht="18" x14ac:dyDescent="0.5">
      <c r="A1613" t="s">
        <v>1712</v>
      </c>
      <c r="B1613" t="s">
        <v>39</v>
      </c>
      <c r="C1613">
        <v>5</v>
      </c>
      <c r="D1613">
        <v>52.3</v>
      </c>
      <c r="E1613">
        <v>261.5</v>
      </c>
      <c r="F1613" s="2">
        <v>45717</v>
      </c>
      <c r="G1613" s="2">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ht="18" x14ac:dyDescent="0.5">
      <c r="A1614" t="s">
        <v>1713</v>
      </c>
      <c r="B1614" t="s">
        <v>69</v>
      </c>
      <c r="C1614">
        <v>4</v>
      </c>
      <c r="D1614">
        <v>68.8</v>
      </c>
      <c r="E1614">
        <v>275.2</v>
      </c>
      <c r="F1614" s="2">
        <v>45717</v>
      </c>
      <c r="G1614" s="2">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ht="18" x14ac:dyDescent="0.5">
      <c r="A1615" t="s">
        <v>1714</v>
      </c>
      <c r="B1615" t="s">
        <v>26</v>
      </c>
      <c r="C1615">
        <v>2</v>
      </c>
      <c r="D1615">
        <v>128.80000000000001</v>
      </c>
      <c r="E1615">
        <v>257.60000000000002</v>
      </c>
      <c r="F1615" s="2">
        <v>45718</v>
      </c>
      <c r="G1615" s="2">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ht="18" x14ac:dyDescent="0.5">
      <c r="A1616" t="s">
        <v>1715</v>
      </c>
      <c r="B1616" t="s">
        <v>123</v>
      </c>
      <c r="C1616">
        <v>5</v>
      </c>
      <c r="D1616">
        <v>48.2</v>
      </c>
      <c r="E1616">
        <v>241</v>
      </c>
      <c r="F1616" s="2">
        <v>45718</v>
      </c>
      <c r="G1616" s="2">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ht="18" x14ac:dyDescent="0.5">
      <c r="A1617" t="s">
        <v>1716</v>
      </c>
      <c r="B1617" t="s">
        <v>54</v>
      </c>
      <c r="C1617">
        <v>1</v>
      </c>
      <c r="D1617">
        <v>39.700000000000003</v>
      </c>
      <c r="E1617">
        <v>39.700000000000003</v>
      </c>
      <c r="F1617" s="2">
        <v>45718</v>
      </c>
      <c r="G1617" s="2">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ht="18" x14ac:dyDescent="0.5">
      <c r="A1618" t="s">
        <v>1717</v>
      </c>
      <c r="B1618" t="s">
        <v>46</v>
      </c>
      <c r="C1618">
        <v>1</v>
      </c>
      <c r="D1618">
        <v>59.7</v>
      </c>
      <c r="E1618">
        <v>59.7</v>
      </c>
      <c r="F1618" s="2">
        <v>45718</v>
      </c>
      <c r="G1618" s="2">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ht="18" x14ac:dyDescent="0.5">
      <c r="A1619" t="s">
        <v>1718</v>
      </c>
      <c r="B1619" t="s">
        <v>39</v>
      </c>
      <c r="C1619">
        <v>1</v>
      </c>
      <c r="D1619">
        <v>48.3</v>
      </c>
      <c r="E1619">
        <v>48.3</v>
      </c>
      <c r="F1619" s="2">
        <v>45718</v>
      </c>
      <c r="G1619" s="2">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ht="18" x14ac:dyDescent="0.5">
      <c r="A1620" t="s">
        <v>1719</v>
      </c>
      <c r="B1620" t="s">
        <v>44</v>
      </c>
      <c r="C1620">
        <v>3</v>
      </c>
      <c r="D1620">
        <v>45.5</v>
      </c>
      <c r="E1620">
        <v>136.5</v>
      </c>
      <c r="F1620" s="2">
        <v>45718</v>
      </c>
      <c r="G1620" s="2">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ht="18" x14ac:dyDescent="0.5">
      <c r="A1621" t="s">
        <v>1720</v>
      </c>
      <c r="B1621" t="s">
        <v>46</v>
      </c>
      <c r="C1621">
        <v>27</v>
      </c>
      <c r="D1621">
        <v>51</v>
      </c>
      <c r="E1621">
        <v>1377</v>
      </c>
      <c r="F1621" s="2">
        <v>45718</v>
      </c>
      <c r="G1621" s="2">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ht="18" x14ac:dyDescent="0.5">
      <c r="A1622" t="s">
        <v>1721</v>
      </c>
      <c r="B1622" t="s">
        <v>32</v>
      </c>
      <c r="C1622">
        <v>6</v>
      </c>
      <c r="D1622">
        <v>20.399999999999999</v>
      </c>
      <c r="E1622">
        <v>122.39999999999999</v>
      </c>
      <c r="F1622" s="2">
        <v>45718</v>
      </c>
      <c r="G1622" s="2">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ht="18" x14ac:dyDescent="0.5">
      <c r="A1623" t="s">
        <v>1722</v>
      </c>
      <c r="B1623" t="s">
        <v>54</v>
      </c>
      <c r="C1623">
        <v>2</v>
      </c>
      <c r="D1623">
        <v>30.4</v>
      </c>
      <c r="E1623">
        <v>60.8</v>
      </c>
      <c r="F1623" s="2">
        <v>45718</v>
      </c>
      <c r="G1623" s="2">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ht="18" x14ac:dyDescent="0.5">
      <c r="A1624" t="s">
        <v>1723</v>
      </c>
      <c r="B1624" t="s">
        <v>42</v>
      </c>
      <c r="C1624">
        <v>2</v>
      </c>
      <c r="D1624">
        <v>71.5</v>
      </c>
      <c r="E1624">
        <v>143</v>
      </c>
      <c r="F1624" s="2">
        <v>45718</v>
      </c>
      <c r="G1624" s="2">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ht="18" x14ac:dyDescent="0.5">
      <c r="A1625" t="s">
        <v>1724</v>
      </c>
      <c r="B1625" t="s">
        <v>44</v>
      </c>
      <c r="C1625">
        <v>6</v>
      </c>
      <c r="D1625">
        <v>18</v>
      </c>
      <c r="E1625">
        <v>108</v>
      </c>
      <c r="F1625" s="2">
        <v>45718</v>
      </c>
      <c r="G1625" s="2">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ht="18" x14ac:dyDescent="0.5">
      <c r="A1626" t="s">
        <v>1725</v>
      </c>
      <c r="B1626" t="s">
        <v>123</v>
      </c>
      <c r="C1626">
        <v>11</v>
      </c>
      <c r="D1626">
        <v>45.6</v>
      </c>
      <c r="E1626">
        <v>501.6</v>
      </c>
      <c r="F1626" s="2">
        <v>45718</v>
      </c>
      <c r="G1626" s="2">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ht="18" x14ac:dyDescent="0.5">
      <c r="A1627" t="s">
        <v>1726</v>
      </c>
      <c r="B1627" t="s">
        <v>46</v>
      </c>
      <c r="C1627">
        <v>1</v>
      </c>
      <c r="D1627">
        <v>31.8</v>
      </c>
      <c r="E1627">
        <v>31.8</v>
      </c>
      <c r="F1627" s="2">
        <v>45718</v>
      </c>
      <c r="G1627" s="2">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ht="18" x14ac:dyDescent="0.5">
      <c r="A1628" t="s">
        <v>1727</v>
      </c>
      <c r="B1628" t="s">
        <v>44</v>
      </c>
      <c r="C1628">
        <v>5</v>
      </c>
      <c r="D1628">
        <v>19.899999999999999</v>
      </c>
      <c r="E1628">
        <v>99.5</v>
      </c>
      <c r="F1628" s="2">
        <v>45718</v>
      </c>
      <c r="G1628" s="2">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ht="18" x14ac:dyDescent="0.5">
      <c r="A1629" t="s">
        <v>1728</v>
      </c>
      <c r="B1629" t="s">
        <v>69</v>
      </c>
      <c r="C1629">
        <v>9</v>
      </c>
      <c r="D1629">
        <v>52.1</v>
      </c>
      <c r="E1629">
        <v>468.90000000000003</v>
      </c>
      <c r="F1629" s="2">
        <v>45718</v>
      </c>
      <c r="G1629" s="2">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ht="18" x14ac:dyDescent="0.5">
      <c r="A1630" t="s">
        <v>1729</v>
      </c>
      <c r="B1630" t="s">
        <v>22</v>
      </c>
      <c r="C1630">
        <v>7</v>
      </c>
      <c r="D1630">
        <v>45.9</v>
      </c>
      <c r="E1630">
        <v>321.3</v>
      </c>
      <c r="F1630" s="2">
        <v>45718</v>
      </c>
      <c r="G1630" s="2">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ht="18" x14ac:dyDescent="0.5">
      <c r="A1631" t="s">
        <v>1730</v>
      </c>
      <c r="B1631" t="s">
        <v>22</v>
      </c>
      <c r="C1631">
        <v>10</v>
      </c>
      <c r="D1631">
        <v>115.9</v>
      </c>
      <c r="E1631">
        <v>1159</v>
      </c>
      <c r="F1631" s="2">
        <v>45718</v>
      </c>
      <c r="G1631" s="2">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ht="18" x14ac:dyDescent="0.5">
      <c r="A1632" t="s">
        <v>1731</v>
      </c>
      <c r="B1632" t="s">
        <v>39</v>
      </c>
      <c r="C1632">
        <v>9</v>
      </c>
      <c r="D1632">
        <v>86</v>
      </c>
      <c r="E1632">
        <v>774</v>
      </c>
      <c r="F1632" s="2">
        <v>45718</v>
      </c>
      <c r="G1632" s="2">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ht="18" x14ac:dyDescent="0.5">
      <c r="A1633" t="s">
        <v>1732</v>
      </c>
      <c r="B1633" t="s">
        <v>42</v>
      </c>
      <c r="C1633">
        <v>7</v>
      </c>
      <c r="D1633">
        <v>73.599999999999994</v>
      </c>
      <c r="E1633">
        <v>515.19999999999993</v>
      </c>
      <c r="F1633" s="2">
        <v>45718</v>
      </c>
      <c r="G1633" s="2">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ht="18" x14ac:dyDescent="0.5">
      <c r="A1634" t="s">
        <v>1733</v>
      </c>
      <c r="B1634" t="s">
        <v>54</v>
      </c>
      <c r="C1634">
        <v>3</v>
      </c>
      <c r="D1634">
        <v>26.7</v>
      </c>
      <c r="E1634">
        <v>80.099999999999994</v>
      </c>
      <c r="F1634" s="2">
        <v>45718</v>
      </c>
      <c r="G1634" s="2">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ht="18" x14ac:dyDescent="0.5">
      <c r="A1635" t="s">
        <v>1734</v>
      </c>
      <c r="B1635" t="s">
        <v>44</v>
      </c>
      <c r="C1635">
        <v>7</v>
      </c>
      <c r="D1635">
        <v>46.6</v>
      </c>
      <c r="E1635">
        <v>326.2</v>
      </c>
      <c r="F1635" s="2">
        <v>45718</v>
      </c>
      <c r="G1635" s="2">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ht="18" x14ac:dyDescent="0.5">
      <c r="A1636" t="s">
        <v>1735</v>
      </c>
      <c r="B1636" t="s">
        <v>30</v>
      </c>
      <c r="C1636">
        <v>3</v>
      </c>
      <c r="D1636">
        <v>84.6</v>
      </c>
      <c r="E1636">
        <v>253.79999999999998</v>
      </c>
      <c r="F1636" s="2">
        <v>45718</v>
      </c>
      <c r="G1636" s="2">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ht="18" x14ac:dyDescent="0.5">
      <c r="A1637" t="s">
        <v>1736</v>
      </c>
      <c r="B1637" t="s">
        <v>42</v>
      </c>
      <c r="C1637">
        <v>14</v>
      </c>
      <c r="D1637">
        <v>41.5</v>
      </c>
      <c r="E1637">
        <v>581</v>
      </c>
      <c r="F1637" s="2">
        <v>45718</v>
      </c>
      <c r="G1637" s="2">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ht="18" x14ac:dyDescent="0.5">
      <c r="A1638" t="s">
        <v>1737</v>
      </c>
      <c r="B1638" t="s">
        <v>44</v>
      </c>
      <c r="C1638">
        <v>1</v>
      </c>
      <c r="D1638">
        <v>32.799999999999997</v>
      </c>
      <c r="E1638">
        <v>32.799999999999997</v>
      </c>
      <c r="F1638" s="2">
        <v>45718</v>
      </c>
      <c r="G1638" s="2">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ht="18" x14ac:dyDescent="0.5">
      <c r="A1639" t="s">
        <v>1738</v>
      </c>
      <c r="B1639" t="s">
        <v>32</v>
      </c>
      <c r="C1639">
        <v>7</v>
      </c>
      <c r="D1639">
        <v>46.7</v>
      </c>
      <c r="E1639">
        <v>326.90000000000003</v>
      </c>
      <c r="F1639" s="2">
        <v>45718</v>
      </c>
      <c r="G1639" s="2">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ht="18" x14ac:dyDescent="0.5">
      <c r="A1640" t="s">
        <v>1739</v>
      </c>
      <c r="B1640" t="s">
        <v>123</v>
      </c>
      <c r="C1640">
        <v>7</v>
      </c>
      <c r="D1640">
        <v>21</v>
      </c>
      <c r="E1640">
        <v>147</v>
      </c>
      <c r="F1640" s="2">
        <v>45718</v>
      </c>
      <c r="G1640" s="2">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ht="18" x14ac:dyDescent="0.5">
      <c r="A1641" t="s">
        <v>1740</v>
      </c>
      <c r="B1641" t="s">
        <v>37</v>
      </c>
      <c r="C1641">
        <v>7</v>
      </c>
      <c r="D1641">
        <v>29.4</v>
      </c>
      <c r="E1641">
        <v>205.79999999999998</v>
      </c>
      <c r="F1641" s="2">
        <v>45718</v>
      </c>
      <c r="G1641" s="2">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ht="18" x14ac:dyDescent="0.5">
      <c r="A1642" t="s">
        <v>1741</v>
      </c>
      <c r="B1642" t="s">
        <v>123</v>
      </c>
      <c r="C1642">
        <v>2</v>
      </c>
      <c r="D1642">
        <v>32.299999999999997</v>
      </c>
      <c r="E1642">
        <v>64.599999999999994</v>
      </c>
      <c r="F1642" s="2">
        <v>45718</v>
      </c>
      <c r="G1642" s="2">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ht="18" x14ac:dyDescent="0.5">
      <c r="A1643" t="s">
        <v>1742</v>
      </c>
      <c r="B1643" t="s">
        <v>39</v>
      </c>
      <c r="C1643">
        <v>1</v>
      </c>
      <c r="D1643">
        <v>42.2</v>
      </c>
      <c r="E1643">
        <v>42.2</v>
      </c>
      <c r="F1643" s="2">
        <v>45719</v>
      </c>
      <c r="G1643" s="2">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ht="18" x14ac:dyDescent="0.5">
      <c r="A1644" t="s">
        <v>1743</v>
      </c>
      <c r="B1644" t="s">
        <v>39</v>
      </c>
      <c r="C1644">
        <v>1</v>
      </c>
      <c r="D1644">
        <v>53.7</v>
      </c>
      <c r="E1644">
        <v>53.7</v>
      </c>
      <c r="F1644" s="2">
        <v>45719</v>
      </c>
      <c r="G1644" s="2">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ht="18" x14ac:dyDescent="0.5">
      <c r="A1645" t="s">
        <v>1744</v>
      </c>
      <c r="B1645" t="s">
        <v>26</v>
      </c>
      <c r="C1645">
        <v>2</v>
      </c>
      <c r="D1645">
        <v>123.9</v>
      </c>
      <c r="E1645">
        <v>247.8</v>
      </c>
      <c r="F1645" s="2">
        <v>45719</v>
      </c>
      <c r="G1645" s="2">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ht="18" x14ac:dyDescent="0.5">
      <c r="A1646" t="s">
        <v>1745</v>
      </c>
      <c r="B1646" t="s">
        <v>32</v>
      </c>
      <c r="C1646">
        <v>3</v>
      </c>
      <c r="D1646">
        <v>35.9</v>
      </c>
      <c r="E1646">
        <v>107.69999999999999</v>
      </c>
      <c r="F1646" s="2">
        <v>45719</v>
      </c>
      <c r="G1646" s="2">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ht="18" x14ac:dyDescent="0.5">
      <c r="A1647" t="s">
        <v>1746</v>
      </c>
      <c r="B1647" t="s">
        <v>32</v>
      </c>
      <c r="C1647">
        <v>2</v>
      </c>
      <c r="D1647">
        <v>23.6</v>
      </c>
      <c r="E1647">
        <v>47.2</v>
      </c>
      <c r="F1647" s="2">
        <v>45719</v>
      </c>
      <c r="G1647" s="2">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ht="18" x14ac:dyDescent="0.5">
      <c r="A1648" t="s">
        <v>1747</v>
      </c>
      <c r="B1648" t="s">
        <v>123</v>
      </c>
      <c r="C1648">
        <v>35</v>
      </c>
      <c r="D1648">
        <v>45.7</v>
      </c>
      <c r="E1648">
        <v>1599.5</v>
      </c>
      <c r="F1648" s="2">
        <v>45719</v>
      </c>
      <c r="G1648" s="2">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ht="18" x14ac:dyDescent="0.5">
      <c r="A1649" t="s">
        <v>1748</v>
      </c>
      <c r="B1649" t="s">
        <v>39</v>
      </c>
      <c r="C1649">
        <v>11</v>
      </c>
      <c r="D1649">
        <v>118.3</v>
      </c>
      <c r="E1649">
        <v>1301.3</v>
      </c>
      <c r="F1649" s="2">
        <v>45719</v>
      </c>
      <c r="G1649" s="2">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ht="18" x14ac:dyDescent="0.5">
      <c r="A1650" t="s">
        <v>1749</v>
      </c>
      <c r="B1650" t="s">
        <v>171</v>
      </c>
      <c r="C1650">
        <v>1</v>
      </c>
      <c r="D1650">
        <v>36</v>
      </c>
      <c r="E1650">
        <v>36</v>
      </c>
      <c r="F1650" s="2">
        <v>45719</v>
      </c>
      <c r="G1650" s="2">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ht="18" x14ac:dyDescent="0.5">
      <c r="A1651" t="s">
        <v>1750</v>
      </c>
      <c r="B1651" t="s">
        <v>44</v>
      </c>
      <c r="C1651">
        <v>2</v>
      </c>
      <c r="D1651">
        <v>37.1</v>
      </c>
      <c r="E1651">
        <v>74.2</v>
      </c>
      <c r="F1651" s="2">
        <v>45719</v>
      </c>
      <c r="G1651" s="2">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ht="18" x14ac:dyDescent="0.5">
      <c r="A1652" t="s">
        <v>1751</v>
      </c>
      <c r="B1652" t="s">
        <v>146</v>
      </c>
      <c r="C1652">
        <v>3</v>
      </c>
      <c r="D1652">
        <v>45.1</v>
      </c>
      <c r="E1652">
        <v>135.30000000000001</v>
      </c>
      <c r="F1652" s="2">
        <v>45719</v>
      </c>
      <c r="G1652" s="2">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ht="18" x14ac:dyDescent="0.5">
      <c r="A1653" t="s">
        <v>1752</v>
      </c>
      <c r="B1653" t="s">
        <v>37</v>
      </c>
      <c r="C1653">
        <v>16</v>
      </c>
      <c r="D1653">
        <v>37.9</v>
      </c>
      <c r="E1653">
        <v>606.4</v>
      </c>
      <c r="F1653" s="2">
        <v>45719</v>
      </c>
      <c r="G1653" s="2">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ht="18" x14ac:dyDescent="0.5">
      <c r="A1654" t="s">
        <v>1753</v>
      </c>
      <c r="B1654" t="s">
        <v>26</v>
      </c>
      <c r="C1654">
        <v>2</v>
      </c>
      <c r="D1654">
        <v>121.6</v>
      </c>
      <c r="E1654">
        <v>243.2</v>
      </c>
      <c r="F1654" s="2">
        <v>45719</v>
      </c>
      <c r="G1654" s="2">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ht="18" x14ac:dyDescent="0.5">
      <c r="A1655" t="s">
        <v>1754</v>
      </c>
      <c r="B1655" t="s">
        <v>37</v>
      </c>
      <c r="C1655">
        <v>7</v>
      </c>
      <c r="D1655">
        <v>38.200000000000003</v>
      </c>
      <c r="E1655">
        <v>267.40000000000003</v>
      </c>
      <c r="F1655" s="2">
        <v>45719</v>
      </c>
      <c r="G1655" s="2">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ht="18" x14ac:dyDescent="0.5">
      <c r="A1656" t="s">
        <v>1755</v>
      </c>
      <c r="B1656" t="s">
        <v>135</v>
      </c>
      <c r="C1656">
        <v>2</v>
      </c>
      <c r="D1656">
        <v>37.200000000000003</v>
      </c>
      <c r="E1656">
        <v>74.400000000000006</v>
      </c>
      <c r="F1656" s="2">
        <v>45719</v>
      </c>
      <c r="G1656" s="2">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ht="18" x14ac:dyDescent="0.5">
      <c r="A1657" t="s">
        <v>1756</v>
      </c>
      <c r="B1657" t="s">
        <v>26</v>
      </c>
      <c r="C1657">
        <v>4</v>
      </c>
      <c r="D1657">
        <v>115.7</v>
      </c>
      <c r="E1657">
        <v>462.8</v>
      </c>
      <c r="F1657" s="2">
        <v>45719</v>
      </c>
      <c r="G1657" s="2">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ht="18" x14ac:dyDescent="0.5">
      <c r="A1658" t="s">
        <v>1757</v>
      </c>
      <c r="B1658" t="s">
        <v>26</v>
      </c>
      <c r="C1658">
        <v>6</v>
      </c>
      <c r="D1658">
        <v>99.4</v>
      </c>
      <c r="E1658">
        <v>596.40000000000009</v>
      </c>
      <c r="F1658" s="2">
        <v>45719</v>
      </c>
      <c r="G1658" s="2">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ht="18" x14ac:dyDescent="0.5">
      <c r="A1659" t="s">
        <v>1758</v>
      </c>
      <c r="B1659" t="s">
        <v>67</v>
      </c>
      <c r="C1659">
        <v>1</v>
      </c>
      <c r="D1659">
        <v>38.700000000000003</v>
      </c>
      <c r="E1659">
        <v>38.700000000000003</v>
      </c>
      <c r="F1659" s="2">
        <v>45719</v>
      </c>
      <c r="G1659" s="2">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ht="18" x14ac:dyDescent="0.5">
      <c r="A1660" t="s">
        <v>1759</v>
      </c>
      <c r="B1660" t="s">
        <v>32</v>
      </c>
      <c r="C1660">
        <v>2</v>
      </c>
      <c r="D1660">
        <v>35.5</v>
      </c>
      <c r="E1660">
        <v>71</v>
      </c>
      <c r="F1660" s="2">
        <v>45719</v>
      </c>
      <c r="G1660" s="2">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ht="18" x14ac:dyDescent="0.5">
      <c r="A1661" t="s">
        <v>1760</v>
      </c>
      <c r="B1661" t="s">
        <v>26</v>
      </c>
      <c r="C1661">
        <v>4</v>
      </c>
      <c r="D1661">
        <v>93.3</v>
      </c>
      <c r="E1661">
        <v>373.2</v>
      </c>
      <c r="F1661" s="2">
        <v>45719</v>
      </c>
      <c r="G1661" s="2">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ht="18" x14ac:dyDescent="0.5">
      <c r="A1662" t="s">
        <v>1761</v>
      </c>
      <c r="B1662" t="s">
        <v>128</v>
      </c>
      <c r="C1662">
        <v>1</v>
      </c>
      <c r="D1662">
        <v>31.4</v>
      </c>
      <c r="E1662">
        <v>31.4</v>
      </c>
      <c r="F1662" s="2">
        <v>45719</v>
      </c>
      <c r="G1662" s="2">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ht="18" x14ac:dyDescent="0.5">
      <c r="A1663" t="s">
        <v>1762</v>
      </c>
      <c r="B1663" t="s">
        <v>22</v>
      </c>
      <c r="C1663">
        <v>1</v>
      </c>
      <c r="D1663">
        <v>85.9</v>
      </c>
      <c r="E1663">
        <v>85.9</v>
      </c>
      <c r="F1663" s="2">
        <v>45719</v>
      </c>
      <c r="G1663" s="2">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ht="18" x14ac:dyDescent="0.5">
      <c r="A1664" t="s">
        <v>1763</v>
      </c>
      <c r="B1664" t="s">
        <v>39</v>
      </c>
      <c r="C1664">
        <v>8</v>
      </c>
      <c r="D1664">
        <v>41.7</v>
      </c>
      <c r="E1664">
        <v>333.6</v>
      </c>
      <c r="F1664" s="2">
        <v>45719</v>
      </c>
      <c r="G1664" s="2">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ht="18" x14ac:dyDescent="0.5">
      <c r="A1665" t="s">
        <v>1764</v>
      </c>
      <c r="B1665" t="s">
        <v>44</v>
      </c>
      <c r="C1665">
        <v>4</v>
      </c>
      <c r="D1665">
        <v>31.5</v>
      </c>
      <c r="E1665">
        <v>126</v>
      </c>
      <c r="F1665" s="2">
        <v>45719</v>
      </c>
      <c r="G1665" s="2">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ht="18" x14ac:dyDescent="0.5">
      <c r="A1666" t="s">
        <v>1765</v>
      </c>
      <c r="B1666" t="s">
        <v>44</v>
      </c>
      <c r="C1666">
        <v>2</v>
      </c>
      <c r="D1666">
        <v>36.299999999999997</v>
      </c>
      <c r="E1666">
        <v>72.599999999999994</v>
      </c>
      <c r="F1666" s="2">
        <v>45719</v>
      </c>
      <c r="G1666" s="2">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ht="18" x14ac:dyDescent="0.5">
      <c r="A1667" t="s">
        <v>1766</v>
      </c>
      <c r="B1667" t="s">
        <v>44</v>
      </c>
      <c r="C1667">
        <v>3</v>
      </c>
      <c r="D1667">
        <v>33.4</v>
      </c>
      <c r="E1667">
        <v>100.19999999999999</v>
      </c>
      <c r="F1667" s="2">
        <v>45719</v>
      </c>
      <c r="G1667" s="2">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ht="18" x14ac:dyDescent="0.5">
      <c r="A1668" t="s">
        <v>1767</v>
      </c>
      <c r="B1668" t="s">
        <v>26</v>
      </c>
      <c r="C1668">
        <v>3</v>
      </c>
      <c r="D1668">
        <v>65.2</v>
      </c>
      <c r="E1668">
        <v>195.60000000000002</v>
      </c>
      <c r="F1668" s="2">
        <v>45719</v>
      </c>
      <c r="G1668" s="2">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ht="18" x14ac:dyDescent="0.5">
      <c r="A1669" t="s">
        <v>1768</v>
      </c>
      <c r="B1669" t="s">
        <v>44</v>
      </c>
      <c r="C1669">
        <v>9</v>
      </c>
      <c r="D1669">
        <v>65.5</v>
      </c>
      <c r="E1669">
        <v>589.5</v>
      </c>
      <c r="F1669" s="2">
        <v>45719</v>
      </c>
      <c r="G1669" s="2">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ht="18" x14ac:dyDescent="0.5">
      <c r="A1670" t="s">
        <v>1769</v>
      </c>
      <c r="B1670" t="s">
        <v>39</v>
      </c>
      <c r="C1670">
        <v>3</v>
      </c>
      <c r="D1670">
        <v>52.8</v>
      </c>
      <c r="E1670">
        <v>158.39999999999998</v>
      </c>
      <c r="F1670" s="2">
        <v>45719</v>
      </c>
      <c r="G1670" s="2">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ht="18" x14ac:dyDescent="0.5">
      <c r="A1671" t="s">
        <v>1770</v>
      </c>
      <c r="B1671" t="s">
        <v>46</v>
      </c>
      <c r="C1671">
        <v>5</v>
      </c>
      <c r="D1671">
        <v>24</v>
      </c>
      <c r="E1671">
        <v>120</v>
      </c>
      <c r="F1671" s="2">
        <v>45719</v>
      </c>
      <c r="G1671" s="2">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ht="18" x14ac:dyDescent="0.5">
      <c r="A1672" t="s">
        <v>1771</v>
      </c>
      <c r="B1672" t="s">
        <v>30</v>
      </c>
      <c r="C1672">
        <v>3</v>
      </c>
      <c r="D1672">
        <v>51.2</v>
      </c>
      <c r="E1672">
        <v>153.60000000000002</v>
      </c>
      <c r="F1672" s="2">
        <v>45719</v>
      </c>
      <c r="G1672" s="2">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ht="18" x14ac:dyDescent="0.5">
      <c r="A1673" t="s">
        <v>1772</v>
      </c>
      <c r="B1673" t="s">
        <v>37</v>
      </c>
      <c r="C1673">
        <v>3</v>
      </c>
      <c r="D1673">
        <v>28.3</v>
      </c>
      <c r="E1673">
        <v>84.9</v>
      </c>
      <c r="F1673" s="2">
        <v>45719</v>
      </c>
      <c r="G1673" s="2">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ht="18" x14ac:dyDescent="0.5">
      <c r="A1674" t="s">
        <v>1773</v>
      </c>
      <c r="B1674" t="s">
        <v>39</v>
      </c>
      <c r="C1674">
        <v>3</v>
      </c>
      <c r="D1674">
        <v>42.3</v>
      </c>
      <c r="E1674">
        <v>126.89999999999999</v>
      </c>
      <c r="F1674" s="2">
        <v>45719</v>
      </c>
      <c r="G1674" s="2">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ht="18" x14ac:dyDescent="0.5">
      <c r="A1675" t="s">
        <v>1774</v>
      </c>
      <c r="B1675" t="s">
        <v>26</v>
      </c>
      <c r="C1675">
        <v>8</v>
      </c>
      <c r="D1675">
        <v>163.30000000000001</v>
      </c>
      <c r="E1675">
        <v>1306.4000000000001</v>
      </c>
      <c r="F1675" s="2">
        <v>45720</v>
      </c>
      <c r="G1675" s="2">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ht="18" x14ac:dyDescent="0.5">
      <c r="A1676" t="s">
        <v>1775</v>
      </c>
      <c r="B1676" t="s">
        <v>39</v>
      </c>
      <c r="C1676">
        <v>7</v>
      </c>
      <c r="D1676">
        <v>47.3</v>
      </c>
      <c r="E1676">
        <v>331.09999999999997</v>
      </c>
      <c r="F1676" s="2">
        <v>45720</v>
      </c>
      <c r="G1676" s="2">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ht="18" x14ac:dyDescent="0.5">
      <c r="A1677" t="s">
        <v>1776</v>
      </c>
      <c r="B1677" t="s">
        <v>44</v>
      </c>
      <c r="C1677">
        <v>16</v>
      </c>
      <c r="D1677">
        <v>27.3</v>
      </c>
      <c r="E1677">
        <v>436.8</v>
      </c>
      <c r="F1677" s="2">
        <v>45720</v>
      </c>
      <c r="G1677" s="2">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ht="18" x14ac:dyDescent="0.5">
      <c r="A1678" t="s">
        <v>1777</v>
      </c>
      <c r="B1678" t="s">
        <v>54</v>
      </c>
      <c r="C1678">
        <v>6</v>
      </c>
      <c r="D1678">
        <v>34.9</v>
      </c>
      <c r="E1678">
        <v>209.39999999999998</v>
      </c>
      <c r="F1678" s="2">
        <v>45720</v>
      </c>
      <c r="G1678" s="2">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ht="18" x14ac:dyDescent="0.5">
      <c r="A1679" t="s">
        <v>1778</v>
      </c>
      <c r="B1679" t="s">
        <v>39</v>
      </c>
      <c r="C1679">
        <v>2</v>
      </c>
      <c r="D1679">
        <v>53.9</v>
      </c>
      <c r="E1679">
        <v>107.8</v>
      </c>
      <c r="F1679" s="2">
        <v>45720</v>
      </c>
      <c r="G1679" s="2">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ht="18" x14ac:dyDescent="0.5">
      <c r="A1680" t="s">
        <v>1779</v>
      </c>
      <c r="B1680" t="s">
        <v>26</v>
      </c>
      <c r="C1680">
        <v>2</v>
      </c>
      <c r="D1680">
        <v>87.2</v>
      </c>
      <c r="E1680">
        <v>174.4</v>
      </c>
      <c r="F1680" s="2">
        <v>45720</v>
      </c>
      <c r="G1680" s="2">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ht="18" x14ac:dyDescent="0.5">
      <c r="A1681" t="s">
        <v>1780</v>
      </c>
      <c r="B1681" t="s">
        <v>123</v>
      </c>
      <c r="C1681">
        <v>1</v>
      </c>
      <c r="D1681">
        <v>58.8</v>
      </c>
      <c r="E1681">
        <v>58.8</v>
      </c>
      <c r="F1681" s="2">
        <v>45720</v>
      </c>
      <c r="G1681" s="2">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ht="18" x14ac:dyDescent="0.5">
      <c r="A1682" t="s">
        <v>1781</v>
      </c>
      <c r="B1682" t="s">
        <v>26</v>
      </c>
      <c r="C1682">
        <v>7</v>
      </c>
      <c r="D1682">
        <v>125.5</v>
      </c>
      <c r="E1682">
        <v>878.5</v>
      </c>
      <c r="F1682" s="2">
        <v>45720</v>
      </c>
      <c r="G1682" s="2">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ht="18" x14ac:dyDescent="0.5">
      <c r="A1683" t="s">
        <v>1782</v>
      </c>
      <c r="B1683" t="s">
        <v>22</v>
      </c>
      <c r="C1683">
        <v>4</v>
      </c>
      <c r="D1683">
        <v>124.6</v>
      </c>
      <c r="E1683">
        <v>498.4</v>
      </c>
      <c r="F1683" s="2">
        <v>45720</v>
      </c>
      <c r="G1683" s="2">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ht="18" x14ac:dyDescent="0.5">
      <c r="A1684" t="s">
        <v>1783</v>
      </c>
      <c r="B1684" t="s">
        <v>22</v>
      </c>
      <c r="C1684">
        <v>7</v>
      </c>
      <c r="D1684">
        <v>39.9</v>
      </c>
      <c r="E1684">
        <v>279.3</v>
      </c>
      <c r="F1684" s="2">
        <v>45720</v>
      </c>
      <c r="G1684" s="2">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ht="18" x14ac:dyDescent="0.5">
      <c r="A1685" t="s">
        <v>1784</v>
      </c>
      <c r="B1685" t="s">
        <v>39</v>
      </c>
      <c r="C1685">
        <v>1</v>
      </c>
      <c r="D1685">
        <v>94.6</v>
      </c>
      <c r="E1685">
        <v>94.6</v>
      </c>
      <c r="F1685" s="2">
        <v>45720</v>
      </c>
      <c r="G1685" s="2">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ht="18" x14ac:dyDescent="0.5">
      <c r="A1686" t="s">
        <v>1785</v>
      </c>
      <c r="B1686" t="s">
        <v>26</v>
      </c>
      <c r="C1686">
        <v>2</v>
      </c>
      <c r="D1686">
        <v>149.6</v>
      </c>
      <c r="E1686">
        <v>299.2</v>
      </c>
      <c r="F1686" s="2">
        <v>45720</v>
      </c>
      <c r="G1686" s="2">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ht="18" x14ac:dyDescent="0.5">
      <c r="A1687" t="s">
        <v>1786</v>
      </c>
      <c r="B1687" t="s">
        <v>44</v>
      </c>
      <c r="C1687">
        <v>1</v>
      </c>
      <c r="D1687">
        <v>52.2</v>
      </c>
      <c r="E1687">
        <v>52.2</v>
      </c>
      <c r="F1687" s="2">
        <v>45720</v>
      </c>
      <c r="G1687" s="2">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ht="18" x14ac:dyDescent="0.5">
      <c r="A1688" t="s">
        <v>1787</v>
      </c>
      <c r="B1688" t="s">
        <v>39</v>
      </c>
      <c r="C1688">
        <v>2</v>
      </c>
      <c r="D1688">
        <v>96.5</v>
      </c>
      <c r="E1688">
        <v>193</v>
      </c>
      <c r="F1688" s="2">
        <v>45720</v>
      </c>
      <c r="G1688" s="2">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ht="18" x14ac:dyDescent="0.5">
      <c r="A1689" t="s">
        <v>1788</v>
      </c>
      <c r="B1689" t="s">
        <v>44</v>
      </c>
      <c r="C1689">
        <v>2</v>
      </c>
      <c r="D1689">
        <v>79.8</v>
      </c>
      <c r="E1689">
        <v>159.6</v>
      </c>
      <c r="F1689" s="2">
        <v>45720</v>
      </c>
      <c r="G1689" s="2">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ht="18" x14ac:dyDescent="0.5">
      <c r="A1690" t="s">
        <v>1789</v>
      </c>
      <c r="B1690" t="s">
        <v>44</v>
      </c>
      <c r="C1690">
        <v>3</v>
      </c>
      <c r="D1690">
        <v>35.6</v>
      </c>
      <c r="E1690">
        <v>106.80000000000001</v>
      </c>
      <c r="F1690" s="2">
        <v>45720</v>
      </c>
      <c r="G1690" s="2">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ht="18" x14ac:dyDescent="0.5">
      <c r="A1691" t="s">
        <v>1790</v>
      </c>
      <c r="B1691" t="s">
        <v>128</v>
      </c>
      <c r="C1691">
        <v>1</v>
      </c>
      <c r="D1691">
        <v>50.2</v>
      </c>
      <c r="E1691">
        <v>50.2</v>
      </c>
      <c r="F1691" s="2">
        <v>45720</v>
      </c>
      <c r="G1691" s="2">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ht="18" x14ac:dyDescent="0.5">
      <c r="A1692" t="s">
        <v>1791</v>
      </c>
      <c r="B1692" t="s">
        <v>22</v>
      </c>
      <c r="C1692">
        <v>3</v>
      </c>
      <c r="D1692">
        <v>55.3</v>
      </c>
      <c r="E1692">
        <v>165.89999999999998</v>
      </c>
      <c r="F1692" s="2">
        <v>45720</v>
      </c>
      <c r="G1692" s="2">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ht="18" x14ac:dyDescent="0.5">
      <c r="A1693" t="s">
        <v>1792</v>
      </c>
      <c r="B1693" t="s">
        <v>39</v>
      </c>
      <c r="C1693">
        <v>7</v>
      </c>
      <c r="D1693">
        <v>104.5</v>
      </c>
      <c r="E1693">
        <v>731.5</v>
      </c>
      <c r="F1693" s="2">
        <v>45720</v>
      </c>
      <c r="G1693" s="2">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ht="18" x14ac:dyDescent="0.5">
      <c r="A1694" t="s">
        <v>1793</v>
      </c>
      <c r="B1694" t="s">
        <v>39</v>
      </c>
      <c r="C1694">
        <v>4</v>
      </c>
      <c r="D1694">
        <v>66.5</v>
      </c>
      <c r="E1694">
        <v>266</v>
      </c>
      <c r="F1694" s="2">
        <v>45720</v>
      </c>
      <c r="G1694" s="2">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ht="18" x14ac:dyDescent="0.5">
      <c r="A1695" t="s">
        <v>1794</v>
      </c>
      <c r="B1695" t="s">
        <v>54</v>
      </c>
      <c r="C1695">
        <v>8</v>
      </c>
      <c r="D1695">
        <v>38.299999999999997</v>
      </c>
      <c r="E1695">
        <v>306.39999999999998</v>
      </c>
      <c r="F1695" s="2">
        <v>45720</v>
      </c>
      <c r="G1695" s="2">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ht="18" x14ac:dyDescent="0.5">
      <c r="A1696" t="s">
        <v>1795</v>
      </c>
      <c r="B1696" t="s">
        <v>39</v>
      </c>
      <c r="C1696">
        <v>3</v>
      </c>
      <c r="D1696">
        <v>63.8</v>
      </c>
      <c r="E1696">
        <v>191.39999999999998</v>
      </c>
      <c r="F1696" s="2">
        <v>45720</v>
      </c>
      <c r="G1696" s="2">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ht="18" x14ac:dyDescent="0.5">
      <c r="A1697" t="s">
        <v>1796</v>
      </c>
      <c r="B1697" t="s">
        <v>123</v>
      </c>
      <c r="C1697">
        <v>1</v>
      </c>
      <c r="D1697">
        <v>21.4</v>
      </c>
      <c r="E1697">
        <v>21.4</v>
      </c>
      <c r="F1697" s="2">
        <v>45720</v>
      </c>
      <c r="G1697" s="2">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ht="18" x14ac:dyDescent="0.5">
      <c r="A1698" t="s">
        <v>1797</v>
      </c>
      <c r="B1698" t="s">
        <v>44</v>
      </c>
      <c r="C1698">
        <v>4</v>
      </c>
      <c r="D1698">
        <v>44.1</v>
      </c>
      <c r="E1698">
        <v>176.4</v>
      </c>
      <c r="F1698" s="2">
        <v>45720</v>
      </c>
      <c r="G1698" s="2">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ht="18" x14ac:dyDescent="0.5">
      <c r="A1699" t="s">
        <v>1798</v>
      </c>
      <c r="B1699" t="s">
        <v>37</v>
      </c>
      <c r="C1699">
        <v>8</v>
      </c>
      <c r="D1699">
        <v>57.6</v>
      </c>
      <c r="E1699">
        <v>460.8</v>
      </c>
      <c r="F1699" s="2">
        <v>45720</v>
      </c>
      <c r="G1699" s="2">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ht="18" x14ac:dyDescent="0.5">
      <c r="A1700" t="s">
        <v>1799</v>
      </c>
      <c r="B1700" t="s">
        <v>46</v>
      </c>
      <c r="C1700">
        <v>2</v>
      </c>
      <c r="D1700">
        <v>20.3</v>
      </c>
      <c r="E1700">
        <v>40.6</v>
      </c>
      <c r="F1700" s="2">
        <v>45720</v>
      </c>
      <c r="G1700" s="2">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ht="18" x14ac:dyDescent="0.5">
      <c r="A1701" t="s">
        <v>1800</v>
      </c>
      <c r="B1701" t="s">
        <v>44</v>
      </c>
      <c r="C1701">
        <v>1</v>
      </c>
      <c r="D1701">
        <v>22.9</v>
      </c>
      <c r="E1701">
        <v>22.9</v>
      </c>
      <c r="F1701" s="2">
        <v>45720</v>
      </c>
      <c r="G1701" s="2">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ht="18" x14ac:dyDescent="0.5">
      <c r="A1702" t="s">
        <v>1801</v>
      </c>
      <c r="B1702" t="s">
        <v>39</v>
      </c>
      <c r="C1702">
        <v>4</v>
      </c>
      <c r="D1702">
        <v>105.9</v>
      </c>
      <c r="E1702">
        <v>423.6</v>
      </c>
      <c r="F1702" s="2">
        <v>45720</v>
      </c>
      <c r="G1702" s="2">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ht="18" x14ac:dyDescent="0.5">
      <c r="A1703" t="s">
        <v>1802</v>
      </c>
      <c r="B1703" t="s">
        <v>22</v>
      </c>
      <c r="C1703">
        <v>9</v>
      </c>
      <c r="D1703">
        <v>37.4</v>
      </c>
      <c r="E1703">
        <v>336.59999999999997</v>
      </c>
      <c r="F1703" s="2">
        <v>45720</v>
      </c>
      <c r="G1703" s="2">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ht="18" x14ac:dyDescent="0.5">
      <c r="A1704" t="s">
        <v>1803</v>
      </c>
      <c r="B1704" t="s">
        <v>146</v>
      </c>
      <c r="C1704">
        <v>2</v>
      </c>
      <c r="D1704">
        <v>79</v>
      </c>
      <c r="E1704">
        <v>158</v>
      </c>
      <c r="F1704" s="2">
        <v>45720</v>
      </c>
      <c r="G1704" s="2">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ht="18" x14ac:dyDescent="0.5">
      <c r="A1705" t="s">
        <v>1804</v>
      </c>
      <c r="B1705" t="s">
        <v>16</v>
      </c>
      <c r="C1705">
        <v>3</v>
      </c>
      <c r="D1705">
        <v>19.3</v>
      </c>
      <c r="E1705">
        <v>57.900000000000006</v>
      </c>
      <c r="F1705" s="2">
        <v>45720</v>
      </c>
      <c r="G1705" s="2">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ht="18" x14ac:dyDescent="0.5">
      <c r="A1706" t="s">
        <v>1805</v>
      </c>
      <c r="B1706" t="s">
        <v>16</v>
      </c>
      <c r="C1706">
        <v>1</v>
      </c>
      <c r="D1706">
        <v>24</v>
      </c>
      <c r="E1706">
        <v>24</v>
      </c>
      <c r="F1706" s="2">
        <v>45720</v>
      </c>
      <c r="G1706" s="2">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ht="18" x14ac:dyDescent="0.5">
      <c r="A1707" t="s">
        <v>1806</v>
      </c>
      <c r="B1707" t="s">
        <v>39</v>
      </c>
      <c r="C1707">
        <v>5</v>
      </c>
      <c r="D1707">
        <v>71.3</v>
      </c>
      <c r="E1707">
        <v>356.5</v>
      </c>
      <c r="F1707" s="2">
        <v>45720</v>
      </c>
      <c r="G1707" s="2">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ht="18" x14ac:dyDescent="0.5">
      <c r="A1708" t="s">
        <v>1807</v>
      </c>
      <c r="B1708" t="s">
        <v>37</v>
      </c>
      <c r="C1708">
        <v>2</v>
      </c>
      <c r="D1708">
        <v>166.2</v>
      </c>
      <c r="E1708">
        <v>332.4</v>
      </c>
      <c r="F1708" s="2">
        <v>45720</v>
      </c>
      <c r="G1708" s="2">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ht="18" x14ac:dyDescent="0.5">
      <c r="A1709" t="s">
        <v>1808</v>
      </c>
      <c r="B1709" t="s">
        <v>39</v>
      </c>
      <c r="C1709">
        <v>1</v>
      </c>
      <c r="D1709">
        <v>81</v>
      </c>
      <c r="E1709">
        <v>81</v>
      </c>
      <c r="F1709" s="2">
        <v>45720</v>
      </c>
      <c r="G1709" s="2">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ht="18" x14ac:dyDescent="0.5">
      <c r="A1710" t="s">
        <v>1809</v>
      </c>
      <c r="B1710" t="s">
        <v>54</v>
      </c>
      <c r="C1710">
        <v>6</v>
      </c>
      <c r="D1710">
        <v>38.5</v>
      </c>
      <c r="E1710">
        <v>231</v>
      </c>
      <c r="F1710" s="2">
        <v>45720</v>
      </c>
      <c r="G1710" s="2">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ht="18" x14ac:dyDescent="0.5">
      <c r="A1711" t="s">
        <v>1810</v>
      </c>
      <c r="B1711" t="s">
        <v>39</v>
      </c>
      <c r="C1711">
        <v>1</v>
      </c>
      <c r="D1711">
        <v>86.1</v>
      </c>
      <c r="E1711">
        <v>86.1</v>
      </c>
      <c r="F1711" s="2">
        <v>45720</v>
      </c>
      <c r="G1711" s="2">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ht="18" x14ac:dyDescent="0.5">
      <c r="A1712" t="s">
        <v>1811</v>
      </c>
      <c r="B1712" t="s">
        <v>26</v>
      </c>
      <c r="C1712">
        <v>5</v>
      </c>
      <c r="D1712">
        <v>51</v>
      </c>
      <c r="E1712">
        <v>255</v>
      </c>
      <c r="F1712" s="2">
        <v>45720</v>
      </c>
      <c r="G1712" s="2">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ht="18" x14ac:dyDescent="0.5">
      <c r="A1713" t="s">
        <v>1812</v>
      </c>
      <c r="B1713" t="s">
        <v>30</v>
      </c>
      <c r="C1713">
        <v>5</v>
      </c>
      <c r="D1713">
        <v>115.4</v>
      </c>
      <c r="E1713">
        <v>577</v>
      </c>
      <c r="F1713" s="2">
        <v>45720</v>
      </c>
      <c r="G1713" s="2">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ht="18" x14ac:dyDescent="0.5">
      <c r="A1714" t="s">
        <v>1813</v>
      </c>
      <c r="B1714" t="s">
        <v>39</v>
      </c>
      <c r="C1714">
        <v>4</v>
      </c>
      <c r="D1714">
        <v>176.5</v>
      </c>
      <c r="E1714">
        <v>706</v>
      </c>
      <c r="F1714" s="2">
        <v>45720</v>
      </c>
      <c r="G1714" s="2">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ht="18" x14ac:dyDescent="0.5">
      <c r="A1715" t="s">
        <v>1814</v>
      </c>
      <c r="B1715" t="s">
        <v>42</v>
      </c>
      <c r="C1715">
        <v>3</v>
      </c>
      <c r="D1715">
        <v>48.9</v>
      </c>
      <c r="E1715">
        <v>146.69999999999999</v>
      </c>
      <c r="F1715" s="2">
        <v>45720</v>
      </c>
      <c r="G1715" s="2">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ht="18" x14ac:dyDescent="0.5">
      <c r="A1716" t="s">
        <v>1815</v>
      </c>
      <c r="B1716" t="s">
        <v>44</v>
      </c>
      <c r="C1716">
        <v>3</v>
      </c>
      <c r="D1716">
        <v>18.100000000000001</v>
      </c>
      <c r="E1716">
        <v>54.300000000000004</v>
      </c>
      <c r="F1716" s="2">
        <v>45720</v>
      </c>
      <c r="G1716" s="2">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ht="18" x14ac:dyDescent="0.5">
      <c r="A1717" t="s">
        <v>1816</v>
      </c>
      <c r="B1717" t="s">
        <v>26</v>
      </c>
      <c r="C1717">
        <v>2</v>
      </c>
      <c r="D1717">
        <v>118.5</v>
      </c>
      <c r="E1717">
        <v>237</v>
      </c>
      <c r="F1717" s="2">
        <v>45720</v>
      </c>
      <c r="G1717" s="2">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ht="18" x14ac:dyDescent="0.5">
      <c r="A1718" t="s">
        <v>1817</v>
      </c>
      <c r="B1718" t="s">
        <v>123</v>
      </c>
      <c r="C1718">
        <v>7</v>
      </c>
      <c r="D1718">
        <v>59.1</v>
      </c>
      <c r="E1718">
        <v>413.7</v>
      </c>
      <c r="F1718" s="2">
        <v>45720</v>
      </c>
      <c r="G1718" s="2">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ht="18" x14ac:dyDescent="0.5">
      <c r="A1719" t="s">
        <v>1818</v>
      </c>
      <c r="B1719" t="s">
        <v>32</v>
      </c>
      <c r="C1719">
        <v>1</v>
      </c>
      <c r="D1719">
        <v>21.2</v>
      </c>
      <c r="E1719">
        <v>21.2</v>
      </c>
      <c r="F1719" s="2">
        <v>45720</v>
      </c>
      <c r="G1719" s="2">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ht="18" x14ac:dyDescent="0.5">
      <c r="A1720" t="s">
        <v>1819</v>
      </c>
      <c r="B1720" t="s">
        <v>39</v>
      </c>
      <c r="C1720">
        <v>2</v>
      </c>
      <c r="D1720">
        <v>68.8</v>
      </c>
      <c r="E1720">
        <v>137.6</v>
      </c>
      <c r="F1720" s="2">
        <v>45720</v>
      </c>
      <c r="G1720" s="2">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ht="18" x14ac:dyDescent="0.5">
      <c r="A1721" t="s">
        <v>1820</v>
      </c>
      <c r="B1721" t="s">
        <v>39</v>
      </c>
      <c r="C1721">
        <v>2</v>
      </c>
      <c r="D1721">
        <v>65.400000000000006</v>
      </c>
      <c r="E1721">
        <v>130.80000000000001</v>
      </c>
      <c r="F1721" s="2">
        <v>45720</v>
      </c>
      <c r="G1721" s="2">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ht="18" x14ac:dyDescent="0.5">
      <c r="A1722" t="s">
        <v>1821</v>
      </c>
      <c r="B1722" t="s">
        <v>69</v>
      </c>
      <c r="C1722">
        <v>5</v>
      </c>
      <c r="D1722">
        <v>66.3</v>
      </c>
      <c r="E1722">
        <v>331.5</v>
      </c>
      <c r="F1722" s="2">
        <v>45721</v>
      </c>
      <c r="G1722" s="2">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ht="18" x14ac:dyDescent="0.5">
      <c r="A1723" t="s">
        <v>1822</v>
      </c>
      <c r="B1723" t="s">
        <v>39</v>
      </c>
      <c r="C1723">
        <v>3</v>
      </c>
      <c r="D1723">
        <v>97.5</v>
      </c>
      <c r="E1723">
        <v>292.5</v>
      </c>
      <c r="F1723" s="2">
        <v>45721</v>
      </c>
      <c r="G1723" s="2">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ht="18" x14ac:dyDescent="0.5">
      <c r="A1724" t="s">
        <v>1823</v>
      </c>
      <c r="B1724" t="s">
        <v>22</v>
      </c>
      <c r="C1724">
        <v>2</v>
      </c>
      <c r="D1724">
        <v>44</v>
      </c>
      <c r="E1724">
        <v>88</v>
      </c>
      <c r="F1724" s="2">
        <v>45721</v>
      </c>
      <c r="G1724" s="2">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ht="18" x14ac:dyDescent="0.5">
      <c r="A1725" t="s">
        <v>1824</v>
      </c>
      <c r="B1725" t="s">
        <v>16</v>
      </c>
      <c r="C1725">
        <v>1</v>
      </c>
      <c r="D1725">
        <v>21.9</v>
      </c>
      <c r="E1725">
        <v>21.9</v>
      </c>
      <c r="F1725" s="2">
        <v>45721</v>
      </c>
      <c r="G1725" s="2">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ht="18" x14ac:dyDescent="0.5">
      <c r="A1726" t="s">
        <v>1825</v>
      </c>
      <c r="B1726" t="s">
        <v>32</v>
      </c>
      <c r="C1726">
        <v>7</v>
      </c>
      <c r="D1726">
        <v>21.5</v>
      </c>
      <c r="E1726">
        <v>150.5</v>
      </c>
      <c r="F1726" s="2">
        <v>45721</v>
      </c>
      <c r="G1726" s="2">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ht="18" x14ac:dyDescent="0.5">
      <c r="A1727" t="s">
        <v>1826</v>
      </c>
      <c r="B1727" t="s">
        <v>69</v>
      </c>
      <c r="C1727">
        <v>6</v>
      </c>
      <c r="D1727">
        <v>133</v>
      </c>
      <c r="E1727">
        <v>798</v>
      </c>
      <c r="F1727" s="2">
        <v>45721</v>
      </c>
      <c r="G1727" s="2">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ht="18" x14ac:dyDescent="0.5">
      <c r="A1728" t="s">
        <v>1827</v>
      </c>
      <c r="B1728" t="s">
        <v>44</v>
      </c>
      <c r="C1728">
        <v>2</v>
      </c>
      <c r="D1728">
        <v>47.7</v>
      </c>
      <c r="E1728">
        <v>95.4</v>
      </c>
      <c r="F1728" s="2">
        <v>45721</v>
      </c>
      <c r="G1728" s="2">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ht="18" x14ac:dyDescent="0.5">
      <c r="A1729" t="s">
        <v>1828</v>
      </c>
      <c r="B1729" t="s">
        <v>128</v>
      </c>
      <c r="C1729">
        <v>3</v>
      </c>
      <c r="D1729">
        <v>58.1</v>
      </c>
      <c r="E1729">
        <v>174.3</v>
      </c>
      <c r="F1729" s="2">
        <v>45721</v>
      </c>
      <c r="G1729" s="2">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ht="18" x14ac:dyDescent="0.5">
      <c r="A1730" t="s">
        <v>1829</v>
      </c>
      <c r="B1730" t="s">
        <v>69</v>
      </c>
      <c r="C1730">
        <v>4</v>
      </c>
      <c r="D1730">
        <v>66.599999999999994</v>
      </c>
      <c r="E1730">
        <v>266.39999999999998</v>
      </c>
      <c r="F1730" s="2">
        <v>45721</v>
      </c>
      <c r="G1730" s="2">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ht="18" x14ac:dyDescent="0.5">
      <c r="A1731" t="s">
        <v>1830</v>
      </c>
      <c r="B1731" t="s">
        <v>46</v>
      </c>
      <c r="C1731">
        <v>1</v>
      </c>
      <c r="D1731">
        <v>24.1</v>
      </c>
      <c r="E1731">
        <v>24.1</v>
      </c>
      <c r="F1731" s="2">
        <v>45721</v>
      </c>
      <c r="G1731" s="2">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ht="18" x14ac:dyDescent="0.5">
      <c r="A1732" t="s">
        <v>1831</v>
      </c>
      <c r="B1732" t="s">
        <v>54</v>
      </c>
      <c r="C1732">
        <v>5</v>
      </c>
      <c r="D1732">
        <v>51.5</v>
      </c>
      <c r="E1732">
        <v>257.5</v>
      </c>
      <c r="F1732" s="2">
        <v>45721</v>
      </c>
      <c r="G1732" s="2">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ht="18" x14ac:dyDescent="0.5">
      <c r="A1733" t="s">
        <v>1832</v>
      </c>
      <c r="B1733" t="s">
        <v>16</v>
      </c>
      <c r="C1733">
        <v>11</v>
      </c>
      <c r="D1733">
        <v>25.8</v>
      </c>
      <c r="E1733">
        <v>283.8</v>
      </c>
      <c r="F1733" s="2">
        <v>45721</v>
      </c>
      <c r="G1733" s="2">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ht="18" x14ac:dyDescent="0.5">
      <c r="A1734" t="s">
        <v>1833</v>
      </c>
      <c r="B1734" t="s">
        <v>46</v>
      </c>
      <c r="C1734">
        <v>4</v>
      </c>
      <c r="D1734">
        <v>47.7</v>
      </c>
      <c r="E1734">
        <v>190.8</v>
      </c>
      <c r="F1734" s="2">
        <v>45721</v>
      </c>
      <c r="G1734" s="2">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ht="18" x14ac:dyDescent="0.5">
      <c r="A1735" t="s">
        <v>1834</v>
      </c>
      <c r="B1735" t="s">
        <v>42</v>
      </c>
      <c r="C1735">
        <v>5</v>
      </c>
      <c r="D1735">
        <v>73.599999999999994</v>
      </c>
      <c r="E1735">
        <v>368</v>
      </c>
      <c r="F1735" s="2">
        <v>45721</v>
      </c>
      <c r="G1735" s="2">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ht="18" x14ac:dyDescent="0.5">
      <c r="A1736" t="s">
        <v>1835</v>
      </c>
      <c r="B1736" t="s">
        <v>37</v>
      </c>
      <c r="C1736">
        <v>7</v>
      </c>
      <c r="D1736">
        <v>91.2</v>
      </c>
      <c r="E1736">
        <v>638.4</v>
      </c>
      <c r="F1736" s="2">
        <v>45721</v>
      </c>
      <c r="G1736" s="2">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ht="18" x14ac:dyDescent="0.5">
      <c r="A1737" t="s">
        <v>1836</v>
      </c>
      <c r="B1737" t="s">
        <v>22</v>
      </c>
      <c r="C1737">
        <v>8</v>
      </c>
      <c r="D1737">
        <v>36.200000000000003</v>
      </c>
      <c r="E1737">
        <v>289.60000000000002</v>
      </c>
      <c r="F1737" s="2">
        <v>45721</v>
      </c>
      <c r="G1737" s="2">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ht="18" x14ac:dyDescent="0.5">
      <c r="A1738" t="s">
        <v>1837</v>
      </c>
      <c r="B1738" t="s">
        <v>46</v>
      </c>
      <c r="C1738">
        <v>8</v>
      </c>
      <c r="D1738">
        <v>98</v>
      </c>
      <c r="E1738">
        <v>784</v>
      </c>
      <c r="F1738" s="2">
        <v>45721</v>
      </c>
      <c r="G1738" s="2">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ht="18" x14ac:dyDescent="0.5">
      <c r="A1739" t="s">
        <v>1838</v>
      </c>
      <c r="B1739" t="s">
        <v>22</v>
      </c>
      <c r="C1739">
        <v>8</v>
      </c>
      <c r="D1739">
        <v>43.6</v>
      </c>
      <c r="E1739">
        <v>348.8</v>
      </c>
      <c r="F1739" s="2">
        <v>45721</v>
      </c>
      <c r="G1739" s="2">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ht="18" x14ac:dyDescent="0.5">
      <c r="A1740" t="s">
        <v>1839</v>
      </c>
      <c r="B1740" t="s">
        <v>44</v>
      </c>
      <c r="C1740">
        <v>10</v>
      </c>
      <c r="D1740">
        <v>37.799999999999997</v>
      </c>
      <c r="E1740">
        <v>378</v>
      </c>
      <c r="F1740" s="2">
        <v>45721</v>
      </c>
      <c r="G1740" s="2">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ht="18" x14ac:dyDescent="0.5">
      <c r="A1741" t="s">
        <v>1840</v>
      </c>
      <c r="B1741" t="s">
        <v>135</v>
      </c>
      <c r="C1741">
        <v>5</v>
      </c>
      <c r="D1741">
        <v>63.7</v>
      </c>
      <c r="E1741">
        <v>318.5</v>
      </c>
      <c r="F1741" s="2">
        <v>45721</v>
      </c>
      <c r="G1741" s="2">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ht="18" x14ac:dyDescent="0.5">
      <c r="A1742" t="s">
        <v>1841</v>
      </c>
      <c r="B1742" t="s">
        <v>37</v>
      </c>
      <c r="C1742">
        <v>9</v>
      </c>
      <c r="D1742">
        <v>62.9</v>
      </c>
      <c r="E1742">
        <v>566.1</v>
      </c>
      <c r="F1742" s="2">
        <v>45721</v>
      </c>
      <c r="G1742" s="2">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ht="18" x14ac:dyDescent="0.5">
      <c r="A1743" t="s">
        <v>1842</v>
      </c>
      <c r="B1743" t="s">
        <v>39</v>
      </c>
      <c r="C1743">
        <v>7</v>
      </c>
      <c r="D1743">
        <v>61.7</v>
      </c>
      <c r="E1743">
        <v>431.90000000000003</v>
      </c>
      <c r="F1743" s="2">
        <v>45721</v>
      </c>
      <c r="G1743" s="2">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ht="18" x14ac:dyDescent="0.5">
      <c r="A1744" t="s">
        <v>1843</v>
      </c>
      <c r="B1744" t="s">
        <v>146</v>
      </c>
      <c r="C1744">
        <v>14</v>
      </c>
      <c r="D1744">
        <v>36.5</v>
      </c>
      <c r="E1744">
        <v>511</v>
      </c>
      <c r="F1744" s="2">
        <v>45721</v>
      </c>
      <c r="G1744" s="2">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ht="18" x14ac:dyDescent="0.5">
      <c r="A1745" t="s">
        <v>1844</v>
      </c>
      <c r="B1745" t="s">
        <v>67</v>
      </c>
      <c r="C1745">
        <v>3</v>
      </c>
      <c r="D1745">
        <v>98.6</v>
      </c>
      <c r="E1745">
        <v>295.79999999999995</v>
      </c>
      <c r="F1745" s="2">
        <v>45721</v>
      </c>
      <c r="G1745" s="2">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ht="18" x14ac:dyDescent="0.5">
      <c r="A1746" t="s">
        <v>1845</v>
      </c>
      <c r="B1746" t="s">
        <v>44</v>
      </c>
      <c r="C1746">
        <v>2</v>
      </c>
      <c r="D1746">
        <v>19.2</v>
      </c>
      <c r="E1746">
        <v>38.4</v>
      </c>
      <c r="F1746" s="2">
        <v>45721</v>
      </c>
      <c r="G1746" s="2">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ht="18" x14ac:dyDescent="0.5">
      <c r="A1747" t="s">
        <v>1846</v>
      </c>
      <c r="B1747" t="s">
        <v>30</v>
      </c>
      <c r="C1747">
        <v>6</v>
      </c>
      <c r="D1747">
        <v>55.6</v>
      </c>
      <c r="E1747">
        <v>333.6</v>
      </c>
      <c r="F1747" s="2">
        <v>45721</v>
      </c>
      <c r="G1747" s="2">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ht="18" x14ac:dyDescent="0.5">
      <c r="A1748" t="s">
        <v>1847</v>
      </c>
      <c r="B1748" t="s">
        <v>37</v>
      </c>
      <c r="C1748">
        <v>6</v>
      </c>
      <c r="D1748">
        <v>56.4</v>
      </c>
      <c r="E1748">
        <v>338.4</v>
      </c>
      <c r="F1748" s="2">
        <v>45721</v>
      </c>
      <c r="G1748" s="2">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ht="18" x14ac:dyDescent="0.5">
      <c r="A1749" t="s">
        <v>1848</v>
      </c>
      <c r="B1749" t="s">
        <v>32</v>
      </c>
      <c r="C1749">
        <v>8</v>
      </c>
      <c r="D1749">
        <v>43.1</v>
      </c>
      <c r="E1749">
        <v>344.8</v>
      </c>
      <c r="F1749" s="2">
        <v>45721</v>
      </c>
      <c r="G1749" s="2">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ht="18" x14ac:dyDescent="0.5">
      <c r="A1750" t="s">
        <v>1849</v>
      </c>
      <c r="B1750" t="s">
        <v>22</v>
      </c>
      <c r="C1750">
        <v>2</v>
      </c>
      <c r="D1750">
        <v>77.3</v>
      </c>
      <c r="E1750">
        <v>154.6</v>
      </c>
      <c r="F1750" s="2">
        <v>45721</v>
      </c>
      <c r="G1750" s="2">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ht="18" x14ac:dyDescent="0.5">
      <c r="A1751" t="s">
        <v>1850</v>
      </c>
      <c r="B1751" t="s">
        <v>46</v>
      </c>
      <c r="C1751">
        <v>8</v>
      </c>
      <c r="D1751">
        <v>38.299999999999997</v>
      </c>
      <c r="E1751">
        <v>306.39999999999998</v>
      </c>
      <c r="F1751" s="2">
        <v>45721</v>
      </c>
      <c r="G1751" s="2">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ht="18" x14ac:dyDescent="0.5">
      <c r="A1752" t="s">
        <v>1851</v>
      </c>
      <c r="B1752" t="s">
        <v>16</v>
      </c>
      <c r="C1752">
        <v>7</v>
      </c>
      <c r="D1752">
        <v>16.8</v>
      </c>
      <c r="E1752">
        <v>117.60000000000001</v>
      </c>
      <c r="F1752" s="2">
        <v>45721</v>
      </c>
      <c r="G1752" s="2">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ht="18" x14ac:dyDescent="0.5">
      <c r="A1753" t="s">
        <v>1852</v>
      </c>
      <c r="B1753" t="s">
        <v>26</v>
      </c>
      <c r="C1753">
        <v>3</v>
      </c>
      <c r="D1753">
        <v>63.2</v>
      </c>
      <c r="E1753">
        <v>189.60000000000002</v>
      </c>
      <c r="F1753" s="2">
        <v>45721</v>
      </c>
      <c r="G1753" s="2">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ht="18" x14ac:dyDescent="0.5">
      <c r="A1754" t="s">
        <v>1853</v>
      </c>
      <c r="B1754" t="s">
        <v>81</v>
      </c>
      <c r="C1754">
        <v>23</v>
      </c>
      <c r="D1754">
        <v>39.700000000000003</v>
      </c>
      <c r="E1754">
        <v>913.1</v>
      </c>
      <c r="F1754" s="2">
        <v>45721</v>
      </c>
      <c r="G1754" s="2">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ht="18" x14ac:dyDescent="0.5">
      <c r="A1755" t="s">
        <v>1854</v>
      </c>
      <c r="B1755" t="s">
        <v>54</v>
      </c>
      <c r="C1755">
        <v>3</v>
      </c>
      <c r="D1755">
        <v>45.8</v>
      </c>
      <c r="E1755">
        <v>137.39999999999998</v>
      </c>
      <c r="F1755" s="2">
        <v>45721</v>
      </c>
      <c r="G1755" s="2">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ht="18" x14ac:dyDescent="0.5">
      <c r="A1756" t="s">
        <v>1855</v>
      </c>
      <c r="B1756" t="s">
        <v>16</v>
      </c>
      <c r="C1756">
        <v>6</v>
      </c>
      <c r="D1756">
        <v>12.4</v>
      </c>
      <c r="E1756">
        <v>74.400000000000006</v>
      </c>
      <c r="F1756" s="2">
        <v>45721</v>
      </c>
      <c r="G1756" s="2">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ht="18" x14ac:dyDescent="0.5">
      <c r="A1757" t="s">
        <v>1856</v>
      </c>
      <c r="B1757" t="s">
        <v>81</v>
      </c>
      <c r="C1757">
        <v>3</v>
      </c>
      <c r="D1757">
        <v>50.8</v>
      </c>
      <c r="E1757">
        <v>152.39999999999998</v>
      </c>
      <c r="F1757" s="2">
        <v>45722</v>
      </c>
      <c r="G1757" s="2">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ht="18" x14ac:dyDescent="0.5">
      <c r="A1758" t="s">
        <v>1857</v>
      </c>
      <c r="B1758" t="s">
        <v>46</v>
      </c>
      <c r="C1758">
        <v>1</v>
      </c>
      <c r="D1758">
        <v>76</v>
      </c>
      <c r="E1758">
        <v>76</v>
      </c>
      <c r="F1758" s="2">
        <v>45722</v>
      </c>
      <c r="G1758" s="2">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ht="18" x14ac:dyDescent="0.5">
      <c r="A1759" t="s">
        <v>1858</v>
      </c>
      <c r="B1759" t="s">
        <v>22</v>
      </c>
      <c r="C1759">
        <v>2</v>
      </c>
      <c r="D1759">
        <v>51.9</v>
      </c>
      <c r="E1759">
        <v>103.8</v>
      </c>
      <c r="F1759" s="2">
        <v>45722</v>
      </c>
      <c r="G1759" s="2">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ht="18" x14ac:dyDescent="0.5">
      <c r="A1760" t="s">
        <v>1859</v>
      </c>
      <c r="B1760" t="s">
        <v>26</v>
      </c>
      <c r="C1760">
        <v>2</v>
      </c>
      <c r="D1760">
        <v>93.4</v>
      </c>
      <c r="E1760">
        <v>186.8</v>
      </c>
      <c r="F1760" s="2">
        <v>45722</v>
      </c>
      <c r="G1760" s="2">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ht="18" x14ac:dyDescent="0.5">
      <c r="A1761" t="s">
        <v>1860</v>
      </c>
      <c r="B1761" t="s">
        <v>42</v>
      </c>
      <c r="C1761">
        <v>6</v>
      </c>
      <c r="D1761">
        <v>30.8</v>
      </c>
      <c r="E1761">
        <v>184.8</v>
      </c>
      <c r="F1761" s="2">
        <v>45722</v>
      </c>
      <c r="G1761" s="2">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ht="18" x14ac:dyDescent="0.5">
      <c r="A1762" t="s">
        <v>1861</v>
      </c>
      <c r="B1762" t="s">
        <v>26</v>
      </c>
      <c r="C1762">
        <v>1</v>
      </c>
      <c r="D1762">
        <v>143.19999999999999</v>
      </c>
      <c r="E1762">
        <v>143.19999999999999</v>
      </c>
      <c r="F1762" s="2">
        <v>45722</v>
      </c>
      <c r="G1762" s="2">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ht="18" x14ac:dyDescent="0.5">
      <c r="A1763" t="s">
        <v>1862</v>
      </c>
      <c r="B1763" t="s">
        <v>39</v>
      </c>
      <c r="C1763">
        <v>11</v>
      </c>
      <c r="D1763">
        <v>40.4</v>
      </c>
      <c r="E1763">
        <v>444.4</v>
      </c>
      <c r="F1763" s="2">
        <v>45722</v>
      </c>
      <c r="G1763" s="2">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ht="18" x14ac:dyDescent="0.5">
      <c r="A1764" t="s">
        <v>1863</v>
      </c>
      <c r="B1764" t="s">
        <v>26</v>
      </c>
      <c r="C1764">
        <v>19</v>
      </c>
      <c r="D1764">
        <v>131.5</v>
      </c>
      <c r="E1764">
        <v>2498.5</v>
      </c>
      <c r="F1764" s="2">
        <v>45722</v>
      </c>
      <c r="G1764" s="2">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ht="18" x14ac:dyDescent="0.5">
      <c r="A1765" t="s">
        <v>1864</v>
      </c>
      <c r="B1765" t="s">
        <v>146</v>
      </c>
      <c r="C1765">
        <v>7</v>
      </c>
      <c r="D1765">
        <v>61.6</v>
      </c>
      <c r="E1765">
        <v>431.2</v>
      </c>
      <c r="F1765" s="2">
        <v>45722</v>
      </c>
      <c r="G1765" s="2">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ht="18" x14ac:dyDescent="0.5">
      <c r="A1766" t="s">
        <v>1865</v>
      </c>
      <c r="B1766" t="s">
        <v>46</v>
      </c>
      <c r="C1766">
        <v>5</v>
      </c>
      <c r="D1766">
        <v>32.700000000000003</v>
      </c>
      <c r="E1766">
        <v>163.5</v>
      </c>
      <c r="F1766" s="2">
        <v>45722</v>
      </c>
      <c r="G1766" s="2">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ht="18" x14ac:dyDescent="0.5">
      <c r="A1767" t="s">
        <v>1866</v>
      </c>
      <c r="B1767" t="s">
        <v>16</v>
      </c>
      <c r="C1767">
        <v>10</v>
      </c>
      <c r="D1767">
        <v>13.7</v>
      </c>
      <c r="E1767">
        <v>137</v>
      </c>
      <c r="F1767" s="2">
        <v>45722</v>
      </c>
      <c r="G1767" s="2">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ht="18" x14ac:dyDescent="0.5">
      <c r="A1768" t="s">
        <v>1867</v>
      </c>
      <c r="B1768" t="s">
        <v>16</v>
      </c>
      <c r="C1768">
        <v>4</v>
      </c>
      <c r="D1768">
        <v>32.1</v>
      </c>
      <c r="E1768">
        <v>128.4</v>
      </c>
      <c r="F1768" s="2">
        <v>45722</v>
      </c>
      <c r="G1768" s="2">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ht="18" x14ac:dyDescent="0.5">
      <c r="A1769" t="s">
        <v>1868</v>
      </c>
      <c r="B1769" t="s">
        <v>81</v>
      </c>
      <c r="C1769">
        <v>8</v>
      </c>
      <c r="D1769">
        <v>12</v>
      </c>
      <c r="E1769">
        <v>96</v>
      </c>
      <c r="F1769" s="2">
        <v>45722</v>
      </c>
      <c r="G1769" s="2">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ht="18" x14ac:dyDescent="0.5">
      <c r="A1770" t="s">
        <v>1869</v>
      </c>
      <c r="B1770" t="s">
        <v>69</v>
      </c>
      <c r="C1770">
        <v>1</v>
      </c>
      <c r="D1770">
        <v>64.3</v>
      </c>
      <c r="E1770">
        <v>64.3</v>
      </c>
      <c r="F1770" s="2">
        <v>45722</v>
      </c>
      <c r="G1770" s="2">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ht="18" x14ac:dyDescent="0.5">
      <c r="A1771" t="s">
        <v>1870</v>
      </c>
      <c r="B1771" t="s">
        <v>22</v>
      </c>
      <c r="C1771">
        <v>3</v>
      </c>
      <c r="D1771">
        <v>58.2</v>
      </c>
      <c r="E1771">
        <v>174.60000000000002</v>
      </c>
      <c r="F1771" s="2">
        <v>45722</v>
      </c>
      <c r="G1771" s="2">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ht="18" x14ac:dyDescent="0.5">
      <c r="A1772" t="s">
        <v>1871</v>
      </c>
      <c r="B1772" t="s">
        <v>39</v>
      </c>
      <c r="C1772">
        <v>4</v>
      </c>
      <c r="D1772">
        <v>59.2</v>
      </c>
      <c r="E1772">
        <v>236.8</v>
      </c>
      <c r="F1772" s="2">
        <v>45722</v>
      </c>
      <c r="G1772" s="2">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ht="18" x14ac:dyDescent="0.5">
      <c r="A1773" t="s">
        <v>1872</v>
      </c>
      <c r="B1773" t="s">
        <v>54</v>
      </c>
      <c r="C1773">
        <v>11</v>
      </c>
      <c r="D1773">
        <v>35.6</v>
      </c>
      <c r="E1773">
        <v>391.6</v>
      </c>
      <c r="F1773" s="2">
        <v>45722</v>
      </c>
      <c r="G1773" s="2">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ht="18" x14ac:dyDescent="0.5">
      <c r="A1774" t="s">
        <v>1873</v>
      </c>
      <c r="B1774" t="s">
        <v>128</v>
      </c>
      <c r="C1774">
        <v>8</v>
      </c>
      <c r="D1774">
        <v>37</v>
      </c>
      <c r="E1774">
        <v>296</v>
      </c>
      <c r="F1774" s="2">
        <v>45722</v>
      </c>
      <c r="G1774" s="2">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ht="18" x14ac:dyDescent="0.5">
      <c r="A1775" t="s">
        <v>1874</v>
      </c>
      <c r="B1775" t="s">
        <v>22</v>
      </c>
      <c r="C1775">
        <v>13</v>
      </c>
      <c r="D1775">
        <v>80.8</v>
      </c>
      <c r="E1775">
        <v>1050.3999999999999</v>
      </c>
      <c r="F1775" s="2">
        <v>45722</v>
      </c>
      <c r="G1775" s="2">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ht="18" x14ac:dyDescent="0.5">
      <c r="A1776" t="s">
        <v>1875</v>
      </c>
      <c r="B1776" t="s">
        <v>44</v>
      </c>
      <c r="C1776">
        <v>2</v>
      </c>
      <c r="D1776">
        <v>63.2</v>
      </c>
      <c r="E1776">
        <v>126.4</v>
      </c>
      <c r="F1776" s="2">
        <v>45722</v>
      </c>
      <c r="G1776" s="2">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ht="18" x14ac:dyDescent="0.5">
      <c r="A1777" t="s">
        <v>1876</v>
      </c>
      <c r="B1777" t="s">
        <v>30</v>
      </c>
      <c r="C1777">
        <v>2</v>
      </c>
      <c r="D1777">
        <v>40.799999999999997</v>
      </c>
      <c r="E1777">
        <v>81.599999999999994</v>
      </c>
      <c r="F1777" s="2">
        <v>45722</v>
      </c>
      <c r="G1777" s="2">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ht="18" x14ac:dyDescent="0.5">
      <c r="A1778" t="s">
        <v>1877</v>
      </c>
      <c r="B1778" t="s">
        <v>76</v>
      </c>
      <c r="C1778">
        <v>6</v>
      </c>
      <c r="D1778">
        <v>25.7</v>
      </c>
      <c r="E1778">
        <v>154.19999999999999</v>
      </c>
      <c r="F1778" s="2">
        <v>45722</v>
      </c>
      <c r="G1778" s="2">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ht="18" x14ac:dyDescent="0.5">
      <c r="A1779" t="s">
        <v>1878</v>
      </c>
      <c r="B1779" t="s">
        <v>128</v>
      </c>
      <c r="C1779">
        <v>2</v>
      </c>
      <c r="D1779">
        <v>49.9</v>
      </c>
      <c r="E1779">
        <v>99.8</v>
      </c>
      <c r="F1779" s="2">
        <v>45722</v>
      </c>
      <c r="G1779" s="2">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ht="18" x14ac:dyDescent="0.5">
      <c r="A1780" t="s">
        <v>1879</v>
      </c>
      <c r="B1780" t="s">
        <v>44</v>
      </c>
      <c r="C1780">
        <v>2</v>
      </c>
      <c r="D1780">
        <v>20.2</v>
      </c>
      <c r="E1780">
        <v>40.4</v>
      </c>
      <c r="F1780" s="2">
        <v>45722</v>
      </c>
      <c r="G1780" s="2">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ht="18" x14ac:dyDescent="0.5">
      <c r="A1781" t="s">
        <v>1880</v>
      </c>
      <c r="B1781" t="s">
        <v>39</v>
      </c>
      <c r="C1781">
        <v>3</v>
      </c>
      <c r="D1781">
        <v>48.4</v>
      </c>
      <c r="E1781">
        <v>145.19999999999999</v>
      </c>
      <c r="F1781" s="2">
        <v>45722</v>
      </c>
      <c r="G1781" s="2">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ht="18" x14ac:dyDescent="0.5">
      <c r="A1782" t="s">
        <v>1881</v>
      </c>
      <c r="B1782" t="s">
        <v>39</v>
      </c>
      <c r="C1782">
        <v>2</v>
      </c>
      <c r="D1782">
        <v>81</v>
      </c>
      <c r="E1782">
        <v>162</v>
      </c>
      <c r="F1782" s="2">
        <v>45722</v>
      </c>
      <c r="G1782" s="2">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ht="18" x14ac:dyDescent="0.5">
      <c r="A1783" t="s">
        <v>1882</v>
      </c>
      <c r="B1783" t="s">
        <v>44</v>
      </c>
      <c r="C1783">
        <v>6</v>
      </c>
      <c r="D1783">
        <v>19.899999999999999</v>
      </c>
      <c r="E1783">
        <v>119.39999999999999</v>
      </c>
      <c r="F1783" s="2">
        <v>45722</v>
      </c>
      <c r="G1783" s="2">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ht="18" x14ac:dyDescent="0.5">
      <c r="A1784" t="s">
        <v>1883</v>
      </c>
      <c r="B1784" t="s">
        <v>32</v>
      </c>
      <c r="C1784">
        <v>4</v>
      </c>
      <c r="D1784">
        <v>32.200000000000003</v>
      </c>
      <c r="E1784">
        <v>128.80000000000001</v>
      </c>
      <c r="F1784" s="2">
        <v>45722</v>
      </c>
      <c r="G1784" s="2">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ht="18" x14ac:dyDescent="0.5">
      <c r="A1785" t="s">
        <v>1884</v>
      </c>
      <c r="B1785" t="s">
        <v>37</v>
      </c>
      <c r="C1785">
        <v>3</v>
      </c>
      <c r="D1785">
        <v>76.8</v>
      </c>
      <c r="E1785">
        <v>230.39999999999998</v>
      </c>
      <c r="F1785" s="2">
        <v>45722</v>
      </c>
      <c r="G1785" s="2">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ht="18" x14ac:dyDescent="0.5">
      <c r="A1786" t="s">
        <v>1885</v>
      </c>
      <c r="B1786" t="s">
        <v>39</v>
      </c>
      <c r="C1786">
        <v>2</v>
      </c>
      <c r="D1786">
        <v>41.9</v>
      </c>
      <c r="E1786">
        <v>83.8</v>
      </c>
      <c r="F1786" s="2">
        <v>45722</v>
      </c>
      <c r="G1786" s="2">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ht="18" x14ac:dyDescent="0.5">
      <c r="A1787" t="s">
        <v>1886</v>
      </c>
      <c r="B1787" t="s">
        <v>16</v>
      </c>
      <c r="C1787">
        <v>7</v>
      </c>
      <c r="D1787">
        <v>34</v>
      </c>
      <c r="E1787">
        <v>238</v>
      </c>
      <c r="F1787" s="2">
        <v>45722</v>
      </c>
      <c r="G1787" s="2">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ht="18" x14ac:dyDescent="0.5">
      <c r="A1788" t="s">
        <v>1887</v>
      </c>
      <c r="B1788" t="s">
        <v>42</v>
      </c>
      <c r="C1788">
        <v>7</v>
      </c>
      <c r="D1788">
        <v>61.3</v>
      </c>
      <c r="E1788">
        <v>429.09999999999997</v>
      </c>
      <c r="F1788" s="2">
        <v>45722</v>
      </c>
      <c r="G1788" s="2">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ht="18" x14ac:dyDescent="0.5">
      <c r="A1789" t="s">
        <v>1888</v>
      </c>
      <c r="B1789" t="s">
        <v>46</v>
      </c>
      <c r="C1789">
        <v>1</v>
      </c>
      <c r="D1789">
        <v>54.7</v>
      </c>
      <c r="E1789">
        <v>54.7</v>
      </c>
      <c r="F1789" s="2">
        <v>45723</v>
      </c>
      <c r="G1789" s="2">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ht="18" x14ac:dyDescent="0.5">
      <c r="A1790" t="s">
        <v>1889</v>
      </c>
      <c r="B1790" t="s">
        <v>39</v>
      </c>
      <c r="C1790">
        <v>10</v>
      </c>
      <c r="D1790">
        <v>84.7</v>
      </c>
      <c r="E1790">
        <v>847</v>
      </c>
      <c r="F1790" s="2">
        <v>45723</v>
      </c>
      <c r="G1790" s="2">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ht="18" x14ac:dyDescent="0.5">
      <c r="A1791" t="s">
        <v>1890</v>
      </c>
      <c r="B1791" t="s">
        <v>22</v>
      </c>
      <c r="C1791">
        <v>3</v>
      </c>
      <c r="D1791">
        <v>93.4</v>
      </c>
      <c r="E1791">
        <v>280.20000000000005</v>
      </c>
      <c r="F1791" s="2">
        <v>45723</v>
      </c>
      <c r="G1791" s="2">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ht="18" x14ac:dyDescent="0.5">
      <c r="A1792" t="s">
        <v>1891</v>
      </c>
      <c r="B1792" t="s">
        <v>44</v>
      </c>
      <c r="C1792">
        <v>5</v>
      </c>
      <c r="D1792">
        <v>27</v>
      </c>
      <c r="E1792">
        <v>135</v>
      </c>
      <c r="F1792" s="2">
        <v>45723</v>
      </c>
      <c r="G1792" s="2">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ht="18" x14ac:dyDescent="0.5">
      <c r="A1793" t="s">
        <v>1892</v>
      </c>
      <c r="B1793" t="s">
        <v>16</v>
      </c>
      <c r="C1793">
        <v>4</v>
      </c>
      <c r="D1793">
        <v>10.9</v>
      </c>
      <c r="E1793">
        <v>43.6</v>
      </c>
      <c r="F1793" s="2">
        <v>45723</v>
      </c>
      <c r="G1793" s="2">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ht="18" x14ac:dyDescent="0.5">
      <c r="A1794" t="s">
        <v>1893</v>
      </c>
      <c r="B1794" t="s">
        <v>128</v>
      </c>
      <c r="C1794">
        <v>3</v>
      </c>
      <c r="D1794">
        <v>48</v>
      </c>
      <c r="E1794">
        <v>144</v>
      </c>
      <c r="F1794" s="2">
        <v>45723</v>
      </c>
      <c r="G1794" s="2">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ht="18" x14ac:dyDescent="0.5">
      <c r="A1795" t="s">
        <v>1894</v>
      </c>
      <c r="B1795" t="s">
        <v>37</v>
      </c>
      <c r="C1795">
        <v>2</v>
      </c>
      <c r="D1795">
        <v>67.900000000000006</v>
      </c>
      <c r="E1795">
        <v>135.80000000000001</v>
      </c>
      <c r="F1795" s="2">
        <v>45723</v>
      </c>
      <c r="G1795" s="2">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ht="18" x14ac:dyDescent="0.5">
      <c r="A1796" t="s">
        <v>1895</v>
      </c>
      <c r="B1796" t="s">
        <v>32</v>
      </c>
      <c r="C1796">
        <v>3</v>
      </c>
      <c r="D1796">
        <v>36</v>
      </c>
      <c r="E1796">
        <v>108</v>
      </c>
      <c r="F1796" s="2">
        <v>45723</v>
      </c>
      <c r="G1796" s="2">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ht="18" x14ac:dyDescent="0.5">
      <c r="A1797" t="s">
        <v>1896</v>
      </c>
      <c r="B1797" t="s">
        <v>26</v>
      </c>
      <c r="C1797">
        <v>1</v>
      </c>
      <c r="D1797">
        <v>128.80000000000001</v>
      </c>
      <c r="E1797">
        <v>128.80000000000001</v>
      </c>
      <c r="F1797" s="2">
        <v>45723</v>
      </c>
      <c r="G1797" s="2">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ht="18" x14ac:dyDescent="0.5">
      <c r="A1798" t="s">
        <v>1897</v>
      </c>
      <c r="B1798" t="s">
        <v>146</v>
      </c>
      <c r="C1798">
        <v>7</v>
      </c>
      <c r="D1798">
        <v>33.299999999999997</v>
      </c>
      <c r="E1798">
        <v>233.09999999999997</v>
      </c>
      <c r="F1798" s="2">
        <v>45723</v>
      </c>
      <c r="G1798" s="2">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ht="18" x14ac:dyDescent="0.5">
      <c r="A1799" t="s">
        <v>1898</v>
      </c>
      <c r="B1799" t="s">
        <v>54</v>
      </c>
      <c r="C1799">
        <v>3</v>
      </c>
      <c r="D1799">
        <v>37.799999999999997</v>
      </c>
      <c r="E1799">
        <v>113.39999999999999</v>
      </c>
      <c r="F1799" s="2">
        <v>45723</v>
      </c>
      <c r="G1799" s="2">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ht="18" x14ac:dyDescent="0.5">
      <c r="A1800" t="s">
        <v>1899</v>
      </c>
      <c r="B1800" t="s">
        <v>37</v>
      </c>
      <c r="C1800">
        <v>3</v>
      </c>
      <c r="D1800">
        <v>26</v>
      </c>
      <c r="E1800">
        <v>78</v>
      </c>
      <c r="F1800" s="2">
        <v>45723</v>
      </c>
      <c r="G1800" s="2">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ht="18" x14ac:dyDescent="0.5">
      <c r="A1801" t="s">
        <v>1900</v>
      </c>
      <c r="B1801" t="s">
        <v>44</v>
      </c>
      <c r="C1801">
        <v>19</v>
      </c>
      <c r="D1801">
        <v>28.3</v>
      </c>
      <c r="E1801">
        <v>537.70000000000005</v>
      </c>
      <c r="F1801" s="2">
        <v>45723</v>
      </c>
      <c r="G1801" s="2">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ht="18" x14ac:dyDescent="0.5">
      <c r="A1802" t="s">
        <v>1901</v>
      </c>
      <c r="B1802" t="s">
        <v>44</v>
      </c>
      <c r="C1802">
        <v>4</v>
      </c>
      <c r="D1802">
        <v>31.3</v>
      </c>
      <c r="E1802">
        <v>125.2</v>
      </c>
      <c r="F1802" s="2">
        <v>45723</v>
      </c>
      <c r="G1802" s="2">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ht="18" x14ac:dyDescent="0.5">
      <c r="A1803" t="s">
        <v>1902</v>
      </c>
      <c r="B1803" t="s">
        <v>42</v>
      </c>
      <c r="C1803">
        <v>3</v>
      </c>
      <c r="D1803">
        <v>69.5</v>
      </c>
      <c r="E1803">
        <v>208.5</v>
      </c>
      <c r="F1803" s="2">
        <v>45723</v>
      </c>
      <c r="G1803" s="2">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ht="18" x14ac:dyDescent="0.5">
      <c r="A1804" t="s">
        <v>1903</v>
      </c>
      <c r="B1804" t="s">
        <v>16</v>
      </c>
      <c r="C1804">
        <v>2</v>
      </c>
      <c r="D1804">
        <v>16.7</v>
      </c>
      <c r="E1804">
        <v>33.4</v>
      </c>
      <c r="F1804" s="2">
        <v>45723</v>
      </c>
      <c r="G1804" s="2">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ht="18" x14ac:dyDescent="0.5">
      <c r="A1805" t="s">
        <v>1904</v>
      </c>
      <c r="B1805" t="s">
        <v>46</v>
      </c>
      <c r="C1805">
        <v>2</v>
      </c>
      <c r="D1805">
        <v>62.6</v>
      </c>
      <c r="E1805">
        <v>125.2</v>
      </c>
      <c r="F1805" s="2">
        <v>45723</v>
      </c>
      <c r="G1805" s="2">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ht="18" x14ac:dyDescent="0.5">
      <c r="A1806" t="s">
        <v>1905</v>
      </c>
      <c r="B1806" t="s">
        <v>42</v>
      </c>
      <c r="C1806">
        <v>1</v>
      </c>
      <c r="D1806">
        <v>81.2</v>
      </c>
      <c r="E1806">
        <v>81.2</v>
      </c>
      <c r="F1806" s="2">
        <v>45723</v>
      </c>
      <c r="G1806" s="2">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ht="18" x14ac:dyDescent="0.5">
      <c r="A1807" t="s">
        <v>1906</v>
      </c>
      <c r="B1807" t="s">
        <v>16</v>
      </c>
      <c r="C1807">
        <v>10</v>
      </c>
      <c r="D1807">
        <v>12.7</v>
      </c>
      <c r="E1807">
        <v>127</v>
      </c>
      <c r="F1807" s="2">
        <v>45723</v>
      </c>
      <c r="G1807" s="2">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ht="18" x14ac:dyDescent="0.5">
      <c r="A1808" t="s">
        <v>1907</v>
      </c>
      <c r="B1808" t="s">
        <v>42</v>
      </c>
      <c r="C1808">
        <v>4</v>
      </c>
      <c r="D1808">
        <v>77.7</v>
      </c>
      <c r="E1808">
        <v>310.8</v>
      </c>
      <c r="F1808" s="2">
        <v>45724</v>
      </c>
      <c r="G1808" s="2">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ht="18" x14ac:dyDescent="0.5">
      <c r="A1809" t="s">
        <v>1908</v>
      </c>
      <c r="B1809" t="s">
        <v>37</v>
      </c>
      <c r="C1809">
        <v>2</v>
      </c>
      <c r="D1809">
        <v>37.299999999999997</v>
      </c>
      <c r="E1809">
        <v>74.599999999999994</v>
      </c>
      <c r="F1809" s="2">
        <v>45724</v>
      </c>
      <c r="G1809" s="2">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ht="18" x14ac:dyDescent="0.5">
      <c r="A1810" t="s">
        <v>1909</v>
      </c>
      <c r="B1810" t="s">
        <v>54</v>
      </c>
      <c r="C1810">
        <v>4</v>
      </c>
      <c r="D1810">
        <v>35.6</v>
      </c>
      <c r="E1810">
        <v>142.4</v>
      </c>
      <c r="F1810" s="2">
        <v>45724</v>
      </c>
      <c r="G1810" s="2">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ht="18" x14ac:dyDescent="0.5">
      <c r="A1811" t="s">
        <v>1910</v>
      </c>
      <c r="B1811" t="s">
        <v>26</v>
      </c>
      <c r="C1811">
        <v>3</v>
      </c>
      <c r="D1811">
        <v>95</v>
      </c>
      <c r="E1811">
        <v>285</v>
      </c>
      <c r="F1811" s="2">
        <v>45724</v>
      </c>
      <c r="G1811" s="2">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ht="18" x14ac:dyDescent="0.5">
      <c r="A1812" t="s">
        <v>1912</v>
      </c>
      <c r="B1812" t="s">
        <v>26</v>
      </c>
      <c r="C1812">
        <v>4</v>
      </c>
      <c r="D1812">
        <v>172.1</v>
      </c>
      <c r="E1812">
        <v>688.4</v>
      </c>
      <c r="F1812" s="2">
        <v>45724</v>
      </c>
      <c r="G1812" s="2">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ht="18" x14ac:dyDescent="0.5">
      <c r="A1813" t="s">
        <v>1913</v>
      </c>
      <c r="B1813" t="s">
        <v>26</v>
      </c>
      <c r="C1813">
        <v>2</v>
      </c>
      <c r="D1813">
        <v>233</v>
      </c>
      <c r="E1813">
        <v>466</v>
      </c>
      <c r="F1813" s="2">
        <v>45724</v>
      </c>
      <c r="G1813" s="2">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ht="18" x14ac:dyDescent="0.5">
      <c r="A1814" t="s">
        <v>1914</v>
      </c>
      <c r="B1814" t="s">
        <v>16</v>
      </c>
      <c r="C1814">
        <v>1</v>
      </c>
      <c r="D1814">
        <v>43.5</v>
      </c>
      <c r="E1814">
        <v>43.5</v>
      </c>
      <c r="F1814" s="2">
        <v>45724</v>
      </c>
      <c r="G1814" s="2">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ht="18" x14ac:dyDescent="0.5">
      <c r="A1815" t="s">
        <v>1915</v>
      </c>
      <c r="B1815" t="s">
        <v>46</v>
      </c>
      <c r="C1815">
        <v>2</v>
      </c>
      <c r="D1815">
        <v>47.8</v>
      </c>
      <c r="E1815">
        <v>95.6</v>
      </c>
      <c r="F1815" s="2">
        <v>45724</v>
      </c>
      <c r="G1815" s="2">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ht="18" x14ac:dyDescent="0.5">
      <c r="A1816" t="s">
        <v>1916</v>
      </c>
      <c r="B1816" t="s">
        <v>69</v>
      </c>
      <c r="C1816">
        <v>2</v>
      </c>
      <c r="D1816">
        <v>65.8</v>
      </c>
      <c r="E1816">
        <v>131.6</v>
      </c>
      <c r="F1816" s="2">
        <v>45724</v>
      </c>
      <c r="G1816" s="2">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ht="18" x14ac:dyDescent="0.5">
      <c r="A1817" t="s">
        <v>1917</v>
      </c>
      <c r="B1817" t="s">
        <v>123</v>
      </c>
      <c r="C1817">
        <v>11</v>
      </c>
      <c r="D1817">
        <v>38.700000000000003</v>
      </c>
      <c r="E1817">
        <v>425.70000000000005</v>
      </c>
      <c r="F1817" s="2">
        <v>45724</v>
      </c>
      <c r="G1817" s="2">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ht="18" x14ac:dyDescent="0.5">
      <c r="A1818" t="s">
        <v>1918</v>
      </c>
      <c r="B1818" t="s">
        <v>30</v>
      </c>
      <c r="C1818">
        <v>4</v>
      </c>
      <c r="D1818">
        <v>55.7</v>
      </c>
      <c r="E1818">
        <v>222.8</v>
      </c>
      <c r="F1818" s="2">
        <v>45724</v>
      </c>
      <c r="G1818" s="2">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ht="18" x14ac:dyDescent="0.5">
      <c r="A1819" t="s">
        <v>1919</v>
      </c>
      <c r="B1819" t="s">
        <v>42</v>
      </c>
      <c r="C1819">
        <v>2</v>
      </c>
      <c r="D1819">
        <v>102.4</v>
      </c>
      <c r="E1819">
        <v>204.8</v>
      </c>
      <c r="F1819" s="2">
        <v>45724</v>
      </c>
      <c r="G1819" s="2">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ht="18" x14ac:dyDescent="0.5">
      <c r="A1820" t="s">
        <v>1920</v>
      </c>
      <c r="B1820" t="s">
        <v>22</v>
      </c>
      <c r="C1820">
        <v>1</v>
      </c>
      <c r="D1820">
        <v>92</v>
      </c>
      <c r="E1820">
        <v>92</v>
      </c>
      <c r="F1820" s="2">
        <v>45724</v>
      </c>
      <c r="G1820" s="2">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ht="18" x14ac:dyDescent="0.5">
      <c r="A1821" t="s">
        <v>1921</v>
      </c>
      <c r="B1821" t="s">
        <v>39</v>
      </c>
      <c r="C1821">
        <v>4</v>
      </c>
      <c r="D1821">
        <v>75.900000000000006</v>
      </c>
      <c r="E1821">
        <v>303.60000000000002</v>
      </c>
      <c r="F1821" s="2">
        <v>45724</v>
      </c>
      <c r="G1821" s="2">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ht="18" x14ac:dyDescent="0.5">
      <c r="A1822" t="s">
        <v>1922</v>
      </c>
      <c r="B1822" t="s">
        <v>22</v>
      </c>
      <c r="C1822">
        <v>4</v>
      </c>
      <c r="D1822">
        <v>36.200000000000003</v>
      </c>
      <c r="E1822">
        <v>144.80000000000001</v>
      </c>
      <c r="F1822" s="2">
        <v>45724</v>
      </c>
      <c r="G1822" s="2">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ht="18" x14ac:dyDescent="0.5">
      <c r="A1823" t="s">
        <v>1923</v>
      </c>
      <c r="B1823" t="s">
        <v>39</v>
      </c>
      <c r="C1823">
        <v>87</v>
      </c>
      <c r="D1823">
        <v>83.5</v>
      </c>
      <c r="E1823">
        <v>7264.5</v>
      </c>
      <c r="F1823" s="2">
        <v>45724</v>
      </c>
      <c r="G1823" s="2">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ht="18" x14ac:dyDescent="0.5">
      <c r="A1824" t="s">
        <v>1924</v>
      </c>
      <c r="B1824" t="s">
        <v>171</v>
      </c>
      <c r="C1824">
        <v>12</v>
      </c>
      <c r="D1824">
        <v>52.4</v>
      </c>
      <c r="E1824">
        <v>628.79999999999995</v>
      </c>
      <c r="F1824" s="2">
        <v>45724</v>
      </c>
      <c r="G1824" s="2">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ht="18" x14ac:dyDescent="0.5">
      <c r="A1825" t="s">
        <v>1925</v>
      </c>
      <c r="B1825" t="s">
        <v>69</v>
      </c>
      <c r="C1825">
        <v>3</v>
      </c>
      <c r="D1825">
        <v>69.5</v>
      </c>
      <c r="E1825">
        <v>208.5</v>
      </c>
      <c r="F1825" s="2">
        <v>45724</v>
      </c>
      <c r="G1825" s="2">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ht="18" x14ac:dyDescent="0.5">
      <c r="A1826" t="s">
        <v>1926</v>
      </c>
      <c r="B1826" t="s">
        <v>16</v>
      </c>
      <c r="C1826">
        <v>1</v>
      </c>
      <c r="D1826">
        <v>15.5</v>
      </c>
      <c r="E1826">
        <v>15.5</v>
      </c>
      <c r="F1826" s="2">
        <v>45724</v>
      </c>
      <c r="G1826" s="2">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ht="18" x14ac:dyDescent="0.5">
      <c r="A1827" t="s">
        <v>1927</v>
      </c>
      <c r="B1827" t="s">
        <v>32</v>
      </c>
      <c r="C1827">
        <v>4</v>
      </c>
      <c r="D1827">
        <v>35.200000000000003</v>
      </c>
      <c r="E1827">
        <v>140.80000000000001</v>
      </c>
      <c r="F1827" s="2">
        <v>45724</v>
      </c>
      <c r="G1827" s="2">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ht="18" x14ac:dyDescent="0.5">
      <c r="A1828" t="s">
        <v>1928</v>
      </c>
      <c r="B1828" t="s">
        <v>44</v>
      </c>
      <c r="C1828">
        <v>6</v>
      </c>
      <c r="D1828">
        <v>34.6</v>
      </c>
      <c r="E1828">
        <v>207.60000000000002</v>
      </c>
      <c r="F1828" s="2">
        <v>45724</v>
      </c>
      <c r="G1828" s="2">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ht="18" x14ac:dyDescent="0.5">
      <c r="A1829" t="s">
        <v>1929</v>
      </c>
      <c r="B1829" t="s">
        <v>32</v>
      </c>
      <c r="C1829">
        <v>1</v>
      </c>
      <c r="D1829">
        <v>21.3</v>
      </c>
      <c r="E1829">
        <v>21.3</v>
      </c>
      <c r="F1829" s="2">
        <v>45725</v>
      </c>
      <c r="G1829" s="2">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ht="18" x14ac:dyDescent="0.5">
      <c r="A1830" t="s">
        <v>1930</v>
      </c>
      <c r="B1830" t="s">
        <v>39</v>
      </c>
      <c r="C1830">
        <v>2</v>
      </c>
      <c r="D1830">
        <v>136.5</v>
      </c>
      <c r="E1830">
        <v>273</v>
      </c>
      <c r="F1830" s="2">
        <v>45725</v>
      </c>
      <c r="G1830" s="2">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ht="18" x14ac:dyDescent="0.5">
      <c r="A1831" t="s">
        <v>1931</v>
      </c>
      <c r="B1831" t="s">
        <v>46</v>
      </c>
      <c r="C1831">
        <v>7</v>
      </c>
      <c r="D1831">
        <v>30.7</v>
      </c>
      <c r="E1831">
        <v>214.9</v>
      </c>
      <c r="F1831" s="2">
        <v>45725</v>
      </c>
      <c r="G1831" s="2">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ht="18" x14ac:dyDescent="0.5">
      <c r="A1832" t="s">
        <v>1932</v>
      </c>
      <c r="B1832" t="s">
        <v>22</v>
      </c>
      <c r="C1832">
        <v>2</v>
      </c>
      <c r="D1832">
        <v>61.6</v>
      </c>
      <c r="E1832">
        <v>123.2</v>
      </c>
      <c r="F1832" s="2">
        <v>45725</v>
      </c>
      <c r="G1832" s="2">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ht="18" x14ac:dyDescent="0.5">
      <c r="A1833" t="s">
        <v>1933</v>
      </c>
      <c r="B1833" t="s">
        <v>39</v>
      </c>
      <c r="C1833">
        <v>4</v>
      </c>
      <c r="D1833">
        <v>54.3</v>
      </c>
      <c r="E1833">
        <v>217.2</v>
      </c>
      <c r="F1833" s="2">
        <v>45725</v>
      </c>
      <c r="G1833" s="2">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ht="18" x14ac:dyDescent="0.5">
      <c r="A1834" t="s">
        <v>1934</v>
      </c>
      <c r="B1834" t="s">
        <v>22</v>
      </c>
      <c r="C1834">
        <v>2</v>
      </c>
      <c r="D1834">
        <v>44.1</v>
      </c>
      <c r="E1834">
        <v>88.2</v>
      </c>
      <c r="F1834" s="2">
        <v>45725</v>
      </c>
      <c r="G1834" s="2">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ht="18" x14ac:dyDescent="0.5">
      <c r="A1835" t="s">
        <v>1935</v>
      </c>
      <c r="B1835" t="s">
        <v>44</v>
      </c>
      <c r="C1835">
        <v>4</v>
      </c>
      <c r="D1835">
        <v>43.5</v>
      </c>
      <c r="E1835">
        <v>174</v>
      </c>
      <c r="F1835" s="2">
        <v>45725</v>
      </c>
      <c r="G1835" s="2">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ht="18" x14ac:dyDescent="0.5">
      <c r="A1836" t="s">
        <v>1936</v>
      </c>
      <c r="B1836" t="s">
        <v>44</v>
      </c>
      <c r="C1836">
        <v>3</v>
      </c>
      <c r="D1836">
        <v>48.2</v>
      </c>
      <c r="E1836">
        <v>144.60000000000002</v>
      </c>
      <c r="F1836" s="2">
        <v>45725</v>
      </c>
      <c r="G1836" s="2">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ht="18" x14ac:dyDescent="0.5">
      <c r="A1837" t="s">
        <v>1937</v>
      </c>
      <c r="B1837" t="s">
        <v>171</v>
      </c>
      <c r="C1837">
        <v>1</v>
      </c>
      <c r="D1837">
        <v>13.7</v>
      </c>
      <c r="E1837">
        <v>13.7</v>
      </c>
      <c r="F1837" s="2">
        <v>45725</v>
      </c>
      <c r="G1837" s="2">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ht="18" x14ac:dyDescent="0.5">
      <c r="A1838" t="s">
        <v>1938</v>
      </c>
      <c r="B1838" t="s">
        <v>26</v>
      </c>
      <c r="C1838">
        <v>2</v>
      </c>
      <c r="D1838">
        <v>110.5</v>
      </c>
      <c r="E1838">
        <v>221</v>
      </c>
      <c r="F1838" s="2">
        <v>45725</v>
      </c>
      <c r="G1838" s="2">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ht="18" x14ac:dyDescent="0.5">
      <c r="A1839" t="s">
        <v>1939</v>
      </c>
      <c r="B1839" t="s">
        <v>44</v>
      </c>
      <c r="C1839">
        <v>3</v>
      </c>
      <c r="D1839">
        <v>26</v>
      </c>
      <c r="E1839">
        <v>78</v>
      </c>
      <c r="F1839" s="2">
        <v>45725</v>
      </c>
      <c r="G1839" s="2">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ht="18" x14ac:dyDescent="0.5">
      <c r="A1840" t="s">
        <v>1940</v>
      </c>
      <c r="B1840" t="s">
        <v>26</v>
      </c>
      <c r="C1840">
        <v>10</v>
      </c>
      <c r="D1840">
        <v>140.69999999999999</v>
      </c>
      <c r="E1840">
        <v>1407</v>
      </c>
      <c r="F1840" s="2">
        <v>45725</v>
      </c>
      <c r="G1840" s="2">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ht="18" x14ac:dyDescent="0.5">
      <c r="A1841" t="s">
        <v>1941</v>
      </c>
      <c r="B1841" t="s">
        <v>135</v>
      </c>
      <c r="C1841">
        <v>2</v>
      </c>
      <c r="D1841">
        <v>41.7</v>
      </c>
      <c r="E1841">
        <v>83.4</v>
      </c>
      <c r="F1841" s="2">
        <v>45725</v>
      </c>
      <c r="G1841" s="2">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ht="18" x14ac:dyDescent="0.5">
      <c r="A1842" t="s">
        <v>1942</v>
      </c>
      <c r="B1842" t="s">
        <v>26</v>
      </c>
      <c r="C1842">
        <v>2</v>
      </c>
      <c r="D1842">
        <v>135.1</v>
      </c>
      <c r="E1842">
        <v>270.2</v>
      </c>
      <c r="F1842" s="2">
        <v>45725</v>
      </c>
      <c r="G1842" s="2">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ht="18" x14ac:dyDescent="0.5">
      <c r="A1843" t="s">
        <v>1943</v>
      </c>
      <c r="B1843" t="s">
        <v>69</v>
      </c>
      <c r="C1843">
        <v>22</v>
      </c>
      <c r="D1843">
        <v>95.5</v>
      </c>
      <c r="E1843">
        <v>2101</v>
      </c>
      <c r="F1843" s="2">
        <v>45725</v>
      </c>
      <c r="G1843" s="2">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ht="18" x14ac:dyDescent="0.5">
      <c r="A1844" t="s">
        <v>1944</v>
      </c>
      <c r="B1844" t="s">
        <v>123</v>
      </c>
      <c r="C1844">
        <v>1</v>
      </c>
      <c r="D1844">
        <v>25.5</v>
      </c>
      <c r="E1844">
        <v>25.5</v>
      </c>
      <c r="F1844" s="2">
        <v>45725</v>
      </c>
      <c r="G1844" s="2">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ht="18" x14ac:dyDescent="0.5">
      <c r="A1845" t="s">
        <v>1945</v>
      </c>
      <c r="B1845" t="s">
        <v>22</v>
      </c>
      <c r="C1845">
        <v>1</v>
      </c>
      <c r="D1845">
        <v>42.6</v>
      </c>
      <c r="E1845">
        <v>42.6</v>
      </c>
      <c r="F1845" s="2">
        <v>45725</v>
      </c>
      <c r="G1845" s="2">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ht="18" x14ac:dyDescent="0.5">
      <c r="A1846" t="s">
        <v>1946</v>
      </c>
      <c r="B1846" t="s">
        <v>44</v>
      </c>
      <c r="C1846">
        <v>15</v>
      </c>
      <c r="D1846">
        <v>32.4</v>
      </c>
      <c r="E1846">
        <v>486</v>
      </c>
      <c r="F1846" s="2">
        <v>45725</v>
      </c>
      <c r="G1846" s="2">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ht="18" x14ac:dyDescent="0.5">
      <c r="A1847" t="s">
        <v>1947</v>
      </c>
      <c r="B1847" t="s">
        <v>32</v>
      </c>
      <c r="C1847">
        <v>4</v>
      </c>
      <c r="D1847">
        <v>20.2</v>
      </c>
      <c r="E1847">
        <v>80.8</v>
      </c>
      <c r="F1847" s="2">
        <v>45725</v>
      </c>
      <c r="G1847" s="2">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ht="18" x14ac:dyDescent="0.5">
      <c r="A1848" t="s">
        <v>1948</v>
      </c>
      <c r="B1848" t="s">
        <v>128</v>
      </c>
      <c r="C1848">
        <v>3</v>
      </c>
      <c r="D1848">
        <v>52.5</v>
      </c>
      <c r="E1848">
        <v>157.5</v>
      </c>
      <c r="F1848" s="2">
        <v>45725</v>
      </c>
      <c r="G1848" s="2">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ht="18" x14ac:dyDescent="0.5">
      <c r="A1849" t="s">
        <v>1949</v>
      </c>
      <c r="B1849" t="s">
        <v>26</v>
      </c>
      <c r="C1849">
        <v>5</v>
      </c>
      <c r="D1849">
        <v>59.9</v>
      </c>
      <c r="E1849">
        <v>299.5</v>
      </c>
      <c r="F1849" s="2">
        <v>45725</v>
      </c>
      <c r="G1849" s="2">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ht="18" x14ac:dyDescent="0.5">
      <c r="A1850" t="s">
        <v>1950</v>
      </c>
      <c r="B1850" t="s">
        <v>32</v>
      </c>
      <c r="C1850">
        <v>2</v>
      </c>
      <c r="D1850">
        <v>53.2</v>
      </c>
      <c r="E1850">
        <v>106.4</v>
      </c>
      <c r="F1850" s="2">
        <v>45725</v>
      </c>
      <c r="G1850" s="2">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ht="18" x14ac:dyDescent="0.5">
      <c r="A1851" t="s">
        <v>1951</v>
      </c>
      <c r="B1851" t="s">
        <v>26</v>
      </c>
      <c r="C1851">
        <v>2</v>
      </c>
      <c r="D1851">
        <v>60</v>
      </c>
      <c r="E1851">
        <v>120</v>
      </c>
      <c r="F1851" s="2">
        <v>45725</v>
      </c>
      <c r="G1851" s="2">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ht="18" x14ac:dyDescent="0.5">
      <c r="A1852" t="s">
        <v>1952</v>
      </c>
      <c r="B1852" t="s">
        <v>44</v>
      </c>
      <c r="C1852">
        <v>3</v>
      </c>
      <c r="D1852">
        <v>29.3</v>
      </c>
      <c r="E1852">
        <v>87.9</v>
      </c>
      <c r="F1852" s="2">
        <v>45725</v>
      </c>
      <c r="G1852" s="2">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ht="18" x14ac:dyDescent="0.5">
      <c r="A1853" t="s">
        <v>1953</v>
      </c>
      <c r="B1853" t="s">
        <v>69</v>
      </c>
      <c r="C1853">
        <v>2</v>
      </c>
      <c r="D1853">
        <v>55.4</v>
      </c>
      <c r="E1853">
        <v>110.8</v>
      </c>
      <c r="F1853" s="2">
        <v>45725</v>
      </c>
      <c r="G1853" s="2">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ht="18" x14ac:dyDescent="0.5">
      <c r="A1854" t="s">
        <v>1954</v>
      </c>
      <c r="B1854" t="s">
        <v>16</v>
      </c>
      <c r="C1854">
        <v>5</v>
      </c>
      <c r="D1854">
        <v>20.100000000000001</v>
      </c>
      <c r="E1854">
        <v>100.5</v>
      </c>
      <c r="F1854" s="2">
        <v>45725</v>
      </c>
      <c r="G1854" s="2">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ht="18" x14ac:dyDescent="0.5">
      <c r="A1855" t="s">
        <v>1955</v>
      </c>
      <c r="B1855" t="s">
        <v>81</v>
      </c>
      <c r="C1855">
        <v>5</v>
      </c>
      <c r="D1855">
        <v>24</v>
      </c>
      <c r="E1855">
        <v>120</v>
      </c>
      <c r="F1855" s="2">
        <v>45725</v>
      </c>
      <c r="G1855" s="2">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ht="18" x14ac:dyDescent="0.5">
      <c r="A1856" t="s">
        <v>1956</v>
      </c>
      <c r="B1856" t="s">
        <v>44</v>
      </c>
      <c r="C1856">
        <v>2</v>
      </c>
      <c r="D1856">
        <v>30.6</v>
      </c>
      <c r="E1856">
        <v>61.2</v>
      </c>
      <c r="F1856" s="2">
        <v>45726</v>
      </c>
      <c r="G1856" s="2">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ht="18" x14ac:dyDescent="0.5">
      <c r="A1857" t="s">
        <v>1957</v>
      </c>
      <c r="B1857" t="s">
        <v>54</v>
      </c>
      <c r="C1857">
        <v>5</v>
      </c>
      <c r="D1857">
        <v>33</v>
      </c>
      <c r="E1857">
        <v>165</v>
      </c>
      <c r="F1857" s="2">
        <v>45726</v>
      </c>
      <c r="G1857" s="2">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ht="18" x14ac:dyDescent="0.5">
      <c r="A1858" t="s">
        <v>1958</v>
      </c>
      <c r="B1858" t="s">
        <v>135</v>
      </c>
      <c r="C1858">
        <v>9</v>
      </c>
      <c r="D1858">
        <v>42.1</v>
      </c>
      <c r="E1858">
        <v>378.90000000000003</v>
      </c>
      <c r="F1858" s="2">
        <v>45726</v>
      </c>
      <c r="G1858" s="2">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ht="18" x14ac:dyDescent="0.5">
      <c r="A1859" t="s">
        <v>1959</v>
      </c>
      <c r="B1859" t="s">
        <v>39</v>
      </c>
      <c r="C1859">
        <v>7</v>
      </c>
      <c r="D1859">
        <v>77.7</v>
      </c>
      <c r="E1859">
        <v>543.9</v>
      </c>
      <c r="F1859" s="2">
        <v>45726</v>
      </c>
      <c r="G1859" s="2">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ht="18" x14ac:dyDescent="0.5">
      <c r="A1860" t="s">
        <v>1960</v>
      </c>
      <c r="B1860" t="s">
        <v>135</v>
      </c>
      <c r="C1860">
        <v>6</v>
      </c>
      <c r="D1860">
        <v>22.7</v>
      </c>
      <c r="E1860">
        <v>136.19999999999999</v>
      </c>
      <c r="F1860" s="2">
        <v>45726</v>
      </c>
      <c r="G1860" s="2">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ht="18" x14ac:dyDescent="0.5">
      <c r="A1861" t="s">
        <v>1961</v>
      </c>
      <c r="B1861" t="s">
        <v>26</v>
      </c>
      <c r="C1861">
        <v>2</v>
      </c>
      <c r="D1861">
        <v>133</v>
      </c>
      <c r="E1861">
        <v>266</v>
      </c>
      <c r="F1861" s="2">
        <v>45726</v>
      </c>
      <c r="G1861" s="2">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ht="18" x14ac:dyDescent="0.5">
      <c r="A1862" t="s">
        <v>1962</v>
      </c>
      <c r="B1862" t="s">
        <v>16</v>
      </c>
      <c r="C1862">
        <v>2</v>
      </c>
      <c r="D1862">
        <v>23.3</v>
      </c>
      <c r="E1862">
        <v>46.6</v>
      </c>
      <c r="F1862" s="2">
        <v>45726</v>
      </c>
      <c r="G1862" s="2">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ht="18" x14ac:dyDescent="0.5">
      <c r="A1863" t="s">
        <v>1963</v>
      </c>
      <c r="B1863" t="s">
        <v>44</v>
      </c>
      <c r="C1863">
        <v>3</v>
      </c>
      <c r="D1863">
        <v>20.7</v>
      </c>
      <c r="E1863">
        <v>62.099999999999994</v>
      </c>
      <c r="F1863" s="2">
        <v>45726</v>
      </c>
      <c r="G1863" s="2">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ht="18" x14ac:dyDescent="0.5">
      <c r="A1864" t="s">
        <v>1964</v>
      </c>
      <c r="B1864" t="s">
        <v>69</v>
      </c>
      <c r="C1864">
        <v>2</v>
      </c>
      <c r="D1864">
        <v>47</v>
      </c>
      <c r="E1864">
        <v>94</v>
      </c>
      <c r="F1864" s="2">
        <v>45726</v>
      </c>
      <c r="G1864" s="2">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ht="18" x14ac:dyDescent="0.5">
      <c r="A1865" t="s">
        <v>1965</v>
      </c>
      <c r="B1865" t="s">
        <v>69</v>
      </c>
      <c r="C1865">
        <v>3</v>
      </c>
      <c r="D1865">
        <v>38.200000000000003</v>
      </c>
      <c r="E1865">
        <v>114.60000000000001</v>
      </c>
      <c r="F1865" s="2">
        <v>45726</v>
      </c>
      <c r="G1865" s="2">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ht="18" x14ac:dyDescent="0.5">
      <c r="A1866" t="s">
        <v>1966</v>
      </c>
      <c r="B1866" t="s">
        <v>46</v>
      </c>
      <c r="C1866">
        <v>1</v>
      </c>
      <c r="D1866">
        <v>39.1</v>
      </c>
      <c r="E1866">
        <v>39.1</v>
      </c>
      <c r="F1866" s="2">
        <v>45726</v>
      </c>
      <c r="G1866" s="2">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ht="18" x14ac:dyDescent="0.5">
      <c r="A1867" t="s">
        <v>1967</v>
      </c>
      <c r="B1867" t="s">
        <v>42</v>
      </c>
      <c r="C1867">
        <v>25</v>
      </c>
      <c r="D1867">
        <v>55.6</v>
      </c>
      <c r="E1867">
        <v>1390</v>
      </c>
      <c r="F1867" s="2">
        <v>45726</v>
      </c>
      <c r="G1867" s="2">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ht="18" x14ac:dyDescent="0.5">
      <c r="A1868" t="s">
        <v>1968</v>
      </c>
      <c r="B1868" t="s">
        <v>123</v>
      </c>
      <c r="C1868">
        <v>1</v>
      </c>
      <c r="D1868">
        <v>43.1</v>
      </c>
      <c r="E1868">
        <v>43.1</v>
      </c>
      <c r="F1868" s="2">
        <v>45726</v>
      </c>
      <c r="G1868" s="2">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ht="18" x14ac:dyDescent="0.5">
      <c r="A1869" t="s">
        <v>1969</v>
      </c>
      <c r="B1869" t="s">
        <v>39</v>
      </c>
      <c r="C1869">
        <v>4</v>
      </c>
      <c r="D1869">
        <v>48.1</v>
      </c>
      <c r="E1869">
        <v>192.4</v>
      </c>
      <c r="F1869" s="2">
        <v>45726</v>
      </c>
      <c r="G1869" s="2">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ht="18" x14ac:dyDescent="0.5">
      <c r="A1870" t="s">
        <v>1970</v>
      </c>
      <c r="B1870" t="s">
        <v>32</v>
      </c>
      <c r="C1870">
        <v>1</v>
      </c>
      <c r="D1870">
        <v>42</v>
      </c>
      <c r="E1870">
        <v>42</v>
      </c>
      <c r="F1870" s="2">
        <v>45726</v>
      </c>
      <c r="G1870" s="2">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ht="18" x14ac:dyDescent="0.5">
      <c r="A1871" t="s">
        <v>1971</v>
      </c>
      <c r="B1871" t="s">
        <v>44</v>
      </c>
      <c r="C1871">
        <v>5</v>
      </c>
      <c r="D1871">
        <v>18.3</v>
      </c>
      <c r="E1871">
        <v>91.5</v>
      </c>
      <c r="F1871" s="2">
        <v>45726</v>
      </c>
      <c r="G1871" s="2">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ht="18" x14ac:dyDescent="0.5">
      <c r="A1872" t="s">
        <v>1972</v>
      </c>
      <c r="B1872" t="s">
        <v>54</v>
      </c>
      <c r="C1872">
        <v>4</v>
      </c>
      <c r="D1872">
        <v>45.3</v>
      </c>
      <c r="E1872">
        <v>181.2</v>
      </c>
      <c r="F1872" s="2">
        <v>45726</v>
      </c>
      <c r="G1872" s="2">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ht="18" x14ac:dyDescent="0.5">
      <c r="A1873" t="s">
        <v>1973</v>
      </c>
      <c r="B1873" t="s">
        <v>16</v>
      </c>
      <c r="C1873">
        <v>2</v>
      </c>
      <c r="D1873">
        <v>27.6</v>
      </c>
      <c r="E1873">
        <v>55.2</v>
      </c>
      <c r="F1873" s="2">
        <v>45726</v>
      </c>
      <c r="G1873" s="2">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ht="18" x14ac:dyDescent="0.5">
      <c r="A1874" t="s">
        <v>1974</v>
      </c>
      <c r="B1874" t="s">
        <v>32</v>
      </c>
      <c r="C1874">
        <v>5</v>
      </c>
      <c r="D1874">
        <v>26.9</v>
      </c>
      <c r="E1874">
        <v>134.5</v>
      </c>
      <c r="F1874" s="2">
        <v>45726</v>
      </c>
      <c r="G1874" s="2">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ht="18" x14ac:dyDescent="0.5">
      <c r="A1875" t="s">
        <v>1975</v>
      </c>
      <c r="B1875" t="s">
        <v>26</v>
      </c>
      <c r="C1875">
        <v>9</v>
      </c>
      <c r="D1875">
        <v>82.4</v>
      </c>
      <c r="E1875">
        <v>741.6</v>
      </c>
      <c r="F1875" s="2">
        <v>45726</v>
      </c>
      <c r="G1875" s="2">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ht="18" x14ac:dyDescent="0.5">
      <c r="A1876" t="s">
        <v>1976</v>
      </c>
      <c r="B1876" t="s">
        <v>39</v>
      </c>
      <c r="C1876">
        <v>1</v>
      </c>
      <c r="D1876">
        <v>103.7</v>
      </c>
      <c r="E1876">
        <v>103.7</v>
      </c>
      <c r="F1876" s="2">
        <v>45726</v>
      </c>
      <c r="G1876" s="2">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ht="18" x14ac:dyDescent="0.5">
      <c r="A1877" t="s">
        <v>1977</v>
      </c>
      <c r="B1877" t="s">
        <v>26</v>
      </c>
      <c r="C1877">
        <v>2</v>
      </c>
      <c r="D1877">
        <v>58.8</v>
      </c>
      <c r="E1877">
        <v>117.6</v>
      </c>
      <c r="F1877" s="2">
        <v>45726</v>
      </c>
      <c r="G1877" s="2">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ht="18" x14ac:dyDescent="0.5">
      <c r="A1878" t="s">
        <v>1978</v>
      </c>
      <c r="B1878" t="s">
        <v>76</v>
      </c>
      <c r="C1878">
        <v>1</v>
      </c>
      <c r="D1878">
        <v>31.5</v>
      </c>
      <c r="E1878">
        <v>31.5</v>
      </c>
      <c r="F1878" s="2">
        <v>45726</v>
      </c>
      <c r="G1878" s="2">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ht="18" x14ac:dyDescent="0.5">
      <c r="A1879" t="s">
        <v>1979</v>
      </c>
      <c r="B1879" t="s">
        <v>42</v>
      </c>
      <c r="C1879">
        <v>5</v>
      </c>
      <c r="D1879">
        <v>36.799999999999997</v>
      </c>
      <c r="E1879">
        <v>184</v>
      </c>
      <c r="F1879" s="2">
        <v>45726</v>
      </c>
      <c r="G1879" s="2">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ht="18" x14ac:dyDescent="0.5">
      <c r="A1880" t="s">
        <v>1980</v>
      </c>
      <c r="B1880" t="s">
        <v>30</v>
      </c>
      <c r="C1880">
        <v>1</v>
      </c>
      <c r="D1880">
        <v>84.4</v>
      </c>
      <c r="E1880">
        <v>84.4</v>
      </c>
      <c r="F1880" s="2">
        <v>45726</v>
      </c>
      <c r="G1880" s="2">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ht="18" x14ac:dyDescent="0.5">
      <c r="A1881" t="s">
        <v>1981</v>
      </c>
      <c r="B1881" t="s">
        <v>81</v>
      </c>
      <c r="C1881">
        <v>1</v>
      </c>
      <c r="D1881">
        <v>44.7</v>
      </c>
      <c r="E1881">
        <v>44.7</v>
      </c>
      <c r="F1881" s="2">
        <v>45726</v>
      </c>
      <c r="G1881" s="2">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ht="18" x14ac:dyDescent="0.5">
      <c r="A1882" t="s">
        <v>1982</v>
      </c>
      <c r="B1882" t="s">
        <v>46</v>
      </c>
      <c r="C1882">
        <v>8</v>
      </c>
      <c r="D1882">
        <v>39.4</v>
      </c>
      <c r="E1882">
        <v>315.2</v>
      </c>
      <c r="F1882" s="2">
        <v>45726</v>
      </c>
      <c r="G1882" s="2">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ht="18" x14ac:dyDescent="0.5">
      <c r="A1883" t="s">
        <v>1983</v>
      </c>
      <c r="B1883" t="s">
        <v>67</v>
      </c>
      <c r="C1883">
        <v>4</v>
      </c>
      <c r="D1883">
        <v>34.9</v>
      </c>
      <c r="E1883">
        <v>139.6</v>
      </c>
      <c r="F1883" s="2">
        <v>45726</v>
      </c>
      <c r="G1883" s="2">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ht="18" x14ac:dyDescent="0.5">
      <c r="A1884" t="s">
        <v>1984</v>
      </c>
      <c r="B1884" t="s">
        <v>22</v>
      </c>
      <c r="C1884">
        <v>3</v>
      </c>
      <c r="D1884">
        <v>62.3</v>
      </c>
      <c r="E1884">
        <v>186.89999999999998</v>
      </c>
      <c r="F1884" s="2">
        <v>45726</v>
      </c>
      <c r="G1884" s="2">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ht="18" x14ac:dyDescent="0.5">
      <c r="A1885" t="s">
        <v>1985</v>
      </c>
      <c r="B1885" t="s">
        <v>44</v>
      </c>
      <c r="C1885">
        <v>4</v>
      </c>
      <c r="D1885">
        <v>21.1</v>
      </c>
      <c r="E1885">
        <v>84.4</v>
      </c>
      <c r="F1885" s="2">
        <v>45726</v>
      </c>
      <c r="G1885" s="2">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ht="18" x14ac:dyDescent="0.5">
      <c r="A1886" t="s">
        <v>1986</v>
      </c>
      <c r="B1886" t="s">
        <v>44</v>
      </c>
      <c r="C1886">
        <v>3</v>
      </c>
      <c r="D1886">
        <v>33.200000000000003</v>
      </c>
      <c r="E1886">
        <v>99.600000000000009</v>
      </c>
      <c r="F1886" s="2">
        <v>45726</v>
      </c>
      <c r="G1886" s="2">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ht="18" x14ac:dyDescent="0.5">
      <c r="A1887" t="s">
        <v>1987</v>
      </c>
      <c r="B1887" t="s">
        <v>22</v>
      </c>
      <c r="C1887">
        <v>4</v>
      </c>
      <c r="D1887">
        <v>74.5</v>
      </c>
      <c r="E1887">
        <v>298</v>
      </c>
      <c r="F1887" s="2">
        <v>45726</v>
      </c>
      <c r="G1887" s="2">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ht="18" x14ac:dyDescent="0.5">
      <c r="A1888" t="s">
        <v>1988</v>
      </c>
      <c r="B1888" t="s">
        <v>54</v>
      </c>
      <c r="C1888">
        <v>12</v>
      </c>
      <c r="D1888">
        <v>68.599999999999994</v>
      </c>
      <c r="E1888">
        <v>823.19999999999993</v>
      </c>
      <c r="F1888" s="2">
        <v>45726</v>
      </c>
      <c r="G1888" s="2">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ht="18" x14ac:dyDescent="0.5">
      <c r="A1889" t="s">
        <v>1989</v>
      </c>
      <c r="B1889" t="s">
        <v>37</v>
      </c>
      <c r="C1889">
        <v>14</v>
      </c>
      <c r="D1889">
        <v>36.4</v>
      </c>
      <c r="E1889">
        <v>509.59999999999997</v>
      </c>
      <c r="F1889" s="2">
        <v>45726</v>
      </c>
      <c r="G1889" s="2">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ht="18" x14ac:dyDescent="0.5">
      <c r="A1890" t="s">
        <v>1990</v>
      </c>
      <c r="B1890" t="s">
        <v>128</v>
      </c>
      <c r="C1890">
        <v>5</v>
      </c>
      <c r="D1890">
        <v>67.599999999999994</v>
      </c>
      <c r="E1890">
        <v>338</v>
      </c>
      <c r="F1890" s="2">
        <v>45727</v>
      </c>
      <c r="G1890" s="2">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ht="18" x14ac:dyDescent="0.5">
      <c r="A1891" t="s">
        <v>1991</v>
      </c>
      <c r="B1891" t="s">
        <v>123</v>
      </c>
      <c r="C1891">
        <v>1</v>
      </c>
      <c r="D1891">
        <v>46.3</v>
      </c>
      <c r="E1891">
        <v>46.3</v>
      </c>
      <c r="F1891" s="2">
        <v>45727</v>
      </c>
      <c r="G1891" s="2">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ht="18" x14ac:dyDescent="0.5">
      <c r="A1892" t="s">
        <v>1992</v>
      </c>
      <c r="B1892" t="s">
        <v>22</v>
      </c>
      <c r="C1892">
        <v>3</v>
      </c>
      <c r="D1892">
        <v>124.2</v>
      </c>
      <c r="E1892">
        <v>372.6</v>
      </c>
      <c r="F1892" s="2">
        <v>45727</v>
      </c>
      <c r="G1892" s="2">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ht="18" x14ac:dyDescent="0.5">
      <c r="A1893" t="s">
        <v>1993</v>
      </c>
      <c r="B1893" t="s">
        <v>54</v>
      </c>
      <c r="C1893">
        <v>2</v>
      </c>
      <c r="D1893">
        <v>37</v>
      </c>
      <c r="E1893">
        <v>74</v>
      </c>
      <c r="F1893" s="2">
        <v>45727</v>
      </c>
      <c r="G1893" s="2">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ht="18" x14ac:dyDescent="0.5">
      <c r="A1894" t="s">
        <v>1994</v>
      </c>
      <c r="B1894" t="s">
        <v>37</v>
      </c>
      <c r="C1894">
        <v>1</v>
      </c>
      <c r="D1894">
        <v>41.8</v>
      </c>
      <c r="E1894">
        <v>41.8</v>
      </c>
      <c r="F1894" s="2">
        <v>45727</v>
      </c>
      <c r="G1894" s="2">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ht="18" x14ac:dyDescent="0.5">
      <c r="A1895" t="s">
        <v>1995</v>
      </c>
      <c r="B1895" t="s">
        <v>46</v>
      </c>
      <c r="C1895">
        <v>2</v>
      </c>
      <c r="D1895">
        <v>57.2</v>
      </c>
      <c r="E1895">
        <v>114.4</v>
      </c>
      <c r="F1895" s="2">
        <v>45727</v>
      </c>
      <c r="G1895" s="2">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ht="18" x14ac:dyDescent="0.5">
      <c r="A1896" t="s">
        <v>1996</v>
      </c>
      <c r="B1896" t="s">
        <v>39</v>
      </c>
      <c r="C1896">
        <v>2</v>
      </c>
      <c r="D1896">
        <v>47.1</v>
      </c>
      <c r="E1896">
        <v>94.2</v>
      </c>
      <c r="F1896" s="2">
        <v>45727</v>
      </c>
      <c r="G1896" s="2">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ht="18" x14ac:dyDescent="0.5">
      <c r="A1897" t="s">
        <v>1997</v>
      </c>
      <c r="B1897" t="s">
        <v>37</v>
      </c>
      <c r="C1897">
        <v>3</v>
      </c>
      <c r="D1897">
        <v>86.4</v>
      </c>
      <c r="E1897">
        <v>259.20000000000005</v>
      </c>
      <c r="F1897" s="2">
        <v>45727</v>
      </c>
      <c r="G1897" s="2">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ht="18" x14ac:dyDescent="0.5">
      <c r="A1898" t="s">
        <v>1998</v>
      </c>
      <c r="B1898" t="s">
        <v>39</v>
      </c>
      <c r="C1898">
        <v>5</v>
      </c>
      <c r="D1898">
        <v>105</v>
      </c>
      <c r="E1898">
        <v>525</v>
      </c>
      <c r="F1898" s="2">
        <v>45727</v>
      </c>
      <c r="G1898" s="2">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ht="18" x14ac:dyDescent="0.5">
      <c r="A1899" t="s">
        <v>1999</v>
      </c>
      <c r="B1899" t="s">
        <v>146</v>
      </c>
      <c r="C1899">
        <v>1</v>
      </c>
      <c r="D1899">
        <v>33</v>
      </c>
      <c r="E1899">
        <v>33</v>
      </c>
      <c r="F1899" s="2">
        <v>45727</v>
      </c>
      <c r="G1899" s="2">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ht="18" x14ac:dyDescent="0.5">
      <c r="A1900" t="s">
        <v>2000</v>
      </c>
      <c r="B1900" t="s">
        <v>39</v>
      </c>
      <c r="C1900">
        <v>5</v>
      </c>
      <c r="D1900">
        <v>106.6</v>
      </c>
      <c r="E1900">
        <v>533</v>
      </c>
      <c r="F1900" s="2">
        <v>45727</v>
      </c>
      <c r="G1900" s="2">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ht="18" x14ac:dyDescent="0.5">
      <c r="A1901" t="s">
        <v>2001</v>
      </c>
      <c r="B1901" t="s">
        <v>54</v>
      </c>
      <c r="C1901">
        <v>32</v>
      </c>
      <c r="D1901">
        <v>26.8</v>
      </c>
      <c r="E1901">
        <v>857.6</v>
      </c>
      <c r="F1901" s="2">
        <v>45727</v>
      </c>
      <c r="G1901" s="2">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ht="18" x14ac:dyDescent="0.5">
      <c r="A1902" t="s">
        <v>2002</v>
      </c>
      <c r="B1902" t="s">
        <v>135</v>
      </c>
      <c r="C1902">
        <v>5</v>
      </c>
      <c r="D1902">
        <v>25.8</v>
      </c>
      <c r="E1902">
        <v>129</v>
      </c>
      <c r="F1902" s="2">
        <v>45727</v>
      </c>
      <c r="G1902" s="2">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ht="18" x14ac:dyDescent="0.5">
      <c r="A1903" t="s">
        <v>2003</v>
      </c>
      <c r="B1903" t="s">
        <v>26</v>
      </c>
      <c r="C1903">
        <v>3</v>
      </c>
      <c r="D1903">
        <v>217</v>
      </c>
      <c r="E1903">
        <v>651</v>
      </c>
      <c r="F1903" s="2">
        <v>45727</v>
      </c>
      <c r="G1903" s="2">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ht="18" x14ac:dyDescent="0.5">
      <c r="A1904" t="s">
        <v>2004</v>
      </c>
      <c r="B1904" t="s">
        <v>26</v>
      </c>
      <c r="C1904">
        <v>2</v>
      </c>
      <c r="D1904">
        <v>97.3</v>
      </c>
      <c r="E1904">
        <v>194.6</v>
      </c>
      <c r="F1904" s="2">
        <v>45727</v>
      </c>
      <c r="G1904" s="2">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ht="18" x14ac:dyDescent="0.5">
      <c r="A1905" t="s">
        <v>2005</v>
      </c>
      <c r="B1905" t="s">
        <v>22</v>
      </c>
      <c r="C1905">
        <v>1</v>
      </c>
      <c r="D1905">
        <v>49.8</v>
      </c>
      <c r="E1905">
        <v>49.8</v>
      </c>
      <c r="F1905" s="2">
        <v>45727</v>
      </c>
      <c r="G1905" s="2">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ht="18" x14ac:dyDescent="0.5">
      <c r="A1906" t="s">
        <v>2006</v>
      </c>
      <c r="B1906" t="s">
        <v>69</v>
      </c>
      <c r="C1906">
        <v>5</v>
      </c>
      <c r="D1906">
        <v>32.6</v>
      </c>
      <c r="E1906">
        <v>163</v>
      </c>
      <c r="F1906" s="2">
        <v>45727</v>
      </c>
      <c r="G1906" s="2">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ht="18" x14ac:dyDescent="0.5">
      <c r="A1907" t="s">
        <v>2007</v>
      </c>
      <c r="B1907" t="s">
        <v>46</v>
      </c>
      <c r="C1907">
        <v>2</v>
      </c>
      <c r="D1907">
        <v>40.1</v>
      </c>
      <c r="E1907">
        <v>80.2</v>
      </c>
      <c r="F1907" s="2">
        <v>45727</v>
      </c>
      <c r="G1907" s="2">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ht="18" x14ac:dyDescent="0.5">
      <c r="A1908" t="s">
        <v>2008</v>
      </c>
      <c r="B1908" t="s">
        <v>54</v>
      </c>
      <c r="C1908">
        <v>2</v>
      </c>
      <c r="D1908">
        <v>49.4</v>
      </c>
      <c r="E1908">
        <v>98.8</v>
      </c>
      <c r="F1908" s="2">
        <v>45727</v>
      </c>
      <c r="G1908" s="2">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ht="18" x14ac:dyDescent="0.5">
      <c r="A1909" t="s">
        <v>2009</v>
      </c>
      <c r="B1909" t="s">
        <v>26</v>
      </c>
      <c r="C1909">
        <v>1</v>
      </c>
      <c r="D1909">
        <v>67.3</v>
      </c>
      <c r="E1909">
        <v>67.3</v>
      </c>
      <c r="F1909" s="2">
        <v>45727</v>
      </c>
      <c r="G1909" s="2">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ht="18" x14ac:dyDescent="0.5">
      <c r="A1910" t="s">
        <v>2010</v>
      </c>
      <c r="B1910" t="s">
        <v>146</v>
      </c>
      <c r="C1910">
        <v>4</v>
      </c>
      <c r="D1910">
        <v>44.5</v>
      </c>
      <c r="E1910">
        <v>178</v>
      </c>
      <c r="F1910" s="2">
        <v>45727</v>
      </c>
      <c r="G1910" s="2">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ht="18" x14ac:dyDescent="0.5">
      <c r="A1911" t="s">
        <v>2011</v>
      </c>
      <c r="B1911" t="s">
        <v>39</v>
      </c>
      <c r="C1911">
        <v>11</v>
      </c>
      <c r="D1911">
        <v>111.1</v>
      </c>
      <c r="E1911">
        <v>1222.0999999999999</v>
      </c>
      <c r="F1911" s="2">
        <v>45727</v>
      </c>
      <c r="G1911" s="2">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ht="18" x14ac:dyDescent="0.5">
      <c r="A1912" t="s">
        <v>2012</v>
      </c>
      <c r="B1912" t="s">
        <v>44</v>
      </c>
      <c r="C1912">
        <v>3</v>
      </c>
      <c r="D1912">
        <v>19.7</v>
      </c>
      <c r="E1912">
        <v>59.099999999999994</v>
      </c>
      <c r="F1912" s="2">
        <v>45727</v>
      </c>
      <c r="G1912" s="2">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ht="18" x14ac:dyDescent="0.5">
      <c r="A1913" t="s">
        <v>2013</v>
      </c>
      <c r="B1913" t="s">
        <v>22</v>
      </c>
      <c r="C1913">
        <v>1</v>
      </c>
      <c r="D1913">
        <v>40.299999999999997</v>
      </c>
      <c r="E1913">
        <v>40.299999999999997</v>
      </c>
      <c r="F1913" s="2">
        <v>45727</v>
      </c>
      <c r="G1913" s="2">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ht="18" x14ac:dyDescent="0.5">
      <c r="A1914" t="s">
        <v>2014</v>
      </c>
      <c r="B1914" t="s">
        <v>39</v>
      </c>
      <c r="C1914">
        <v>2</v>
      </c>
      <c r="D1914">
        <v>108.8</v>
      </c>
      <c r="E1914">
        <v>217.6</v>
      </c>
      <c r="F1914" s="2">
        <v>45727</v>
      </c>
      <c r="G1914" s="2">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ht="18" x14ac:dyDescent="0.5">
      <c r="A1915" t="s">
        <v>2015</v>
      </c>
      <c r="B1915" t="s">
        <v>44</v>
      </c>
      <c r="C1915">
        <v>3</v>
      </c>
      <c r="D1915">
        <v>48.2</v>
      </c>
      <c r="E1915">
        <v>144.60000000000002</v>
      </c>
      <c r="F1915" s="2">
        <v>45727</v>
      </c>
      <c r="G1915" s="2">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ht="18" x14ac:dyDescent="0.5">
      <c r="A1916" t="s">
        <v>2016</v>
      </c>
      <c r="B1916" t="s">
        <v>26</v>
      </c>
      <c r="C1916">
        <v>3</v>
      </c>
      <c r="D1916">
        <v>104.7</v>
      </c>
      <c r="E1916">
        <v>314.10000000000002</v>
      </c>
      <c r="F1916" s="2">
        <v>45727</v>
      </c>
      <c r="G1916" s="2">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ht="18" x14ac:dyDescent="0.5">
      <c r="A1917" t="s">
        <v>2017</v>
      </c>
      <c r="B1917" t="s">
        <v>22</v>
      </c>
      <c r="C1917">
        <v>2</v>
      </c>
      <c r="D1917">
        <v>80.599999999999994</v>
      </c>
      <c r="E1917">
        <v>161.19999999999999</v>
      </c>
      <c r="F1917" s="2">
        <v>45727</v>
      </c>
      <c r="G1917" s="2">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ht="18" x14ac:dyDescent="0.5">
      <c r="A1918" t="s">
        <v>2018</v>
      </c>
      <c r="B1918" t="s">
        <v>39</v>
      </c>
      <c r="C1918">
        <v>1</v>
      </c>
      <c r="D1918">
        <v>65.5</v>
      </c>
      <c r="E1918">
        <v>65.5</v>
      </c>
      <c r="F1918" s="2">
        <v>45727</v>
      </c>
      <c r="G1918" s="2">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ht="18" x14ac:dyDescent="0.5">
      <c r="A1919" t="s">
        <v>2019</v>
      </c>
      <c r="B1919" t="s">
        <v>46</v>
      </c>
      <c r="C1919">
        <v>3</v>
      </c>
      <c r="D1919">
        <v>61.4</v>
      </c>
      <c r="E1919">
        <v>184.2</v>
      </c>
      <c r="F1919" s="2">
        <v>45727</v>
      </c>
      <c r="G1919" s="2">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ht="18" x14ac:dyDescent="0.5">
      <c r="A1920" t="s">
        <v>2020</v>
      </c>
      <c r="B1920" t="s">
        <v>16</v>
      </c>
      <c r="C1920">
        <v>1</v>
      </c>
      <c r="D1920">
        <v>12.5</v>
      </c>
      <c r="E1920">
        <v>12.5</v>
      </c>
      <c r="F1920" s="2">
        <v>45728</v>
      </c>
      <c r="G1920" s="2">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ht="18" x14ac:dyDescent="0.5">
      <c r="A1921" t="s">
        <v>2021</v>
      </c>
      <c r="B1921" t="s">
        <v>32</v>
      </c>
      <c r="C1921">
        <v>4</v>
      </c>
      <c r="D1921">
        <v>35.1</v>
      </c>
      <c r="E1921">
        <v>140.4</v>
      </c>
      <c r="F1921" s="2">
        <v>45728</v>
      </c>
      <c r="G1921" s="2">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ht="18" x14ac:dyDescent="0.5">
      <c r="A1922" t="s">
        <v>2022</v>
      </c>
      <c r="B1922" t="s">
        <v>37</v>
      </c>
      <c r="C1922">
        <v>2</v>
      </c>
      <c r="D1922">
        <v>55.7</v>
      </c>
      <c r="E1922">
        <v>111.4</v>
      </c>
      <c r="F1922" s="2">
        <v>45728</v>
      </c>
      <c r="G1922" s="2">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ht="18" x14ac:dyDescent="0.5">
      <c r="A1923" t="s">
        <v>2023</v>
      </c>
      <c r="B1923" t="s">
        <v>42</v>
      </c>
      <c r="C1923">
        <v>2</v>
      </c>
      <c r="D1923">
        <v>57.7</v>
      </c>
      <c r="E1923">
        <v>115.4</v>
      </c>
      <c r="F1923" s="2">
        <v>45728</v>
      </c>
      <c r="G1923" s="2">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ht="18" x14ac:dyDescent="0.5">
      <c r="A1924" t="s">
        <v>2024</v>
      </c>
      <c r="B1924" t="s">
        <v>26</v>
      </c>
      <c r="C1924">
        <v>6</v>
      </c>
      <c r="D1924">
        <v>85.7</v>
      </c>
      <c r="E1924">
        <v>514.20000000000005</v>
      </c>
      <c r="F1924" s="2">
        <v>45728</v>
      </c>
      <c r="G1924" s="2">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ht="18" x14ac:dyDescent="0.5">
      <c r="A1925" t="s">
        <v>2025</v>
      </c>
      <c r="B1925" t="s">
        <v>26</v>
      </c>
      <c r="C1925">
        <v>3</v>
      </c>
      <c r="D1925">
        <v>86.9</v>
      </c>
      <c r="E1925">
        <v>260.70000000000005</v>
      </c>
      <c r="F1925" s="2">
        <v>45728</v>
      </c>
      <c r="G1925" s="2">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ht="18" x14ac:dyDescent="0.5">
      <c r="A1926" t="s">
        <v>2026</v>
      </c>
      <c r="B1926" t="s">
        <v>146</v>
      </c>
      <c r="C1926">
        <v>2</v>
      </c>
      <c r="D1926">
        <v>46.4</v>
      </c>
      <c r="E1926">
        <v>92.8</v>
      </c>
      <c r="F1926" s="2">
        <v>45728</v>
      </c>
      <c r="G1926" s="2">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ht="18" x14ac:dyDescent="0.5">
      <c r="A1927" t="s">
        <v>2027</v>
      </c>
      <c r="B1927" t="s">
        <v>37</v>
      </c>
      <c r="C1927">
        <v>3</v>
      </c>
      <c r="D1927">
        <v>25.4</v>
      </c>
      <c r="E1927">
        <v>76.199999999999989</v>
      </c>
      <c r="F1927" s="2">
        <v>45728</v>
      </c>
      <c r="G1927" s="2">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ht="18" x14ac:dyDescent="0.5">
      <c r="A1928" t="s">
        <v>2028</v>
      </c>
      <c r="B1928" t="s">
        <v>54</v>
      </c>
      <c r="C1928">
        <v>3</v>
      </c>
      <c r="D1928">
        <v>47.8</v>
      </c>
      <c r="E1928">
        <v>143.39999999999998</v>
      </c>
      <c r="F1928" s="2">
        <v>45728</v>
      </c>
      <c r="G1928" s="2">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ht="18" x14ac:dyDescent="0.5">
      <c r="A1929" t="s">
        <v>2029</v>
      </c>
      <c r="B1929" t="s">
        <v>44</v>
      </c>
      <c r="C1929">
        <v>19</v>
      </c>
      <c r="D1929">
        <v>18.399999999999999</v>
      </c>
      <c r="E1929">
        <v>349.59999999999997</v>
      </c>
      <c r="F1929" s="2">
        <v>45728</v>
      </c>
      <c r="G1929" s="2">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ht="18" x14ac:dyDescent="0.5">
      <c r="A1930" t="s">
        <v>2030</v>
      </c>
      <c r="B1930" t="s">
        <v>69</v>
      </c>
      <c r="C1930">
        <v>3</v>
      </c>
      <c r="D1930">
        <v>65.5</v>
      </c>
      <c r="E1930">
        <v>196.5</v>
      </c>
      <c r="F1930" s="2">
        <v>45728</v>
      </c>
      <c r="G1930" s="2">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ht="18" x14ac:dyDescent="0.5">
      <c r="A1931" t="s">
        <v>2031</v>
      </c>
      <c r="B1931" t="s">
        <v>54</v>
      </c>
      <c r="C1931">
        <v>2</v>
      </c>
      <c r="D1931">
        <v>50.6</v>
      </c>
      <c r="E1931">
        <v>101.2</v>
      </c>
      <c r="F1931" s="2">
        <v>45728</v>
      </c>
      <c r="G1931" s="2">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ht="18" x14ac:dyDescent="0.5">
      <c r="A1932" t="s">
        <v>2032</v>
      </c>
      <c r="B1932" t="s">
        <v>30</v>
      </c>
      <c r="C1932">
        <v>5</v>
      </c>
      <c r="D1932">
        <v>69</v>
      </c>
      <c r="E1932">
        <v>345</v>
      </c>
      <c r="F1932" s="2">
        <v>45728</v>
      </c>
      <c r="G1932" s="2">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ht="18" x14ac:dyDescent="0.5">
      <c r="A1933" t="s">
        <v>2033</v>
      </c>
      <c r="B1933" t="s">
        <v>46</v>
      </c>
      <c r="C1933">
        <v>8</v>
      </c>
      <c r="D1933">
        <v>51.1</v>
      </c>
      <c r="E1933">
        <v>408.8</v>
      </c>
      <c r="F1933" s="2">
        <v>45728</v>
      </c>
      <c r="G1933" s="2">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ht="18" x14ac:dyDescent="0.5">
      <c r="A1934" t="s">
        <v>2034</v>
      </c>
      <c r="B1934" t="s">
        <v>46</v>
      </c>
      <c r="C1934">
        <v>1</v>
      </c>
      <c r="D1934">
        <v>36.1</v>
      </c>
      <c r="E1934">
        <v>36.1</v>
      </c>
      <c r="F1934" s="2">
        <v>45728</v>
      </c>
      <c r="G1934" s="2">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ht="18" x14ac:dyDescent="0.5">
      <c r="A1935" t="s">
        <v>2035</v>
      </c>
      <c r="B1935" t="s">
        <v>81</v>
      </c>
      <c r="C1935">
        <v>1</v>
      </c>
      <c r="D1935">
        <v>18.7</v>
      </c>
      <c r="E1935">
        <v>18.7</v>
      </c>
      <c r="F1935" s="2">
        <v>45728</v>
      </c>
      <c r="G1935" s="2">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ht="18" x14ac:dyDescent="0.5">
      <c r="A1936" t="s">
        <v>2036</v>
      </c>
      <c r="B1936" t="s">
        <v>135</v>
      </c>
      <c r="C1936">
        <v>1</v>
      </c>
      <c r="D1936">
        <v>30.1</v>
      </c>
      <c r="E1936">
        <v>30.1</v>
      </c>
      <c r="F1936" s="2">
        <v>45728</v>
      </c>
      <c r="G1936" s="2">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ht="18" x14ac:dyDescent="0.5">
      <c r="A1937" t="s">
        <v>2037</v>
      </c>
      <c r="B1937" t="s">
        <v>44</v>
      </c>
      <c r="C1937">
        <v>1</v>
      </c>
      <c r="D1937">
        <v>16.3</v>
      </c>
      <c r="E1937">
        <v>16.3</v>
      </c>
      <c r="F1937" s="2">
        <v>45728</v>
      </c>
      <c r="G1937" s="2">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ht="18" x14ac:dyDescent="0.5">
      <c r="A1938" t="s">
        <v>2038</v>
      </c>
      <c r="B1938" t="s">
        <v>22</v>
      </c>
      <c r="C1938">
        <v>3</v>
      </c>
      <c r="D1938">
        <v>63.8</v>
      </c>
      <c r="E1938">
        <v>191.39999999999998</v>
      </c>
      <c r="F1938" s="2">
        <v>45728</v>
      </c>
      <c r="G1938" s="2">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ht="18" x14ac:dyDescent="0.5">
      <c r="A1939" t="s">
        <v>2039</v>
      </c>
      <c r="B1939" t="s">
        <v>22</v>
      </c>
      <c r="C1939">
        <v>7</v>
      </c>
      <c r="D1939">
        <v>73.900000000000006</v>
      </c>
      <c r="E1939">
        <v>517.30000000000007</v>
      </c>
      <c r="F1939" s="2">
        <v>45728</v>
      </c>
      <c r="G1939" s="2">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ht="18" x14ac:dyDescent="0.5">
      <c r="A1940" t="s">
        <v>2040</v>
      </c>
      <c r="B1940" t="s">
        <v>16</v>
      </c>
      <c r="C1940">
        <v>2</v>
      </c>
      <c r="D1940">
        <v>20.2</v>
      </c>
      <c r="E1940">
        <v>40.4</v>
      </c>
      <c r="F1940" s="2">
        <v>45728</v>
      </c>
      <c r="G1940" s="2">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ht="18" x14ac:dyDescent="0.5">
      <c r="A1941" t="s">
        <v>2041</v>
      </c>
      <c r="B1941" t="s">
        <v>67</v>
      </c>
      <c r="C1941">
        <v>11</v>
      </c>
      <c r="D1941">
        <v>29.5</v>
      </c>
      <c r="E1941">
        <v>324.5</v>
      </c>
      <c r="F1941" s="2">
        <v>45728</v>
      </c>
      <c r="G1941" s="2">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ht="18" x14ac:dyDescent="0.5">
      <c r="A1942" t="s">
        <v>2042</v>
      </c>
      <c r="B1942" t="s">
        <v>123</v>
      </c>
      <c r="C1942">
        <v>7</v>
      </c>
      <c r="D1942">
        <v>37.9</v>
      </c>
      <c r="E1942">
        <v>265.3</v>
      </c>
      <c r="F1942" s="2">
        <v>45728</v>
      </c>
      <c r="G1942" s="2">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ht="18" x14ac:dyDescent="0.5">
      <c r="A1943" t="s">
        <v>2043</v>
      </c>
      <c r="B1943" t="s">
        <v>26</v>
      </c>
      <c r="C1943">
        <v>1</v>
      </c>
      <c r="D1943">
        <v>56.5</v>
      </c>
      <c r="E1943">
        <v>56.5</v>
      </c>
      <c r="F1943" s="2">
        <v>45728</v>
      </c>
      <c r="G1943" s="2">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ht="18" x14ac:dyDescent="0.5">
      <c r="A1944" t="s">
        <v>2044</v>
      </c>
      <c r="B1944" t="s">
        <v>26</v>
      </c>
      <c r="C1944">
        <v>2</v>
      </c>
      <c r="D1944">
        <v>66.900000000000006</v>
      </c>
      <c r="E1944">
        <v>133.80000000000001</v>
      </c>
      <c r="F1944" s="2">
        <v>45728</v>
      </c>
      <c r="G1944" s="2">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ht="18" x14ac:dyDescent="0.5">
      <c r="A1945" t="s">
        <v>2045</v>
      </c>
      <c r="B1945" t="s">
        <v>26</v>
      </c>
      <c r="C1945">
        <v>5</v>
      </c>
      <c r="D1945">
        <v>51.9</v>
      </c>
      <c r="E1945">
        <v>259.5</v>
      </c>
      <c r="F1945" s="2">
        <v>45728</v>
      </c>
      <c r="G1945" s="2">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ht="18" x14ac:dyDescent="0.5">
      <c r="A1946" t="s">
        <v>2046</v>
      </c>
      <c r="B1946" t="s">
        <v>26</v>
      </c>
      <c r="C1946">
        <v>2</v>
      </c>
      <c r="D1946">
        <v>75.599999999999994</v>
      </c>
      <c r="E1946">
        <v>151.19999999999999</v>
      </c>
      <c r="F1946" s="2">
        <v>45728</v>
      </c>
      <c r="G1946" s="2">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ht="18" x14ac:dyDescent="0.5">
      <c r="A1947" t="s">
        <v>2047</v>
      </c>
      <c r="B1947" t="s">
        <v>69</v>
      </c>
      <c r="C1947">
        <v>6</v>
      </c>
      <c r="D1947">
        <v>47.3</v>
      </c>
      <c r="E1947">
        <v>283.79999999999995</v>
      </c>
      <c r="F1947" s="2">
        <v>45728</v>
      </c>
      <c r="G1947" s="2">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ht="18" x14ac:dyDescent="0.5">
      <c r="A1948" t="s">
        <v>2048</v>
      </c>
      <c r="B1948" t="s">
        <v>32</v>
      </c>
      <c r="C1948">
        <v>1</v>
      </c>
      <c r="D1948">
        <v>20.6</v>
      </c>
      <c r="E1948">
        <v>20.6</v>
      </c>
      <c r="F1948" s="2">
        <v>45728</v>
      </c>
      <c r="G1948" s="2">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ht="18" x14ac:dyDescent="0.5">
      <c r="A1949" t="s">
        <v>2049</v>
      </c>
      <c r="B1949" t="s">
        <v>39</v>
      </c>
      <c r="C1949">
        <v>3</v>
      </c>
      <c r="D1949">
        <v>49.7</v>
      </c>
      <c r="E1949">
        <v>149.10000000000002</v>
      </c>
      <c r="F1949" s="2">
        <v>45728</v>
      </c>
      <c r="G1949" s="2">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ht="18" x14ac:dyDescent="0.5">
      <c r="A1950" t="s">
        <v>2050</v>
      </c>
      <c r="B1950" t="s">
        <v>30</v>
      </c>
      <c r="C1950">
        <v>1</v>
      </c>
      <c r="D1950">
        <v>37.9</v>
      </c>
      <c r="E1950">
        <v>37.9</v>
      </c>
      <c r="F1950" s="2">
        <v>45728</v>
      </c>
      <c r="G1950" s="2">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ht="18" x14ac:dyDescent="0.5">
      <c r="A1951" t="s">
        <v>2051</v>
      </c>
      <c r="B1951" t="s">
        <v>76</v>
      </c>
      <c r="C1951">
        <v>15</v>
      </c>
      <c r="D1951">
        <v>32</v>
      </c>
      <c r="E1951">
        <v>480</v>
      </c>
      <c r="F1951" s="2">
        <v>45728</v>
      </c>
      <c r="G1951" s="2">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ht="18" x14ac:dyDescent="0.5">
      <c r="A1952" t="s">
        <v>2052</v>
      </c>
      <c r="B1952" t="s">
        <v>54</v>
      </c>
      <c r="C1952">
        <v>18</v>
      </c>
      <c r="D1952">
        <v>38.5</v>
      </c>
      <c r="E1952">
        <v>693</v>
      </c>
      <c r="F1952" s="2">
        <v>45729</v>
      </c>
      <c r="G1952" s="2">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ht="18" x14ac:dyDescent="0.5">
      <c r="A1953" t="s">
        <v>2053</v>
      </c>
      <c r="B1953" t="s">
        <v>16</v>
      </c>
      <c r="C1953">
        <v>4</v>
      </c>
      <c r="D1953">
        <v>11.7</v>
      </c>
      <c r="E1953">
        <v>46.8</v>
      </c>
      <c r="F1953" s="2">
        <v>45729</v>
      </c>
      <c r="G1953" s="2">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ht="18" x14ac:dyDescent="0.5">
      <c r="A1954" t="s">
        <v>2054</v>
      </c>
      <c r="B1954" t="s">
        <v>30</v>
      </c>
      <c r="C1954">
        <v>6</v>
      </c>
      <c r="D1954">
        <v>83.8</v>
      </c>
      <c r="E1954">
        <v>502.79999999999995</v>
      </c>
      <c r="F1954" s="2">
        <v>45729</v>
      </c>
      <c r="G1954" s="2">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ht="18" x14ac:dyDescent="0.5">
      <c r="A1955" t="s">
        <v>2055</v>
      </c>
      <c r="B1955" t="s">
        <v>16</v>
      </c>
      <c r="C1955">
        <v>7</v>
      </c>
      <c r="D1955">
        <v>14</v>
      </c>
      <c r="E1955">
        <v>98</v>
      </c>
      <c r="F1955" s="2">
        <v>45729</v>
      </c>
      <c r="G1955" s="2">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ht="18" x14ac:dyDescent="0.5">
      <c r="A1956" t="s">
        <v>2056</v>
      </c>
      <c r="B1956" t="s">
        <v>128</v>
      </c>
      <c r="C1956">
        <v>4</v>
      </c>
      <c r="D1956">
        <v>77.3</v>
      </c>
      <c r="E1956">
        <v>309.2</v>
      </c>
      <c r="F1956" s="2">
        <v>45729</v>
      </c>
      <c r="G1956" s="2">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ht="18" x14ac:dyDescent="0.5">
      <c r="A1957" t="s">
        <v>2057</v>
      </c>
      <c r="B1957" t="s">
        <v>26</v>
      </c>
      <c r="C1957">
        <v>2</v>
      </c>
      <c r="D1957">
        <v>76.900000000000006</v>
      </c>
      <c r="E1957">
        <v>153.80000000000001</v>
      </c>
      <c r="F1957" s="2">
        <v>45729</v>
      </c>
      <c r="G1957" s="2">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ht="18" x14ac:dyDescent="0.5">
      <c r="A1958" t="s">
        <v>2058</v>
      </c>
      <c r="B1958" t="s">
        <v>22</v>
      </c>
      <c r="C1958">
        <v>1</v>
      </c>
      <c r="D1958">
        <v>48</v>
      </c>
      <c r="E1958">
        <v>48</v>
      </c>
      <c r="F1958" s="2">
        <v>45729</v>
      </c>
      <c r="G1958" s="2">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ht="18" x14ac:dyDescent="0.5">
      <c r="A1959" t="s">
        <v>2059</v>
      </c>
      <c r="B1959" t="s">
        <v>26</v>
      </c>
      <c r="C1959">
        <v>1</v>
      </c>
      <c r="D1959">
        <v>94.5</v>
      </c>
      <c r="E1959">
        <v>94.5</v>
      </c>
      <c r="F1959" s="2">
        <v>45729</v>
      </c>
      <c r="G1959" s="2">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ht="18" x14ac:dyDescent="0.5">
      <c r="A1960" t="s">
        <v>2060</v>
      </c>
      <c r="B1960" t="s">
        <v>54</v>
      </c>
      <c r="C1960">
        <v>3</v>
      </c>
      <c r="D1960">
        <v>58.4</v>
      </c>
      <c r="E1960">
        <v>175.2</v>
      </c>
      <c r="F1960" s="2">
        <v>45729</v>
      </c>
      <c r="G1960" s="2">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ht="18" x14ac:dyDescent="0.5">
      <c r="A1961" t="s">
        <v>2061</v>
      </c>
      <c r="B1961" t="s">
        <v>42</v>
      </c>
      <c r="C1961">
        <v>13</v>
      </c>
      <c r="D1961">
        <v>42.2</v>
      </c>
      <c r="E1961">
        <v>548.6</v>
      </c>
      <c r="F1961" s="2">
        <v>45729</v>
      </c>
      <c r="G1961" s="2">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ht="18" x14ac:dyDescent="0.5">
      <c r="A1962" t="s">
        <v>2062</v>
      </c>
      <c r="B1962" t="s">
        <v>39</v>
      </c>
      <c r="C1962">
        <v>2</v>
      </c>
      <c r="D1962">
        <v>152.19999999999999</v>
      </c>
      <c r="E1962">
        <v>304.39999999999998</v>
      </c>
      <c r="F1962" s="2">
        <v>45729</v>
      </c>
      <c r="G1962" s="2">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ht="18" x14ac:dyDescent="0.5">
      <c r="A1963" t="s">
        <v>2063</v>
      </c>
      <c r="B1963" t="s">
        <v>39</v>
      </c>
      <c r="C1963">
        <v>24</v>
      </c>
      <c r="D1963">
        <v>72</v>
      </c>
      <c r="E1963">
        <v>1728</v>
      </c>
      <c r="F1963" s="2">
        <v>45729</v>
      </c>
      <c r="G1963" s="2">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ht="18" x14ac:dyDescent="0.5">
      <c r="A1964" t="s">
        <v>2064</v>
      </c>
      <c r="B1964" t="s">
        <v>22</v>
      </c>
      <c r="C1964">
        <v>23</v>
      </c>
      <c r="D1964">
        <v>70.900000000000006</v>
      </c>
      <c r="E1964">
        <v>1630.7</v>
      </c>
      <c r="F1964" s="2">
        <v>45729</v>
      </c>
      <c r="G1964" s="2">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ht="18" x14ac:dyDescent="0.5">
      <c r="A1965" t="s">
        <v>2065</v>
      </c>
      <c r="B1965" t="s">
        <v>26</v>
      </c>
      <c r="C1965">
        <v>2</v>
      </c>
      <c r="D1965">
        <v>53.7</v>
      </c>
      <c r="E1965">
        <v>107.4</v>
      </c>
      <c r="F1965" s="2">
        <v>45729</v>
      </c>
      <c r="G1965" s="2">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ht="18" x14ac:dyDescent="0.5">
      <c r="A1966" t="s">
        <v>2066</v>
      </c>
      <c r="B1966" t="s">
        <v>46</v>
      </c>
      <c r="C1966">
        <v>4</v>
      </c>
      <c r="D1966">
        <v>42.9</v>
      </c>
      <c r="E1966">
        <v>171.6</v>
      </c>
      <c r="F1966" s="2">
        <v>45729</v>
      </c>
      <c r="G1966" s="2">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ht="18" x14ac:dyDescent="0.5">
      <c r="A1967" t="s">
        <v>2067</v>
      </c>
      <c r="B1967" t="s">
        <v>26</v>
      </c>
      <c r="C1967">
        <v>7</v>
      </c>
      <c r="D1967">
        <v>107.5</v>
      </c>
      <c r="E1967">
        <v>752.5</v>
      </c>
      <c r="F1967" s="2">
        <v>45729</v>
      </c>
      <c r="G1967" s="2">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ht="18" x14ac:dyDescent="0.5">
      <c r="A1968" t="s">
        <v>2068</v>
      </c>
      <c r="B1968" t="s">
        <v>135</v>
      </c>
      <c r="C1968">
        <v>16</v>
      </c>
      <c r="D1968">
        <v>21.5</v>
      </c>
      <c r="E1968">
        <v>344</v>
      </c>
      <c r="F1968" s="2">
        <v>45729</v>
      </c>
      <c r="G1968" s="2">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ht="18" x14ac:dyDescent="0.5">
      <c r="A1969" t="s">
        <v>2069</v>
      </c>
      <c r="B1969" t="s">
        <v>30</v>
      </c>
      <c r="C1969">
        <v>5</v>
      </c>
      <c r="D1969">
        <v>85.3</v>
      </c>
      <c r="E1969">
        <v>426.5</v>
      </c>
      <c r="F1969" s="2">
        <v>45729</v>
      </c>
      <c r="G1969" s="2">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ht="18" x14ac:dyDescent="0.5">
      <c r="A1970" t="s">
        <v>2070</v>
      </c>
      <c r="B1970" t="s">
        <v>42</v>
      </c>
      <c r="C1970">
        <v>5</v>
      </c>
      <c r="D1970">
        <v>80.8</v>
      </c>
      <c r="E1970">
        <v>404</v>
      </c>
      <c r="F1970" s="2">
        <v>45729</v>
      </c>
      <c r="G1970" s="2">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ht="18" x14ac:dyDescent="0.5">
      <c r="A1971" t="s">
        <v>2071</v>
      </c>
      <c r="B1971" t="s">
        <v>26</v>
      </c>
      <c r="C1971">
        <v>3</v>
      </c>
      <c r="D1971">
        <v>123.1</v>
      </c>
      <c r="E1971">
        <v>369.29999999999995</v>
      </c>
      <c r="F1971" s="2">
        <v>45729</v>
      </c>
      <c r="G1971" s="2">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ht="18" x14ac:dyDescent="0.5">
      <c r="A1972" t="s">
        <v>2072</v>
      </c>
      <c r="B1972" t="s">
        <v>44</v>
      </c>
      <c r="C1972">
        <v>2</v>
      </c>
      <c r="D1972">
        <v>36.9</v>
      </c>
      <c r="E1972">
        <v>73.8</v>
      </c>
      <c r="F1972" s="2">
        <v>45729</v>
      </c>
      <c r="G1972" s="2">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ht="18" x14ac:dyDescent="0.5">
      <c r="A1973" t="s">
        <v>2073</v>
      </c>
      <c r="B1973" t="s">
        <v>67</v>
      </c>
      <c r="C1973">
        <v>5</v>
      </c>
      <c r="D1973">
        <v>40</v>
      </c>
      <c r="E1973">
        <v>200</v>
      </c>
      <c r="F1973" s="2">
        <v>45729</v>
      </c>
      <c r="G1973" s="2">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ht="18" x14ac:dyDescent="0.5">
      <c r="A1974" t="s">
        <v>2074</v>
      </c>
      <c r="B1974" t="s">
        <v>39</v>
      </c>
      <c r="C1974">
        <v>3</v>
      </c>
      <c r="D1974">
        <v>55.5</v>
      </c>
      <c r="E1974">
        <v>166.5</v>
      </c>
      <c r="F1974" s="2">
        <v>45729</v>
      </c>
      <c r="G1974" s="2">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ht="18" x14ac:dyDescent="0.5">
      <c r="A1975" t="s">
        <v>2075</v>
      </c>
      <c r="B1975" t="s">
        <v>16</v>
      </c>
      <c r="C1975">
        <v>4</v>
      </c>
      <c r="D1975">
        <v>20.5</v>
      </c>
      <c r="E1975">
        <v>82</v>
      </c>
      <c r="F1975" s="2">
        <v>45729</v>
      </c>
      <c r="G1975" s="2">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ht="18" x14ac:dyDescent="0.5">
      <c r="A1976" t="s">
        <v>2076</v>
      </c>
      <c r="B1976" t="s">
        <v>146</v>
      </c>
      <c r="C1976">
        <v>4</v>
      </c>
      <c r="D1976">
        <v>50.1</v>
      </c>
      <c r="E1976">
        <v>200.4</v>
      </c>
      <c r="F1976" s="2">
        <v>45729</v>
      </c>
      <c r="G1976" s="2">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ht="18" x14ac:dyDescent="0.5">
      <c r="A1977" t="s">
        <v>2077</v>
      </c>
      <c r="B1977" t="s">
        <v>46</v>
      </c>
      <c r="C1977">
        <v>1</v>
      </c>
      <c r="D1977">
        <v>35.9</v>
      </c>
      <c r="E1977">
        <v>35.9</v>
      </c>
      <c r="F1977" s="2">
        <v>45729</v>
      </c>
      <c r="G1977" s="2">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ht="18" x14ac:dyDescent="0.5">
      <c r="A1978" t="s">
        <v>2078</v>
      </c>
      <c r="B1978" t="s">
        <v>76</v>
      </c>
      <c r="C1978">
        <v>4</v>
      </c>
      <c r="D1978">
        <v>29.4</v>
      </c>
      <c r="E1978">
        <v>117.6</v>
      </c>
      <c r="F1978" s="2">
        <v>45730</v>
      </c>
      <c r="G1978" s="2">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ht="18" x14ac:dyDescent="0.5">
      <c r="A1979" t="s">
        <v>2079</v>
      </c>
      <c r="B1979" t="s">
        <v>44</v>
      </c>
      <c r="C1979">
        <v>5</v>
      </c>
      <c r="D1979">
        <v>29.1</v>
      </c>
      <c r="E1979">
        <v>145.5</v>
      </c>
      <c r="F1979" s="2">
        <v>45730</v>
      </c>
      <c r="G1979" s="2">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ht="18" x14ac:dyDescent="0.5">
      <c r="A1980" t="s">
        <v>2080</v>
      </c>
      <c r="B1980" t="s">
        <v>44</v>
      </c>
      <c r="C1980">
        <v>3</v>
      </c>
      <c r="D1980">
        <v>33.5</v>
      </c>
      <c r="E1980">
        <v>100.5</v>
      </c>
      <c r="F1980" s="2">
        <v>45730</v>
      </c>
      <c r="G1980" s="2">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ht="18" x14ac:dyDescent="0.5">
      <c r="A1981" t="s">
        <v>2081</v>
      </c>
      <c r="B1981" t="s">
        <v>32</v>
      </c>
      <c r="C1981">
        <v>10</v>
      </c>
      <c r="D1981">
        <v>36</v>
      </c>
      <c r="E1981">
        <v>360</v>
      </c>
      <c r="F1981" s="2">
        <v>45730</v>
      </c>
      <c r="G1981" s="2">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ht="18" x14ac:dyDescent="0.5">
      <c r="A1982" t="s">
        <v>2082</v>
      </c>
      <c r="B1982" t="s">
        <v>128</v>
      </c>
      <c r="C1982">
        <v>3</v>
      </c>
      <c r="D1982">
        <v>57.3</v>
      </c>
      <c r="E1982">
        <v>171.89999999999998</v>
      </c>
      <c r="F1982" s="2">
        <v>45730</v>
      </c>
      <c r="G1982" s="2">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ht="18" x14ac:dyDescent="0.5">
      <c r="A1983" t="s">
        <v>2083</v>
      </c>
      <c r="B1983" t="s">
        <v>22</v>
      </c>
      <c r="C1983">
        <v>1</v>
      </c>
      <c r="D1983">
        <v>81.400000000000006</v>
      </c>
      <c r="E1983">
        <v>81.400000000000006</v>
      </c>
      <c r="F1983" s="2">
        <v>45730</v>
      </c>
      <c r="G1983" s="2">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ht="18" x14ac:dyDescent="0.5">
      <c r="A1984" t="s">
        <v>2084</v>
      </c>
      <c r="B1984" t="s">
        <v>54</v>
      </c>
      <c r="C1984">
        <v>2</v>
      </c>
      <c r="D1984">
        <v>35.299999999999997</v>
      </c>
      <c r="E1984">
        <v>70.599999999999994</v>
      </c>
      <c r="F1984" s="2">
        <v>45730</v>
      </c>
      <c r="G1984" s="2">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ht="18" x14ac:dyDescent="0.5">
      <c r="A1985" t="s">
        <v>2085</v>
      </c>
      <c r="B1985" t="s">
        <v>30</v>
      </c>
      <c r="C1985">
        <v>1</v>
      </c>
      <c r="D1985">
        <v>36.1</v>
      </c>
      <c r="E1985">
        <v>36.1</v>
      </c>
      <c r="F1985" s="2">
        <v>45730</v>
      </c>
      <c r="G1985" s="2">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ht="18" x14ac:dyDescent="0.5">
      <c r="A1986" t="s">
        <v>2086</v>
      </c>
      <c r="B1986" t="s">
        <v>22</v>
      </c>
      <c r="C1986">
        <v>2</v>
      </c>
      <c r="D1986">
        <v>36.700000000000003</v>
      </c>
      <c r="E1986">
        <v>73.400000000000006</v>
      </c>
      <c r="F1986" s="2">
        <v>45730</v>
      </c>
      <c r="G1986" s="2">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ht="18" x14ac:dyDescent="0.5">
      <c r="A1987" t="s">
        <v>2087</v>
      </c>
      <c r="B1987" t="s">
        <v>54</v>
      </c>
      <c r="C1987">
        <v>1</v>
      </c>
      <c r="D1987">
        <v>20.9</v>
      </c>
      <c r="E1987">
        <v>20.9</v>
      </c>
      <c r="F1987" s="2">
        <v>45730</v>
      </c>
      <c r="G1987" s="2">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ht="18" x14ac:dyDescent="0.5">
      <c r="A1988" t="s">
        <v>2088</v>
      </c>
      <c r="B1988" t="s">
        <v>69</v>
      </c>
      <c r="C1988">
        <v>3</v>
      </c>
      <c r="D1988">
        <v>58.8</v>
      </c>
      <c r="E1988">
        <v>176.39999999999998</v>
      </c>
      <c r="F1988" s="2">
        <v>45730</v>
      </c>
      <c r="G1988" s="2">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ht="18" x14ac:dyDescent="0.5">
      <c r="A1989" t="s">
        <v>2089</v>
      </c>
      <c r="B1989" t="s">
        <v>26</v>
      </c>
      <c r="C1989">
        <v>3</v>
      </c>
      <c r="D1989">
        <v>97.6</v>
      </c>
      <c r="E1989">
        <v>292.79999999999995</v>
      </c>
      <c r="F1989" s="2">
        <v>45731</v>
      </c>
      <c r="G1989" s="2">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ht="18" x14ac:dyDescent="0.5">
      <c r="A1990" t="s">
        <v>2090</v>
      </c>
      <c r="B1990" t="s">
        <v>22</v>
      </c>
      <c r="C1990">
        <v>2</v>
      </c>
      <c r="D1990">
        <v>58.7</v>
      </c>
      <c r="E1990">
        <v>117.4</v>
      </c>
      <c r="F1990" s="2">
        <v>45731</v>
      </c>
      <c r="G1990" s="2">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ht="18" x14ac:dyDescent="0.5">
      <c r="A1991" t="s">
        <v>2091</v>
      </c>
      <c r="B1991" t="s">
        <v>39</v>
      </c>
      <c r="C1991">
        <v>5</v>
      </c>
      <c r="D1991">
        <v>71.900000000000006</v>
      </c>
      <c r="E1991">
        <v>359.5</v>
      </c>
      <c r="F1991" s="2">
        <v>45731</v>
      </c>
      <c r="G1991" s="2">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ht="18" x14ac:dyDescent="0.5">
      <c r="A1992" t="s">
        <v>2092</v>
      </c>
      <c r="B1992" t="s">
        <v>22</v>
      </c>
      <c r="C1992">
        <v>2</v>
      </c>
      <c r="D1992">
        <v>62.4</v>
      </c>
      <c r="E1992">
        <v>124.8</v>
      </c>
      <c r="F1992" s="2">
        <v>45731</v>
      </c>
      <c r="G1992" s="2">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ht="18" x14ac:dyDescent="0.5">
      <c r="A1993" t="s">
        <v>2093</v>
      </c>
      <c r="B1993" t="s">
        <v>39</v>
      </c>
      <c r="C1993">
        <v>16</v>
      </c>
      <c r="D1993">
        <v>53.8</v>
      </c>
      <c r="E1993">
        <v>860.8</v>
      </c>
      <c r="F1993" s="2">
        <v>45731</v>
      </c>
      <c r="G1993" s="2">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ht="18" x14ac:dyDescent="0.5">
      <c r="A1994" t="s">
        <v>2094</v>
      </c>
      <c r="B1994" t="s">
        <v>46</v>
      </c>
      <c r="C1994">
        <v>1</v>
      </c>
      <c r="D1994">
        <v>43.8</v>
      </c>
      <c r="E1994">
        <v>43.8</v>
      </c>
      <c r="F1994" s="2">
        <v>45731</v>
      </c>
      <c r="G1994" s="2">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ht="18" x14ac:dyDescent="0.5">
      <c r="A1995" t="s">
        <v>2095</v>
      </c>
      <c r="B1995" t="s">
        <v>37</v>
      </c>
      <c r="C1995">
        <v>3</v>
      </c>
      <c r="D1995">
        <v>53.6</v>
      </c>
      <c r="E1995">
        <v>160.80000000000001</v>
      </c>
      <c r="F1995" s="2">
        <v>45731</v>
      </c>
      <c r="G1995" s="2">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ht="18" x14ac:dyDescent="0.5">
      <c r="A1996" t="s">
        <v>2096</v>
      </c>
      <c r="B1996" t="s">
        <v>69</v>
      </c>
      <c r="C1996">
        <v>2</v>
      </c>
      <c r="D1996">
        <v>84.3</v>
      </c>
      <c r="E1996">
        <v>168.6</v>
      </c>
      <c r="F1996" s="2">
        <v>45731</v>
      </c>
      <c r="G1996" s="2">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ht="18" x14ac:dyDescent="0.5">
      <c r="A1997" t="s">
        <v>2097</v>
      </c>
      <c r="B1997" t="s">
        <v>39</v>
      </c>
      <c r="C1997">
        <v>9</v>
      </c>
      <c r="D1997">
        <v>117.9</v>
      </c>
      <c r="E1997">
        <v>1061.1000000000001</v>
      </c>
      <c r="F1997" s="2">
        <v>45731</v>
      </c>
      <c r="G1997" s="2">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ht="18" x14ac:dyDescent="0.5">
      <c r="A1998" t="s">
        <v>2098</v>
      </c>
      <c r="B1998" t="s">
        <v>32</v>
      </c>
      <c r="C1998">
        <v>8</v>
      </c>
      <c r="D1998">
        <v>30</v>
      </c>
      <c r="E1998">
        <v>240</v>
      </c>
      <c r="F1998" s="2">
        <v>45731</v>
      </c>
      <c r="G1998" s="2">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ht="18" x14ac:dyDescent="0.5">
      <c r="A1999" t="s">
        <v>2099</v>
      </c>
      <c r="B1999" t="s">
        <v>81</v>
      </c>
      <c r="C1999">
        <v>3</v>
      </c>
      <c r="D1999">
        <v>37.299999999999997</v>
      </c>
      <c r="E1999">
        <v>111.89999999999999</v>
      </c>
      <c r="F1999" s="2">
        <v>45731</v>
      </c>
      <c r="G1999" s="2">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ht="18" x14ac:dyDescent="0.5">
      <c r="A2000" t="s">
        <v>2100</v>
      </c>
      <c r="B2000" t="s">
        <v>32</v>
      </c>
      <c r="C2000">
        <v>9</v>
      </c>
      <c r="D2000">
        <v>25.1</v>
      </c>
      <c r="E2000">
        <v>225.9</v>
      </c>
      <c r="F2000" s="2">
        <v>45731</v>
      </c>
      <c r="G2000" s="2">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ht="18" x14ac:dyDescent="0.5">
      <c r="A2001" t="s">
        <v>2101</v>
      </c>
      <c r="B2001" t="s">
        <v>44</v>
      </c>
      <c r="C2001">
        <v>11</v>
      </c>
      <c r="D2001">
        <v>36</v>
      </c>
      <c r="E2001">
        <v>396</v>
      </c>
      <c r="F2001" s="2">
        <v>45731</v>
      </c>
      <c r="G2001" s="2">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ht="18" x14ac:dyDescent="0.5">
      <c r="A2002" t="s">
        <v>2102</v>
      </c>
      <c r="B2002" t="s">
        <v>128</v>
      </c>
      <c r="C2002">
        <v>3</v>
      </c>
      <c r="D2002">
        <v>48.5</v>
      </c>
      <c r="E2002">
        <v>145.5</v>
      </c>
      <c r="F2002" s="2">
        <v>45731</v>
      </c>
      <c r="G2002" s="2">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ht="18" x14ac:dyDescent="0.5">
      <c r="A2003" t="s">
        <v>2103</v>
      </c>
      <c r="B2003" t="s">
        <v>135</v>
      </c>
      <c r="C2003">
        <v>6</v>
      </c>
      <c r="D2003">
        <v>21.1</v>
      </c>
      <c r="E2003">
        <v>126.60000000000001</v>
      </c>
      <c r="F2003" s="2">
        <v>45731</v>
      </c>
      <c r="G2003" s="2">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ht="18" x14ac:dyDescent="0.5">
      <c r="A2004" t="s">
        <v>2104</v>
      </c>
      <c r="B2004" t="s">
        <v>123</v>
      </c>
      <c r="C2004">
        <v>14</v>
      </c>
      <c r="D2004">
        <v>43.2</v>
      </c>
      <c r="E2004">
        <v>604.80000000000007</v>
      </c>
      <c r="F2004" s="2">
        <v>45731</v>
      </c>
      <c r="G2004" s="2">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ht="18" x14ac:dyDescent="0.5">
      <c r="A2005" t="s">
        <v>2105</v>
      </c>
      <c r="B2005" t="s">
        <v>46</v>
      </c>
      <c r="C2005">
        <v>2</v>
      </c>
      <c r="D2005">
        <v>21.1</v>
      </c>
      <c r="E2005">
        <v>42.2</v>
      </c>
      <c r="F2005" s="2">
        <v>45731</v>
      </c>
      <c r="G2005" s="2">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ht="18" x14ac:dyDescent="0.5">
      <c r="A2006" t="s">
        <v>2106</v>
      </c>
      <c r="B2006" t="s">
        <v>39</v>
      </c>
      <c r="C2006">
        <v>4</v>
      </c>
      <c r="D2006">
        <v>41.3</v>
      </c>
      <c r="E2006">
        <v>165.2</v>
      </c>
      <c r="F2006" s="2">
        <v>45731</v>
      </c>
      <c r="G2006" s="2">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ht="18" x14ac:dyDescent="0.5">
      <c r="A2007" t="s">
        <v>2107</v>
      </c>
      <c r="B2007" t="s">
        <v>44</v>
      </c>
      <c r="C2007">
        <v>2</v>
      </c>
      <c r="D2007">
        <v>15.3</v>
      </c>
      <c r="E2007">
        <v>30.6</v>
      </c>
      <c r="F2007" s="2">
        <v>45731</v>
      </c>
      <c r="G2007" s="2">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ht="18" x14ac:dyDescent="0.5">
      <c r="A2008" t="s">
        <v>2108</v>
      </c>
      <c r="B2008" t="s">
        <v>22</v>
      </c>
      <c r="C2008">
        <v>1</v>
      </c>
      <c r="D2008">
        <v>54.6</v>
      </c>
      <c r="E2008">
        <v>54.6</v>
      </c>
      <c r="F2008" s="2">
        <v>45731</v>
      </c>
      <c r="G2008" s="2">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ht="18" x14ac:dyDescent="0.5">
      <c r="A2009" t="s">
        <v>2109</v>
      </c>
      <c r="B2009" t="s">
        <v>44</v>
      </c>
      <c r="C2009">
        <v>1</v>
      </c>
      <c r="D2009">
        <v>15.9</v>
      </c>
      <c r="E2009">
        <v>15.9</v>
      </c>
      <c r="F2009" s="2">
        <v>45731</v>
      </c>
      <c r="G2009" s="2">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ht="18" x14ac:dyDescent="0.5">
      <c r="A2010" t="s">
        <v>2110</v>
      </c>
      <c r="B2010" t="s">
        <v>46</v>
      </c>
      <c r="C2010">
        <v>1</v>
      </c>
      <c r="D2010">
        <v>50.2</v>
      </c>
      <c r="E2010">
        <v>50.2</v>
      </c>
      <c r="F2010" s="2">
        <v>45731</v>
      </c>
      <c r="G2010" s="2">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ht="18" x14ac:dyDescent="0.5">
      <c r="A2011" t="s">
        <v>2111</v>
      </c>
      <c r="B2011" t="s">
        <v>67</v>
      </c>
      <c r="C2011">
        <v>4</v>
      </c>
      <c r="D2011">
        <v>85.1</v>
      </c>
      <c r="E2011">
        <v>340.4</v>
      </c>
      <c r="F2011" s="2">
        <v>45731</v>
      </c>
      <c r="G2011" s="2">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ht="18" x14ac:dyDescent="0.5">
      <c r="A2012" t="s">
        <v>2112</v>
      </c>
      <c r="B2012" t="s">
        <v>67</v>
      </c>
      <c r="C2012">
        <v>2</v>
      </c>
      <c r="D2012">
        <v>41.4</v>
      </c>
      <c r="E2012">
        <v>82.8</v>
      </c>
      <c r="F2012" s="2">
        <v>45731</v>
      </c>
      <c r="G2012" s="2">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ht="18" x14ac:dyDescent="0.5">
      <c r="A2013" t="s">
        <v>2113</v>
      </c>
      <c r="B2013" t="s">
        <v>32</v>
      </c>
      <c r="C2013">
        <v>7</v>
      </c>
      <c r="D2013">
        <v>32.700000000000003</v>
      </c>
      <c r="E2013">
        <v>228.90000000000003</v>
      </c>
      <c r="F2013" s="2">
        <v>45731</v>
      </c>
      <c r="G2013" s="2">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ht="18" x14ac:dyDescent="0.5">
      <c r="A2014" t="s">
        <v>2114</v>
      </c>
      <c r="B2014" t="s">
        <v>32</v>
      </c>
      <c r="C2014">
        <v>2</v>
      </c>
      <c r="D2014">
        <v>41.6</v>
      </c>
      <c r="E2014">
        <v>83.2</v>
      </c>
      <c r="F2014" s="2">
        <v>45731</v>
      </c>
      <c r="G2014" s="2">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ht="18" x14ac:dyDescent="0.5">
      <c r="A2015" t="s">
        <v>2115</v>
      </c>
      <c r="B2015" t="s">
        <v>37</v>
      </c>
      <c r="C2015">
        <v>4</v>
      </c>
      <c r="D2015">
        <v>64.8</v>
      </c>
      <c r="E2015">
        <v>259.2</v>
      </c>
      <c r="F2015" s="2">
        <v>45731</v>
      </c>
      <c r="G2015" s="2">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ht="18" x14ac:dyDescent="0.5">
      <c r="A2016" t="s">
        <v>2116</v>
      </c>
      <c r="B2016" t="s">
        <v>123</v>
      </c>
      <c r="C2016">
        <v>2</v>
      </c>
      <c r="D2016">
        <v>33.6</v>
      </c>
      <c r="E2016">
        <v>67.2</v>
      </c>
      <c r="F2016" s="2">
        <v>45731</v>
      </c>
      <c r="G2016" s="2">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ht="18" x14ac:dyDescent="0.5">
      <c r="A2017" t="s">
        <v>2117</v>
      </c>
      <c r="B2017" t="s">
        <v>39</v>
      </c>
      <c r="C2017">
        <v>3</v>
      </c>
      <c r="D2017">
        <v>100.7</v>
      </c>
      <c r="E2017">
        <v>302.10000000000002</v>
      </c>
      <c r="F2017" s="2">
        <v>45731</v>
      </c>
      <c r="G2017" s="2">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ht="18" x14ac:dyDescent="0.5">
      <c r="A2018" t="s">
        <v>2118</v>
      </c>
      <c r="B2018" t="s">
        <v>32</v>
      </c>
      <c r="C2018">
        <v>2</v>
      </c>
      <c r="D2018">
        <v>49.3</v>
      </c>
      <c r="E2018">
        <v>98.6</v>
      </c>
      <c r="F2018" s="2">
        <v>45732</v>
      </c>
      <c r="G2018" s="2">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ht="18" x14ac:dyDescent="0.5">
      <c r="A2019" t="s">
        <v>2119</v>
      </c>
      <c r="B2019" t="s">
        <v>26</v>
      </c>
      <c r="C2019">
        <v>6</v>
      </c>
      <c r="D2019">
        <v>97</v>
      </c>
      <c r="E2019">
        <v>582</v>
      </c>
      <c r="F2019" s="2">
        <v>45732</v>
      </c>
      <c r="G2019" s="2">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ht="18" x14ac:dyDescent="0.5">
      <c r="A2020" t="s">
        <v>2120</v>
      </c>
      <c r="B2020" t="s">
        <v>16</v>
      </c>
      <c r="C2020">
        <v>6</v>
      </c>
      <c r="D2020">
        <v>25.2</v>
      </c>
      <c r="E2020">
        <v>151.19999999999999</v>
      </c>
      <c r="F2020" s="2">
        <v>45732</v>
      </c>
      <c r="G2020" s="2">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ht="18" x14ac:dyDescent="0.5">
      <c r="A2021" t="s">
        <v>2121</v>
      </c>
      <c r="B2021" t="s">
        <v>16</v>
      </c>
      <c r="C2021">
        <v>11</v>
      </c>
      <c r="D2021">
        <v>12.2</v>
      </c>
      <c r="E2021">
        <v>134.19999999999999</v>
      </c>
      <c r="F2021" s="2">
        <v>45732</v>
      </c>
      <c r="G2021" s="2">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ht="18" x14ac:dyDescent="0.5">
      <c r="A2022" t="s">
        <v>2122</v>
      </c>
      <c r="B2022" t="s">
        <v>44</v>
      </c>
      <c r="C2022">
        <v>7</v>
      </c>
      <c r="D2022">
        <v>38.799999999999997</v>
      </c>
      <c r="E2022">
        <v>271.59999999999997</v>
      </c>
      <c r="F2022" s="2">
        <v>45732</v>
      </c>
      <c r="G2022" s="2">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ht="18" x14ac:dyDescent="0.5">
      <c r="A2023" t="s">
        <v>2123</v>
      </c>
      <c r="B2023" t="s">
        <v>26</v>
      </c>
      <c r="C2023">
        <v>4</v>
      </c>
      <c r="D2023">
        <v>53.2</v>
      </c>
      <c r="E2023">
        <v>212.8</v>
      </c>
      <c r="F2023" s="2">
        <v>45732</v>
      </c>
      <c r="G2023" s="2">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ht="18" x14ac:dyDescent="0.5">
      <c r="A2024" t="s">
        <v>2124</v>
      </c>
      <c r="B2024" t="s">
        <v>39</v>
      </c>
      <c r="C2024">
        <v>7</v>
      </c>
      <c r="D2024">
        <v>151</v>
      </c>
      <c r="E2024">
        <v>1057</v>
      </c>
      <c r="F2024" s="2">
        <v>45732</v>
      </c>
      <c r="G2024" s="2">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ht="18" x14ac:dyDescent="0.5">
      <c r="A2025" t="s">
        <v>2125</v>
      </c>
      <c r="B2025" t="s">
        <v>22</v>
      </c>
      <c r="C2025">
        <v>2</v>
      </c>
      <c r="D2025">
        <v>37.1</v>
      </c>
      <c r="E2025">
        <v>74.2</v>
      </c>
      <c r="F2025" s="2">
        <v>45732</v>
      </c>
      <c r="G2025" s="2">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ht="18" x14ac:dyDescent="0.5">
      <c r="A2026" t="s">
        <v>2126</v>
      </c>
      <c r="B2026" t="s">
        <v>37</v>
      </c>
      <c r="C2026">
        <v>2</v>
      </c>
      <c r="D2026">
        <v>38.9</v>
      </c>
      <c r="E2026">
        <v>77.8</v>
      </c>
      <c r="F2026" s="2">
        <v>45732</v>
      </c>
      <c r="G2026" s="2">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ht="18" x14ac:dyDescent="0.5">
      <c r="A2027" t="s">
        <v>2127</v>
      </c>
      <c r="B2027" t="s">
        <v>54</v>
      </c>
      <c r="C2027">
        <v>2</v>
      </c>
      <c r="D2027">
        <v>35.200000000000003</v>
      </c>
      <c r="E2027">
        <v>70.400000000000006</v>
      </c>
      <c r="F2027" s="2">
        <v>45732</v>
      </c>
      <c r="G2027" s="2">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ht="18" x14ac:dyDescent="0.5">
      <c r="A2028" t="s">
        <v>2128</v>
      </c>
      <c r="B2028" t="s">
        <v>16</v>
      </c>
      <c r="C2028">
        <v>2</v>
      </c>
      <c r="D2028">
        <v>22.3</v>
      </c>
      <c r="E2028">
        <v>44.6</v>
      </c>
      <c r="F2028" s="2">
        <v>45732</v>
      </c>
      <c r="G2028" s="2">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ht="18" x14ac:dyDescent="0.5">
      <c r="A2029" t="s">
        <v>2129</v>
      </c>
      <c r="B2029" t="s">
        <v>46</v>
      </c>
      <c r="C2029">
        <v>1</v>
      </c>
      <c r="D2029">
        <v>43.3</v>
      </c>
      <c r="E2029">
        <v>43.3</v>
      </c>
      <c r="F2029" s="2">
        <v>45732</v>
      </c>
      <c r="G2029" s="2">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ht="18" x14ac:dyDescent="0.5">
      <c r="A2030" t="s">
        <v>2130</v>
      </c>
      <c r="B2030" t="s">
        <v>39</v>
      </c>
      <c r="C2030">
        <v>6</v>
      </c>
      <c r="D2030">
        <v>75.900000000000006</v>
      </c>
      <c r="E2030">
        <v>455.40000000000003</v>
      </c>
      <c r="F2030" s="2">
        <v>45732</v>
      </c>
      <c r="G2030" s="2">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ht="18" x14ac:dyDescent="0.5">
      <c r="A2031" t="s">
        <v>2131</v>
      </c>
      <c r="B2031" t="s">
        <v>39</v>
      </c>
      <c r="C2031">
        <v>3</v>
      </c>
      <c r="D2031">
        <v>78.7</v>
      </c>
      <c r="E2031">
        <v>236.10000000000002</v>
      </c>
      <c r="F2031" s="2">
        <v>45732</v>
      </c>
      <c r="G2031" s="2">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ht="18" x14ac:dyDescent="0.5">
      <c r="A2032" t="s">
        <v>2132</v>
      </c>
      <c r="B2032" t="s">
        <v>22</v>
      </c>
      <c r="C2032">
        <v>1</v>
      </c>
      <c r="D2032">
        <v>66.3</v>
      </c>
      <c r="E2032">
        <v>66.3</v>
      </c>
      <c r="F2032" s="2">
        <v>45732</v>
      </c>
      <c r="G2032" s="2">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ht="18" x14ac:dyDescent="0.5">
      <c r="A2033" t="s">
        <v>2133</v>
      </c>
      <c r="B2033" t="s">
        <v>44</v>
      </c>
      <c r="C2033">
        <v>2</v>
      </c>
      <c r="D2033">
        <v>33.6</v>
      </c>
      <c r="E2033">
        <v>67.2</v>
      </c>
      <c r="F2033" s="2">
        <v>45732</v>
      </c>
      <c r="G2033" s="2">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ht="18" x14ac:dyDescent="0.5">
      <c r="A2034" t="s">
        <v>2134</v>
      </c>
      <c r="B2034" t="s">
        <v>26</v>
      </c>
      <c r="C2034">
        <v>7</v>
      </c>
      <c r="D2034">
        <v>61.4</v>
      </c>
      <c r="E2034">
        <v>429.8</v>
      </c>
      <c r="F2034" s="2">
        <v>45732</v>
      </c>
      <c r="G2034" s="2">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ht="18" x14ac:dyDescent="0.5">
      <c r="A2035" t="s">
        <v>2135</v>
      </c>
      <c r="B2035" t="s">
        <v>44</v>
      </c>
      <c r="C2035">
        <v>2</v>
      </c>
      <c r="D2035">
        <v>17.5</v>
      </c>
      <c r="E2035">
        <v>35</v>
      </c>
      <c r="F2035" s="2">
        <v>45732</v>
      </c>
      <c r="G2035" s="2">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ht="18" x14ac:dyDescent="0.5">
      <c r="A2036" t="s">
        <v>2136</v>
      </c>
      <c r="B2036" t="s">
        <v>44</v>
      </c>
      <c r="C2036">
        <v>2</v>
      </c>
      <c r="D2036">
        <v>32.5</v>
      </c>
      <c r="E2036">
        <v>65</v>
      </c>
      <c r="F2036" s="2">
        <v>45732</v>
      </c>
      <c r="G2036" s="2">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ht="18" x14ac:dyDescent="0.5">
      <c r="A2037" t="s">
        <v>2137</v>
      </c>
      <c r="B2037" t="s">
        <v>32</v>
      </c>
      <c r="C2037">
        <v>1</v>
      </c>
      <c r="D2037">
        <v>34.6</v>
      </c>
      <c r="E2037">
        <v>34.6</v>
      </c>
      <c r="F2037" s="2">
        <v>45732</v>
      </c>
      <c r="G2037" s="2">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ht="18" x14ac:dyDescent="0.5">
      <c r="A2038" t="s">
        <v>2138</v>
      </c>
      <c r="B2038" t="s">
        <v>26</v>
      </c>
      <c r="C2038">
        <v>1</v>
      </c>
      <c r="D2038">
        <v>75.900000000000006</v>
      </c>
      <c r="E2038">
        <v>75.900000000000006</v>
      </c>
      <c r="F2038" s="2">
        <v>45732</v>
      </c>
      <c r="G2038" s="2">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ht="18" x14ac:dyDescent="0.5">
      <c r="A2039" t="s">
        <v>2139</v>
      </c>
      <c r="B2039" t="s">
        <v>22</v>
      </c>
      <c r="C2039">
        <v>3</v>
      </c>
      <c r="D2039">
        <v>42.1</v>
      </c>
      <c r="E2039">
        <v>126.30000000000001</v>
      </c>
      <c r="F2039" s="2">
        <v>45732</v>
      </c>
      <c r="G2039" s="2">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ht="18" x14ac:dyDescent="0.5">
      <c r="A2040" t="s">
        <v>2140</v>
      </c>
      <c r="B2040" t="s">
        <v>42</v>
      </c>
      <c r="C2040">
        <v>3</v>
      </c>
      <c r="D2040">
        <v>65.3</v>
      </c>
      <c r="E2040">
        <v>195.89999999999998</v>
      </c>
      <c r="F2040" s="2">
        <v>45732</v>
      </c>
      <c r="G2040" s="2">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ht="18" x14ac:dyDescent="0.5">
      <c r="A2041" t="s">
        <v>2141</v>
      </c>
      <c r="B2041" t="s">
        <v>123</v>
      </c>
      <c r="C2041">
        <v>1</v>
      </c>
      <c r="D2041">
        <v>20.6</v>
      </c>
      <c r="E2041">
        <v>20.6</v>
      </c>
      <c r="F2041" s="2">
        <v>45732</v>
      </c>
      <c r="G2041" s="2">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ht="18" x14ac:dyDescent="0.5">
      <c r="A2042" t="s">
        <v>2142</v>
      </c>
      <c r="B2042" t="s">
        <v>44</v>
      </c>
      <c r="C2042">
        <v>7</v>
      </c>
      <c r="D2042">
        <v>16.5</v>
      </c>
      <c r="E2042">
        <v>115.5</v>
      </c>
      <c r="F2042" s="2">
        <v>45732</v>
      </c>
      <c r="G2042" s="2">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ht="18" x14ac:dyDescent="0.5">
      <c r="A2043" t="s">
        <v>2143</v>
      </c>
      <c r="B2043" t="s">
        <v>128</v>
      </c>
      <c r="C2043">
        <v>10</v>
      </c>
      <c r="D2043">
        <v>36.200000000000003</v>
      </c>
      <c r="E2043">
        <v>362</v>
      </c>
      <c r="F2043" s="2">
        <v>45732</v>
      </c>
      <c r="G2043" s="2">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ht="18" x14ac:dyDescent="0.5">
      <c r="A2044" t="s">
        <v>2144</v>
      </c>
      <c r="B2044" t="s">
        <v>39</v>
      </c>
      <c r="C2044">
        <v>1</v>
      </c>
      <c r="D2044">
        <v>53.2</v>
      </c>
      <c r="E2044">
        <v>53.2</v>
      </c>
      <c r="F2044" s="2">
        <v>45732</v>
      </c>
      <c r="G2044" s="2">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ht="18" x14ac:dyDescent="0.5">
      <c r="A2045" t="s">
        <v>2145</v>
      </c>
      <c r="B2045" t="s">
        <v>26</v>
      </c>
      <c r="C2045">
        <v>14</v>
      </c>
      <c r="D2045">
        <v>176</v>
      </c>
      <c r="E2045">
        <v>2464</v>
      </c>
      <c r="F2045" s="2">
        <v>45732</v>
      </c>
      <c r="G2045" s="2">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ht="18" x14ac:dyDescent="0.5">
      <c r="A2046" t="s">
        <v>2146</v>
      </c>
      <c r="B2046" t="s">
        <v>22</v>
      </c>
      <c r="C2046">
        <v>1</v>
      </c>
      <c r="D2046">
        <v>52.4</v>
      </c>
      <c r="E2046">
        <v>52.4</v>
      </c>
      <c r="F2046" s="2">
        <v>45732</v>
      </c>
      <c r="G2046" s="2">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ht="18" x14ac:dyDescent="0.5">
      <c r="A2047" t="s">
        <v>2147</v>
      </c>
      <c r="B2047" t="s">
        <v>54</v>
      </c>
      <c r="C2047">
        <v>3</v>
      </c>
      <c r="D2047">
        <v>48.2</v>
      </c>
      <c r="E2047">
        <v>144.60000000000002</v>
      </c>
      <c r="F2047" s="2">
        <v>45732</v>
      </c>
      <c r="G2047" s="2">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ht="18" x14ac:dyDescent="0.5">
      <c r="A2048" t="s">
        <v>2148</v>
      </c>
      <c r="B2048" t="s">
        <v>123</v>
      </c>
      <c r="C2048">
        <v>1</v>
      </c>
      <c r="D2048">
        <v>51.6</v>
      </c>
      <c r="E2048">
        <v>51.6</v>
      </c>
      <c r="F2048" s="2">
        <v>45732</v>
      </c>
      <c r="G2048" s="2">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ht="18" x14ac:dyDescent="0.5">
      <c r="A2049" t="s">
        <v>2149</v>
      </c>
      <c r="B2049" t="s">
        <v>16</v>
      </c>
      <c r="C2049">
        <v>4</v>
      </c>
      <c r="D2049">
        <v>33.700000000000003</v>
      </c>
      <c r="E2049">
        <v>134.80000000000001</v>
      </c>
      <c r="F2049" s="2">
        <v>45733</v>
      </c>
      <c r="G2049" s="2">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ht="18" x14ac:dyDescent="0.5">
      <c r="A2050" t="s">
        <v>2150</v>
      </c>
      <c r="B2050" t="s">
        <v>32</v>
      </c>
      <c r="C2050">
        <v>10</v>
      </c>
      <c r="D2050">
        <v>36.299999999999997</v>
      </c>
      <c r="E2050">
        <v>363</v>
      </c>
      <c r="F2050" s="2">
        <v>45733</v>
      </c>
      <c r="G2050" s="2">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ht="18" x14ac:dyDescent="0.5">
      <c r="A2051" t="s">
        <v>2151</v>
      </c>
      <c r="B2051" t="s">
        <v>44</v>
      </c>
      <c r="C2051">
        <v>1</v>
      </c>
      <c r="D2051">
        <v>23.4</v>
      </c>
      <c r="E2051">
        <v>23.4</v>
      </c>
      <c r="F2051" s="2">
        <v>45733</v>
      </c>
      <c r="G2051" s="2">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ht="18" x14ac:dyDescent="0.5">
      <c r="A2052" t="s">
        <v>2152</v>
      </c>
      <c r="B2052" t="s">
        <v>123</v>
      </c>
      <c r="C2052">
        <v>8</v>
      </c>
      <c r="D2052">
        <v>56.6</v>
      </c>
      <c r="E2052">
        <v>452.8</v>
      </c>
      <c r="F2052" s="2">
        <v>45733</v>
      </c>
      <c r="G2052" s="2">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ht="18" x14ac:dyDescent="0.5">
      <c r="A2053" t="s">
        <v>2153</v>
      </c>
      <c r="B2053" t="s">
        <v>123</v>
      </c>
      <c r="C2053">
        <v>2</v>
      </c>
      <c r="D2053">
        <v>26.8</v>
      </c>
      <c r="E2053">
        <v>53.6</v>
      </c>
      <c r="F2053" s="2">
        <v>45733</v>
      </c>
      <c r="G2053" s="2">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ht="18" x14ac:dyDescent="0.5">
      <c r="A2054" t="s">
        <v>2154</v>
      </c>
      <c r="B2054" t="s">
        <v>16</v>
      </c>
      <c r="C2054">
        <v>3</v>
      </c>
      <c r="D2054">
        <v>11.3</v>
      </c>
      <c r="E2054">
        <v>33.900000000000006</v>
      </c>
      <c r="F2054" s="2">
        <v>45733</v>
      </c>
      <c r="G2054" s="2">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ht="18" x14ac:dyDescent="0.5">
      <c r="A2055" t="s">
        <v>2155</v>
      </c>
      <c r="B2055" t="s">
        <v>39</v>
      </c>
      <c r="C2055">
        <v>3</v>
      </c>
      <c r="D2055">
        <v>60.1</v>
      </c>
      <c r="E2055">
        <v>180.3</v>
      </c>
      <c r="F2055" s="2">
        <v>45733</v>
      </c>
      <c r="G2055" s="2">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ht="18" x14ac:dyDescent="0.5">
      <c r="A2056" t="s">
        <v>2156</v>
      </c>
      <c r="B2056" t="s">
        <v>16</v>
      </c>
      <c r="C2056">
        <v>11</v>
      </c>
      <c r="D2056">
        <v>27.7</v>
      </c>
      <c r="E2056">
        <v>304.7</v>
      </c>
      <c r="F2056" s="2">
        <v>45733</v>
      </c>
      <c r="G2056" s="2">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ht="18" x14ac:dyDescent="0.5">
      <c r="A2057" t="s">
        <v>2157</v>
      </c>
      <c r="B2057" t="s">
        <v>123</v>
      </c>
      <c r="C2057">
        <v>1</v>
      </c>
      <c r="D2057">
        <v>71.400000000000006</v>
      </c>
      <c r="E2057">
        <v>71.400000000000006</v>
      </c>
      <c r="F2057" s="2">
        <v>45733</v>
      </c>
      <c r="G2057" s="2">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ht="18" x14ac:dyDescent="0.5">
      <c r="A2058" t="s">
        <v>2158</v>
      </c>
      <c r="B2058" t="s">
        <v>26</v>
      </c>
      <c r="C2058">
        <v>2</v>
      </c>
      <c r="D2058">
        <v>66.7</v>
      </c>
      <c r="E2058">
        <v>133.4</v>
      </c>
      <c r="F2058" s="2">
        <v>45733</v>
      </c>
      <c r="G2058" s="2">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ht="18" x14ac:dyDescent="0.5">
      <c r="A2059" t="s">
        <v>2159</v>
      </c>
      <c r="B2059" t="s">
        <v>76</v>
      </c>
      <c r="C2059">
        <v>5</v>
      </c>
      <c r="D2059">
        <v>39.1</v>
      </c>
      <c r="E2059">
        <v>195.5</v>
      </c>
      <c r="F2059" s="2">
        <v>45733</v>
      </c>
      <c r="G2059" s="2">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ht="18" x14ac:dyDescent="0.5">
      <c r="A2060" t="s">
        <v>2160</v>
      </c>
      <c r="B2060" t="s">
        <v>44</v>
      </c>
      <c r="C2060">
        <v>4</v>
      </c>
      <c r="D2060">
        <v>24.9</v>
      </c>
      <c r="E2060">
        <v>99.6</v>
      </c>
      <c r="F2060" s="2">
        <v>45733</v>
      </c>
      <c r="G2060" s="2">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ht="18" x14ac:dyDescent="0.5">
      <c r="A2061" t="s">
        <v>2161</v>
      </c>
      <c r="B2061" t="s">
        <v>37</v>
      </c>
      <c r="C2061">
        <v>5</v>
      </c>
      <c r="D2061">
        <v>29.2</v>
      </c>
      <c r="E2061">
        <v>146</v>
      </c>
      <c r="F2061" s="2">
        <v>45733</v>
      </c>
      <c r="G2061" s="2">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ht="18" x14ac:dyDescent="0.5">
      <c r="A2062" t="s">
        <v>2162</v>
      </c>
      <c r="B2062" t="s">
        <v>76</v>
      </c>
      <c r="C2062">
        <v>14</v>
      </c>
      <c r="D2062">
        <v>28.3</v>
      </c>
      <c r="E2062">
        <v>396.2</v>
      </c>
      <c r="F2062" s="2">
        <v>45733</v>
      </c>
      <c r="G2062" s="2">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ht="18" x14ac:dyDescent="0.5">
      <c r="A2063" t="s">
        <v>2163</v>
      </c>
      <c r="B2063" t="s">
        <v>46</v>
      </c>
      <c r="C2063">
        <v>3</v>
      </c>
      <c r="D2063">
        <v>37.799999999999997</v>
      </c>
      <c r="E2063">
        <v>113.39999999999999</v>
      </c>
      <c r="F2063" s="2">
        <v>45733</v>
      </c>
      <c r="G2063" s="2">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ht="18" x14ac:dyDescent="0.5">
      <c r="A2064" t="s">
        <v>2164</v>
      </c>
      <c r="B2064" t="s">
        <v>81</v>
      </c>
      <c r="C2064">
        <v>7</v>
      </c>
      <c r="D2064">
        <v>28.1</v>
      </c>
      <c r="E2064">
        <v>196.70000000000002</v>
      </c>
      <c r="F2064" s="2">
        <v>45733</v>
      </c>
      <c r="G2064" s="2">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ht="18" x14ac:dyDescent="0.5">
      <c r="A2065" t="s">
        <v>2165</v>
      </c>
      <c r="B2065" t="s">
        <v>22</v>
      </c>
      <c r="C2065">
        <v>3</v>
      </c>
      <c r="D2065">
        <v>59.7</v>
      </c>
      <c r="E2065">
        <v>179.10000000000002</v>
      </c>
      <c r="F2065" s="2">
        <v>45733</v>
      </c>
      <c r="G2065" s="2">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ht="18" x14ac:dyDescent="0.5">
      <c r="A2066" t="s">
        <v>2166</v>
      </c>
      <c r="B2066" t="s">
        <v>128</v>
      </c>
      <c r="C2066">
        <v>1</v>
      </c>
      <c r="D2066">
        <v>71.900000000000006</v>
      </c>
      <c r="E2066">
        <v>71.900000000000006</v>
      </c>
      <c r="F2066" s="2">
        <v>45733</v>
      </c>
      <c r="G2066" s="2">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ht="18" x14ac:dyDescent="0.5">
      <c r="A2067" t="s">
        <v>2167</v>
      </c>
      <c r="B2067" t="s">
        <v>22</v>
      </c>
      <c r="C2067">
        <v>2</v>
      </c>
      <c r="D2067">
        <v>56.9</v>
      </c>
      <c r="E2067">
        <v>113.8</v>
      </c>
      <c r="F2067" s="2">
        <v>45733</v>
      </c>
      <c r="G2067" s="2">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ht="18" x14ac:dyDescent="0.5">
      <c r="A2068" t="s">
        <v>2168</v>
      </c>
      <c r="B2068" t="s">
        <v>44</v>
      </c>
      <c r="C2068">
        <v>2</v>
      </c>
      <c r="D2068">
        <v>15.8</v>
      </c>
      <c r="E2068">
        <v>31.6</v>
      </c>
      <c r="F2068" s="2">
        <v>45733</v>
      </c>
      <c r="G2068" s="2">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ht="18" x14ac:dyDescent="0.5">
      <c r="A2069" t="s">
        <v>2169</v>
      </c>
      <c r="B2069" t="s">
        <v>67</v>
      </c>
      <c r="C2069">
        <v>4</v>
      </c>
      <c r="D2069">
        <v>61.7</v>
      </c>
      <c r="E2069">
        <v>246.8</v>
      </c>
      <c r="F2069" s="2">
        <v>45733</v>
      </c>
      <c r="G2069" s="2">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ht="18" x14ac:dyDescent="0.5">
      <c r="A2070" t="s">
        <v>2170</v>
      </c>
      <c r="B2070" t="s">
        <v>26</v>
      </c>
      <c r="C2070">
        <v>10</v>
      </c>
      <c r="D2070">
        <v>105.2</v>
      </c>
      <c r="E2070">
        <v>1052</v>
      </c>
      <c r="F2070" s="2">
        <v>45733</v>
      </c>
      <c r="G2070" s="2">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ht="18" x14ac:dyDescent="0.5">
      <c r="A2071" t="s">
        <v>2171</v>
      </c>
      <c r="B2071" t="s">
        <v>16</v>
      </c>
      <c r="C2071">
        <v>2</v>
      </c>
      <c r="D2071">
        <v>17</v>
      </c>
      <c r="E2071">
        <v>34</v>
      </c>
      <c r="F2071" s="2">
        <v>45733</v>
      </c>
      <c r="G2071" s="2">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ht="18" x14ac:dyDescent="0.5">
      <c r="A2072" t="s">
        <v>2172</v>
      </c>
      <c r="B2072" t="s">
        <v>39</v>
      </c>
      <c r="C2072">
        <v>3</v>
      </c>
      <c r="D2072">
        <v>84.1</v>
      </c>
      <c r="E2072">
        <v>252.29999999999998</v>
      </c>
      <c r="F2072" s="2">
        <v>45733</v>
      </c>
      <c r="G2072" s="2">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ht="18" x14ac:dyDescent="0.5">
      <c r="A2073" t="s">
        <v>2173</v>
      </c>
      <c r="B2073" t="s">
        <v>30</v>
      </c>
      <c r="C2073">
        <v>4</v>
      </c>
      <c r="D2073">
        <v>59.5</v>
      </c>
      <c r="E2073">
        <v>238</v>
      </c>
      <c r="F2073" s="2">
        <v>45733</v>
      </c>
      <c r="G2073" s="2">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ht="18" x14ac:dyDescent="0.5">
      <c r="A2074" t="s">
        <v>2174</v>
      </c>
      <c r="B2074" t="s">
        <v>44</v>
      </c>
      <c r="C2074">
        <v>2</v>
      </c>
      <c r="D2074">
        <v>57.5</v>
      </c>
      <c r="E2074">
        <v>115</v>
      </c>
      <c r="F2074" s="2">
        <v>45733</v>
      </c>
      <c r="G2074" s="2">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ht="18" x14ac:dyDescent="0.5">
      <c r="A2075" t="s">
        <v>2175</v>
      </c>
      <c r="B2075" t="s">
        <v>44</v>
      </c>
      <c r="C2075">
        <v>1</v>
      </c>
      <c r="D2075">
        <v>34.299999999999997</v>
      </c>
      <c r="E2075">
        <v>34.299999999999997</v>
      </c>
      <c r="F2075" s="2">
        <v>45733</v>
      </c>
      <c r="G2075" s="2">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ht="18" x14ac:dyDescent="0.5">
      <c r="A2076" t="s">
        <v>2176</v>
      </c>
      <c r="B2076" t="s">
        <v>37</v>
      </c>
      <c r="C2076">
        <v>2</v>
      </c>
      <c r="D2076">
        <v>27.8</v>
      </c>
      <c r="E2076">
        <v>55.6</v>
      </c>
      <c r="F2076" s="2">
        <v>45734</v>
      </c>
      <c r="G2076" s="2">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ht="18" x14ac:dyDescent="0.5">
      <c r="A2077" t="s">
        <v>2177</v>
      </c>
      <c r="B2077" t="s">
        <v>69</v>
      </c>
      <c r="C2077">
        <v>2</v>
      </c>
      <c r="D2077">
        <v>85</v>
      </c>
      <c r="E2077">
        <v>170</v>
      </c>
      <c r="F2077" s="2">
        <v>45734</v>
      </c>
      <c r="G2077" s="2">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ht="18" x14ac:dyDescent="0.5">
      <c r="A2078" t="s">
        <v>2178</v>
      </c>
      <c r="B2078" t="s">
        <v>39</v>
      </c>
      <c r="C2078">
        <v>2</v>
      </c>
      <c r="D2078">
        <v>95</v>
      </c>
      <c r="E2078">
        <v>190</v>
      </c>
      <c r="F2078" s="2">
        <v>45734</v>
      </c>
      <c r="G2078" s="2">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ht="18" x14ac:dyDescent="0.5">
      <c r="A2079" t="s">
        <v>2179</v>
      </c>
      <c r="B2079" t="s">
        <v>128</v>
      </c>
      <c r="C2079">
        <v>2</v>
      </c>
      <c r="D2079">
        <v>32</v>
      </c>
      <c r="E2079">
        <v>64</v>
      </c>
      <c r="F2079" s="2">
        <v>45734</v>
      </c>
      <c r="G2079" s="2">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ht="18" x14ac:dyDescent="0.5">
      <c r="A2080" t="s">
        <v>2180</v>
      </c>
      <c r="B2080" t="s">
        <v>26</v>
      </c>
      <c r="C2080">
        <v>2</v>
      </c>
      <c r="D2080">
        <v>65.2</v>
      </c>
      <c r="E2080">
        <v>130.4</v>
      </c>
      <c r="F2080" s="2">
        <v>45734</v>
      </c>
      <c r="G2080" s="2">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ht="18" x14ac:dyDescent="0.5">
      <c r="A2081" t="s">
        <v>2181</v>
      </c>
      <c r="B2081" t="s">
        <v>135</v>
      </c>
      <c r="C2081">
        <v>4</v>
      </c>
      <c r="D2081">
        <v>22</v>
      </c>
      <c r="E2081">
        <v>88</v>
      </c>
      <c r="F2081" s="2">
        <v>45734</v>
      </c>
      <c r="G2081" s="2">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ht="18" x14ac:dyDescent="0.5">
      <c r="A2082" t="s">
        <v>2182</v>
      </c>
      <c r="B2082" t="s">
        <v>123</v>
      </c>
      <c r="C2082">
        <v>3</v>
      </c>
      <c r="D2082">
        <v>69.400000000000006</v>
      </c>
      <c r="E2082">
        <v>208.20000000000002</v>
      </c>
      <c r="F2082" s="2">
        <v>45734</v>
      </c>
      <c r="G2082" s="2">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ht="18" x14ac:dyDescent="0.5">
      <c r="A2083" t="s">
        <v>2183</v>
      </c>
      <c r="B2083" t="s">
        <v>54</v>
      </c>
      <c r="C2083">
        <v>6</v>
      </c>
      <c r="D2083">
        <v>31.5</v>
      </c>
      <c r="E2083">
        <v>189</v>
      </c>
      <c r="F2083" s="2">
        <v>45734</v>
      </c>
      <c r="G2083" s="2">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ht="18" x14ac:dyDescent="0.5">
      <c r="A2084" t="s">
        <v>2184</v>
      </c>
      <c r="B2084" t="s">
        <v>39</v>
      </c>
      <c r="C2084">
        <v>1</v>
      </c>
      <c r="D2084">
        <v>45.8</v>
      </c>
      <c r="E2084">
        <v>45.8</v>
      </c>
      <c r="F2084" s="2">
        <v>45734</v>
      </c>
      <c r="G2084" s="2">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ht="18" x14ac:dyDescent="0.5">
      <c r="A2085" t="s">
        <v>2185</v>
      </c>
      <c r="B2085" t="s">
        <v>171</v>
      </c>
      <c r="C2085">
        <v>4</v>
      </c>
      <c r="D2085">
        <v>12.8</v>
      </c>
      <c r="E2085">
        <v>51.2</v>
      </c>
      <c r="F2085" s="2">
        <v>45734</v>
      </c>
      <c r="G2085" s="2">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ht="18" x14ac:dyDescent="0.5">
      <c r="A2086" t="s">
        <v>2186</v>
      </c>
      <c r="B2086" t="s">
        <v>37</v>
      </c>
      <c r="C2086">
        <v>3</v>
      </c>
      <c r="D2086">
        <v>115.3</v>
      </c>
      <c r="E2086">
        <v>345.9</v>
      </c>
      <c r="F2086" s="2">
        <v>45734</v>
      </c>
      <c r="G2086" s="2">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ht="18" x14ac:dyDescent="0.5">
      <c r="A2087" t="s">
        <v>2187</v>
      </c>
      <c r="B2087" t="s">
        <v>37</v>
      </c>
      <c r="C2087">
        <v>2</v>
      </c>
      <c r="D2087">
        <v>85</v>
      </c>
      <c r="E2087">
        <v>170</v>
      </c>
      <c r="F2087" s="2">
        <v>45734</v>
      </c>
      <c r="G2087" s="2">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ht="18" x14ac:dyDescent="0.5">
      <c r="A2088" t="s">
        <v>2188</v>
      </c>
      <c r="B2088" t="s">
        <v>44</v>
      </c>
      <c r="C2088">
        <v>3</v>
      </c>
      <c r="D2088">
        <v>56.6</v>
      </c>
      <c r="E2088">
        <v>169.8</v>
      </c>
      <c r="F2088" s="2">
        <v>45734</v>
      </c>
      <c r="G2088" s="2">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ht="18" x14ac:dyDescent="0.5">
      <c r="A2089" t="s">
        <v>2189</v>
      </c>
      <c r="B2089" t="s">
        <v>123</v>
      </c>
      <c r="C2089">
        <v>27</v>
      </c>
      <c r="D2089">
        <v>46.3</v>
      </c>
      <c r="E2089">
        <v>1250.0999999999999</v>
      </c>
      <c r="F2089" s="2">
        <v>45734</v>
      </c>
      <c r="G2089" s="2">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ht="18" x14ac:dyDescent="0.5">
      <c r="A2090" t="s">
        <v>2190</v>
      </c>
      <c r="B2090" t="s">
        <v>81</v>
      </c>
      <c r="C2090">
        <v>4</v>
      </c>
      <c r="D2090">
        <v>23</v>
      </c>
      <c r="E2090">
        <v>92</v>
      </c>
      <c r="F2090" s="2">
        <v>45734</v>
      </c>
      <c r="G2090" s="2">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ht="18" x14ac:dyDescent="0.5">
      <c r="A2091" t="s">
        <v>2191</v>
      </c>
      <c r="B2091" t="s">
        <v>44</v>
      </c>
      <c r="C2091">
        <v>6</v>
      </c>
      <c r="D2091">
        <v>42.1</v>
      </c>
      <c r="E2091">
        <v>252.60000000000002</v>
      </c>
      <c r="F2091" s="2">
        <v>45734</v>
      </c>
      <c r="G2091" s="2">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ht="18" x14ac:dyDescent="0.5">
      <c r="A2092" t="s">
        <v>2192</v>
      </c>
      <c r="B2092" t="s">
        <v>37</v>
      </c>
      <c r="C2092">
        <v>7</v>
      </c>
      <c r="D2092">
        <v>57.4</v>
      </c>
      <c r="E2092">
        <v>401.8</v>
      </c>
      <c r="F2092" s="2">
        <v>45734</v>
      </c>
      <c r="G2092" s="2">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ht="18" x14ac:dyDescent="0.5">
      <c r="A2093" t="s">
        <v>2193</v>
      </c>
      <c r="B2093" t="s">
        <v>16</v>
      </c>
      <c r="C2093">
        <v>6</v>
      </c>
      <c r="D2093">
        <v>13.2</v>
      </c>
      <c r="E2093">
        <v>79.199999999999989</v>
      </c>
      <c r="F2093" s="2">
        <v>45734</v>
      </c>
      <c r="G2093" s="2">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ht="18" x14ac:dyDescent="0.5">
      <c r="A2094" t="s">
        <v>2194</v>
      </c>
      <c r="B2094" t="s">
        <v>39</v>
      </c>
      <c r="C2094">
        <v>3</v>
      </c>
      <c r="D2094">
        <v>52.3</v>
      </c>
      <c r="E2094">
        <v>156.89999999999998</v>
      </c>
      <c r="F2094" s="2">
        <v>45734</v>
      </c>
      <c r="G2094" s="2">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ht="18" x14ac:dyDescent="0.5">
      <c r="A2095" t="s">
        <v>2195</v>
      </c>
      <c r="B2095" t="s">
        <v>44</v>
      </c>
      <c r="C2095">
        <v>2</v>
      </c>
      <c r="D2095">
        <v>15.7</v>
      </c>
      <c r="E2095">
        <v>31.4</v>
      </c>
      <c r="F2095" s="2">
        <v>45734</v>
      </c>
      <c r="G2095" s="2">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ht="18" x14ac:dyDescent="0.5">
      <c r="A2096" t="s">
        <v>2196</v>
      </c>
      <c r="B2096" t="s">
        <v>42</v>
      </c>
      <c r="C2096">
        <v>3</v>
      </c>
      <c r="D2096">
        <v>35</v>
      </c>
      <c r="E2096">
        <v>105</v>
      </c>
      <c r="F2096" s="2">
        <v>45734</v>
      </c>
      <c r="G2096" s="2">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ht="18" x14ac:dyDescent="0.5">
      <c r="A2097" t="s">
        <v>2197</v>
      </c>
      <c r="B2097" t="s">
        <v>32</v>
      </c>
      <c r="C2097">
        <v>3</v>
      </c>
      <c r="D2097">
        <v>26.6</v>
      </c>
      <c r="E2097">
        <v>79.800000000000011</v>
      </c>
      <c r="F2097" s="2">
        <v>45734</v>
      </c>
      <c r="G2097" s="2">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ht="18" x14ac:dyDescent="0.5">
      <c r="A2098" t="s">
        <v>2198</v>
      </c>
      <c r="B2098" t="s">
        <v>32</v>
      </c>
      <c r="C2098">
        <v>8</v>
      </c>
      <c r="D2098">
        <v>47.9</v>
      </c>
      <c r="E2098">
        <v>383.2</v>
      </c>
      <c r="F2098" s="2">
        <v>45735</v>
      </c>
      <c r="G2098" s="2">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ht="18" x14ac:dyDescent="0.5">
      <c r="A2099" t="s">
        <v>2199</v>
      </c>
      <c r="B2099" t="s">
        <v>37</v>
      </c>
      <c r="C2099">
        <v>1</v>
      </c>
      <c r="D2099">
        <v>80.099999999999994</v>
      </c>
      <c r="E2099">
        <v>80.099999999999994</v>
      </c>
      <c r="F2099" s="2">
        <v>45735</v>
      </c>
      <c r="G2099" s="2">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ht="18" x14ac:dyDescent="0.5">
      <c r="A2100" t="s">
        <v>2200</v>
      </c>
      <c r="B2100" t="s">
        <v>39</v>
      </c>
      <c r="C2100">
        <v>5</v>
      </c>
      <c r="D2100">
        <v>50.4</v>
      </c>
      <c r="E2100">
        <v>252</v>
      </c>
      <c r="F2100" s="2">
        <v>45735</v>
      </c>
      <c r="G2100" s="2">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ht="18" x14ac:dyDescent="0.5">
      <c r="A2101" t="s">
        <v>2201</v>
      </c>
      <c r="B2101" t="s">
        <v>54</v>
      </c>
      <c r="C2101">
        <v>7</v>
      </c>
      <c r="D2101">
        <v>43.3</v>
      </c>
      <c r="E2101">
        <v>303.09999999999997</v>
      </c>
      <c r="F2101" s="2">
        <v>45735</v>
      </c>
      <c r="G2101" s="2">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ht="18" x14ac:dyDescent="0.5">
      <c r="A2102" t="s">
        <v>2202</v>
      </c>
      <c r="B2102" t="s">
        <v>54</v>
      </c>
      <c r="C2102">
        <v>4</v>
      </c>
      <c r="D2102">
        <v>57.5</v>
      </c>
      <c r="E2102">
        <v>230</v>
      </c>
      <c r="F2102" s="2">
        <v>45735</v>
      </c>
      <c r="G2102" s="2">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ht="18" x14ac:dyDescent="0.5">
      <c r="A2103" t="s">
        <v>2203</v>
      </c>
      <c r="B2103" t="s">
        <v>46</v>
      </c>
      <c r="C2103">
        <v>13</v>
      </c>
      <c r="D2103">
        <v>24.8</v>
      </c>
      <c r="E2103">
        <v>322.40000000000003</v>
      </c>
      <c r="F2103" s="2">
        <v>45735</v>
      </c>
      <c r="G2103" s="2">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ht="18" x14ac:dyDescent="0.5">
      <c r="A2104" t="s">
        <v>2205</v>
      </c>
      <c r="B2104" t="s">
        <v>26</v>
      </c>
      <c r="C2104">
        <v>9</v>
      </c>
      <c r="D2104">
        <v>85.7</v>
      </c>
      <c r="E2104">
        <v>771.30000000000007</v>
      </c>
      <c r="F2104" s="2">
        <v>45735</v>
      </c>
      <c r="G2104" s="2">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ht="18" x14ac:dyDescent="0.5">
      <c r="A2105" t="s">
        <v>2206</v>
      </c>
      <c r="B2105" t="s">
        <v>42</v>
      </c>
      <c r="C2105">
        <v>1</v>
      </c>
      <c r="D2105">
        <v>47.1</v>
      </c>
      <c r="E2105">
        <v>47.1</v>
      </c>
      <c r="F2105" s="2">
        <v>45735</v>
      </c>
      <c r="G2105" s="2">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ht="18" x14ac:dyDescent="0.5">
      <c r="A2106" t="s">
        <v>2207</v>
      </c>
      <c r="B2106" t="s">
        <v>37</v>
      </c>
      <c r="C2106">
        <v>10</v>
      </c>
      <c r="D2106">
        <v>83.2</v>
      </c>
      <c r="E2106">
        <v>832</v>
      </c>
      <c r="F2106" s="2">
        <v>45735</v>
      </c>
      <c r="G2106" s="2">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ht="18" x14ac:dyDescent="0.5">
      <c r="A2107" t="s">
        <v>2208</v>
      </c>
      <c r="B2107" t="s">
        <v>26</v>
      </c>
      <c r="C2107">
        <v>3</v>
      </c>
      <c r="D2107">
        <v>157</v>
      </c>
      <c r="E2107">
        <v>471</v>
      </c>
      <c r="F2107" s="2">
        <v>45735</v>
      </c>
      <c r="G2107" s="2">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ht="18" x14ac:dyDescent="0.5">
      <c r="A2108" t="s">
        <v>2209</v>
      </c>
      <c r="B2108" t="s">
        <v>128</v>
      </c>
      <c r="C2108">
        <v>4</v>
      </c>
      <c r="D2108">
        <v>33.700000000000003</v>
      </c>
      <c r="E2108">
        <v>134.80000000000001</v>
      </c>
      <c r="F2108" s="2">
        <v>45735</v>
      </c>
      <c r="G2108" s="2">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ht="18" x14ac:dyDescent="0.5">
      <c r="A2109" t="s">
        <v>2210</v>
      </c>
      <c r="B2109" t="s">
        <v>26</v>
      </c>
      <c r="C2109">
        <v>3</v>
      </c>
      <c r="D2109">
        <v>60.8</v>
      </c>
      <c r="E2109">
        <v>182.39999999999998</v>
      </c>
      <c r="F2109" s="2">
        <v>45735</v>
      </c>
      <c r="G2109" s="2">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ht="18" x14ac:dyDescent="0.5">
      <c r="A2110" t="s">
        <v>2211</v>
      </c>
      <c r="B2110" t="s">
        <v>42</v>
      </c>
      <c r="C2110">
        <v>1</v>
      </c>
      <c r="D2110">
        <v>57.6</v>
      </c>
      <c r="E2110">
        <v>57.6</v>
      </c>
      <c r="F2110" s="2">
        <v>45735</v>
      </c>
      <c r="G2110" s="2">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ht="18" x14ac:dyDescent="0.5">
      <c r="A2111" t="s">
        <v>2212</v>
      </c>
      <c r="B2111" t="s">
        <v>54</v>
      </c>
      <c r="C2111">
        <v>1</v>
      </c>
      <c r="D2111">
        <v>32</v>
      </c>
      <c r="E2111">
        <v>32</v>
      </c>
      <c r="F2111" s="2">
        <v>45735</v>
      </c>
      <c r="G2111" s="2">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ht="18" x14ac:dyDescent="0.5">
      <c r="A2112" t="s">
        <v>2213</v>
      </c>
      <c r="B2112" t="s">
        <v>54</v>
      </c>
      <c r="C2112">
        <v>4</v>
      </c>
      <c r="D2112">
        <v>23.5</v>
      </c>
      <c r="E2112">
        <v>94</v>
      </c>
      <c r="F2112" s="2">
        <v>45735</v>
      </c>
      <c r="G2112" s="2">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ht="18" x14ac:dyDescent="0.5">
      <c r="A2113" t="s">
        <v>2214</v>
      </c>
      <c r="B2113" t="s">
        <v>69</v>
      </c>
      <c r="C2113">
        <v>3</v>
      </c>
      <c r="D2113">
        <v>44.8</v>
      </c>
      <c r="E2113">
        <v>134.39999999999998</v>
      </c>
      <c r="F2113" s="2">
        <v>45735</v>
      </c>
      <c r="G2113" s="2">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ht="18" x14ac:dyDescent="0.5">
      <c r="A2114" t="s">
        <v>2215</v>
      </c>
      <c r="B2114" t="s">
        <v>16</v>
      </c>
      <c r="C2114">
        <v>8</v>
      </c>
      <c r="D2114">
        <v>11.7</v>
      </c>
      <c r="E2114">
        <v>93.6</v>
      </c>
      <c r="F2114" s="2">
        <v>45735</v>
      </c>
      <c r="G2114" s="2">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ht="18" x14ac:dyDescent="0.5">
      <c r="A2115" t="s">
        <v>2216</v>
      </c>
      <c r="B2115" t="s">
        <v>42</v>
      </c>
      <c r="C2115">
        <v>2</v>
      </c>
      <c r="D2115">
        <v>38.799999999999997</v>
      </c>
      <c r="E2115">
        <v>77.599999999999994</v>
      </c>
      <c r="F2115" s="2">
        <v>45735</v>
      </c>
      <c r="G2115" s="2">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ht="18" x14ac:dyDescent="0.5">
      <c r="A2116" t="s">
        <v>2217</v>
      </c>
      <c r="B2116" t="s">
        <v>37</v>
      </c>
      <c r="C2116">
        <v>14</v>
      </c>
      <c r="D2116">
        <v>86.9</v>
      </c>
      <c r="E2116">
        <v>1216.6000000000001</v>
      </c>
      <c r="F2116" s="2">
        <v>45735</v>
      </c>
      <c r="G2116" s="2">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ht="18" x14ac:dyDescent="0.5">
      <c r="A2117" t="s">
        <v>2218</v>
      </c>
      <c r="B2117" t="s">
        <v>44</v>
      </c>
      <c r="C2117">
        <v>1</v>
      </c>
      <c r="D2117">
        <v>18.3</v>
      </c>
      <c r="E2117">
        <v>18.3</v>
      </c>
      <c r="F2117" s="2">
        <v>45735</v>
      </c>
      <c r="G2117" s="2">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ht="18" x14ac:dyDescent="0.5">
      <c r="A2118" t="s">
        <v>2219</v>
      </c>
      <c r="B2118" t="s">
        <v>37</v>
      </c>
      <c r="C2118">
        <v>1</v>
      </c>
      <c r="D2118">
        <v>47.5</v>
      </c>
      <c r="E2118">
        <v>47.5</v>
      </c>
      <c r="F2118" s="2">
        <v>45735</v>
      </c>
      <c r="G2118" s="2">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ht="18" x14ac:dyDescent="0.5">
      <c r="A2119" t="s">
        <v>2220</v>
      </c>
      <c r="B2119" t="s">
        <v>22</v>
      </c>
      <c r="C2119">
        <v>2</v>
      </c>
      <c r="D2119">
        <v>78.599999999999994</v>
      </c>
      <c r="E2119">
        <v>157.19999999999999</v>
      </c>
      <c r="F2119" s="2">
        <v>45735</v>
      </c>
      <c r="G2119" s="2">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ht="18" x14ac:dyDescent="0.5">
      <c r="A2120" t="s">
        <v>2221</v>
      </c>
      <c r="B2120" t="s">
        <v>39</v>
      </c>
      <c r="C2120">
        <v>4</v>
      </c>
      <c r="D2120">
        <v>87.3</v>
      </c>
      <c r="E2120">
        <v>349.2</v>
      </c>
      <c r="F2120" s="2">
        <v>45735</v>
      </c>
      <c r="G2120" s="2">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ht="18" x14ac:dyDescent="0.5">
      <c r="A2121" t="s">
        <v>2222</v>
      </c>
      <c r="B2121" t="s">
        <v>46</v>
      </c>
      <c r="C2121">
        <v>2</v>
      </c>
      <c r="D2121">
        <v>63.2</v>
      </c>
      <c r="E2121">
        <v>126.4</v>
      </c>
      <c r="F2121" s="2">
        <v>45735</v>
      </c>
      <c r="G2121" s="2">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ht="18" x14ac:dyDescent="0.5">
      <c r="A2122" t="s">
        <v>2223</v>
      </c>
      <c r="B2122" t="s">
        <v>37</v>
      </c>
      <c r="C2122">
        <v>5</v>
      </c>
      <c r="D2122">
        <v>33.700000000000003</v>
      </c>
      <c r="E2122">
        <v>168.5</v>
      </c>
      <c r="F2122" s="2">
        <v>45735</v>
      </c>
      <c r="G2122" s="2">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ht="18" x14ac:dyDescent="0.5">
      <c r="A2123" t="s">
        <v>2224</v>
      </c>
      <c r="B2123" t="s">
        <v>26</v>
      </c>
      <c r="C2123">
        <v>3</v>
      </c>
      <c r="D2123">
        <v>107.4</v>
      </c>
      <c r="E2123">
        <v>322.20000000000005</v>
      </c>
      <c r="F2123" s="2">
        <v>45735</v>
      </c>
      <c r="G2123" s="2">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ht="18" x14ac:dyDescent="0.5">
      <c r="A2124" t="s">
        <v>2225</v>
      </c>
      <c r="B2124" t="s">
        <v>32</v>
      </c>
      <c r="C2124">
        <v>4</v>
      </c>
      <c r="D2124">
        <v>22.2</v>
      </c>
      <c r="E2124">
        <v>88.8</v>
      </c>
      <c r="F2124" s="2">
        <v>45735</v>
      </c>
      <c r="G2124" s="2">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ht="18" x14ac:dyDescent="0.5">
      <c r="A2125" t="s">
        <v>2226</v>
      </c>
      <c r="B2125" t="s">
        <v>146</v>
      </c>
      <c r="C2125">
        <v>3</v>
      </c>
      <c r="D2125">
        <v>52.8</v>
      </c>
      <c r="E2125">
        <v>158.39999999999998</v>
      </c>
      <c r="F2125" s="2">
        <v>45735</v>
      </c>
      <c r="G2125" s="2">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ht="18" x14ac:dyDescent="0.5">
      <c r="A2126" t="s">
        <v>2227</v>
      </c>
      <c r="B2126" t="s">
        <v>44</v>
      </c>
      <c r="C2126">
        <v>3</v>
      </c>
      <c r="D2126">
        <v>41.5</v>
      </c>
      <c r="E2126">
        <v>124.5</v>
      </c>
      <c r="F2126" s="2">
        <v>45735</v>
      </c>
      <c r="G2126" s="2">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ht="18" x14ac:dyDescent="0.5">
      <c r="A2127" t="s">
        <v>2228</v>
      </c>
      <c r="B2127" t="s">
        <v>69</v>
      </c>
      <c r="C2127">
        <v>8</v>
      </c>
      <c r="D2127">
        <v>103.5</v>
      </c>
      <c r="E2127">
        <v>828</v>
      </c>
      <c r="F2127" s="2">
        <v>45735</v>
      </c>
      <c r="G2127" s="2">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ht="18" x14ac:dyDescent="0.5">
      <c r="A2128" t="s">
        <v>2229</v>
      </c>
      <c r="B2128" t="s">
        <v>32</v>
      </c>
      <c r="C2128">
        <v>14</v>
      </c>
      <c r="D2128">
        <v>37.5</v>
      </c>
      <c r="E2128">
        <v>525</v>
      </c>
      <c r="F2128" s="2">
        <v>45735</v>
      </c>
      <c r="G2128" s="2">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ht="18" x14ac:dyDescent="0.5">
      <c r="A2129" t="s">
        <v>2230</v>
      </c>
      <c r="B2129" t="s">
        <v>123</v>
      </c>
      <c r="C2129">
        <v>8</v>
      </c>
      <c r="D2129">
        <v>44.4</v>
      </c>
      <c r="E2129">
        <v>355.2</v>
      </c>
      <c r="F2129" s="2">
        <v>45735</v>
      </c>
      <c r="G2129" s="2">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ht="18" x14ac:dyDescent="0.5">
      <c r="A2130" t="s">
        <v>2231</v>
      </c>
      <c r="B2130" t="s">
        <v>44</v>
      </c>
      <c r="C2130">
        <v>3</v>
      </c>
      <c r="D2130">
        <v>26.2</v>
      </c>
      <c r="E2130">
        <v>78.599999999999994</v>
      </c>
      <c r="F2130" s="2">
        <v>45735</v>
      </c>
      <c r="G2130" s="2">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ht="18" x14ac:dyDescent="0.5">
      <c r="A2131" t="s">
        <v>2232</v>
      </c>
      <c r="B2131" t="s">
        <v>22</v>
      </c>
      <c r="C2131">
        <v>7</v>
      </c>
      <c r="D2131">
        <v>32.200000000000003</v>
      </c>
      <c r="E2131">
        <v>225.40000000000003</v>
      </c>
      <c r="F2131" s="2">
        <v>45735</v>
      </c>
      <c r="G2131" s="2">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ht="18" x14ac:dyDescent="0.5">
      <c r="A2132" t="s">
        <v>2233</v>
      </c>
      <c r="B2132" t="s">
        <v>44</v>
      </c>
      <c r="C2132">
        <v>1</v>
      </c>
      <c r="D2132">
        <v>17.399999999999999</v>
      </c>
      <c r="E2132">
        <v>17.399999999999999</v>
      </c>
      <c r="F2132" s="2">
        <v>45735</v>
      </c>
      <c r="G2132" s="2">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ht="18" x14ac:dyDescent="0.5">
      <c r="A2133" t="s">
        <v>2234</v>
      </c>
      <c r="B2133" t="s">
        <v>44</v>
      </c>
      <c r="C2133">
        <v>6</v>
      </c>
      <c r="D2133">
        <v>72.3</v>
      </c>
      <c r="E2133">
        <v>433.79999999999995</v>
      </c>
      <c r="F2133" s="2">
        <v>45735</v>
      </c>
      <c r="G2133" s="2">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ht="18" x14ac:dyDescent="0.5">
      <c r="A2134" t="s">
        <v>2235</v>
      </c>
      <c r="B2134" t="s">
        <v>44</v>
      </c>
      <c r="C2134">
        <v>11</v>
      </c>
      <c r="D2134">
        <v>24.3</v>
      </c>
      <c r="E2134">
        <v>267.3</v>
      </c>
      <c r="F2134" s="2">
        <v>45735</v>
      </c>
      <c r="G2134" s="2">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ht="18" x14ac:dyDescent="0.5">
      <c r="A2135" t="s">
        <v>2236</v>
      </c>
      <c r="B2135" t="s">
        <v>76</v>
      </c>
      <c r="C2135">
        <v>3</v>
      </c>
      <c r="D2135">
        <v>49.1</v>
      </c>
      <c r="E2135">
        <v>147.30000000000001</v>
      </c>
      <c r="F2135" s="2">
        <v>45735</v>
      </c>
      <c r="G2135" s="2">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ht="18" x14ac:dyDescent="0.5">
      <c r="A2136" t="s">
        <v>2237</v>
      </c>
      <c r="B2136" t="s">
        <v>26</v>
      </c>
      <c r="C2136">
        <v>10</v>
      </c>
      <c r="D2136">
        <v>234.7</v>
      </c>
      <c r="E2136">
        <v>2347</v>
      </c>
      <c r="F2136" s="2">
        <v>45735</v>
      </c>
      <c r="G2136" s="2">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ht="18" x14ac:dyDescent="0.5">
      <c r="A2137" t="s">
        <v>2238</v>
      </c>
      <c r="B2137" t="s">
        <v>30</v>
      </c>
      <c r="C2137">
        <v>5</v>
      </c>
      <c r="D2137">
        <v>76.099999999999994</v>
      </c>
      <c r="E2137">
        <v>380.5</v>
      </c>
      <c r="F2137" s="2">
        <v>45735</v>
      </c>
      <c r="G2137" s="2">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ht="18" x14ac:dyDescent="0.5">
      <c r="A2138" t="s">
        <v>2239</v>
      </c>
      <c r="B2138" t="s">
        <v>22</v>
      </c>
      <c r="C2138">
        <v>3</v>
      </c>
      <c r="D2138">
        <v>93.9</v>
      </c>
      <c r="E2138">
        <v>281.70000000000005</v>
      </c>
      <c r="F2138" s="2">
        <v>45735</v>
      </c>
      <c r="G2138" s="2">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ht="18" x14ac:dyDescent="0.5">
      <c r="A2139" t="s">
        <v>2240</v>
      </c>
      <c r="B2139" t="s">
        <v>26</v>
      </c>
      <c r="C2139">
        <v>4</v>
      </c>
      <c r="D2139">
        <v>187</v>
      </c>
      <c r="E2139">
        <v>748</v>
      </c>
      <c r="F2139" s="2">
        <v>45736</v>
      </c>
      <c r="G2139" s="2">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ht="18" x14ac:dyDescent="0.5">
      <c r="A2140" t="s">
        <v>2241</v>
      </c>
      <c r="B2140" t="s">
        <v>44</v>
      </c>
      <c r="C2140">
        <v>2</v>
      </c>
      <c r="D2140">
        <v>18</v>
      </c>
      <c r="E2140">
        <v>36</v>
      </c>
      <c r="F2140" s="2">
        <v>45736</v>
      </c>
      <c r="G2140" s="2">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ht="18" x14ac:dyDescent="0.5">
      <c r="A2141" t="s">
        <v>2242</v>
      </c>
      <c r="B2141" t="s">
        <v>32</v>
      </c>
      <c r="C2141">
        <v>1</v>
      </c>
      <c r="D2141">
        <v>24.4</v>
      </c>
      <c r="E2141">
        <v>24.4</v>
      </c>
      <c r="F2141" s="2">
        <v>45736</v>
      </c>
      <c r="G2141" s="2">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ht="18" x14ac:dyDescent="0.5">
      <c r="A2142" t="s">
        <v>2243</v>
      </c>
      <c r="B2142" t="s">
        <v>54</v>
      </c>
      <c r="C2142">
        <v>2</v>
      </c>
      <c r="D2142">
        <v>38.799999999999997</v>
      </c>
      <c r="E2142">
        <v>77.599999999999994</v>
      </c>
      <c r="F2142" s="2">
        <v>45736</v>
      </c>
      <c r="G2142" s="2">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ht="18" x14ac:dyDescent="0.5">
      <c r="A2143" t="s">
        <v>2244</v>
      </c>
      <c r="B2143" t="s">
        <v>30</v>
      </c>
      <c r="C2143">
        <v>1</v>
      </c>
      <c r="D2143">
        <v>59.7</v>
      </c>
      <c r="E2143">
        <v>59.7</v>
      </c>
      <c r="F2143" s="2">
        <v>45736</v>
      </c>
      <c r="G2143" s="2">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ht="18" x14ac:dyDescent="0.5">
      <c r="A2144" t="s">
        <v>2245</v>
      </c>
      <c r="B2144" t="s">
        <v>42</v>
      </c>
      <c r="C2144">
        <v>1</v>
      </c>
      <c r="D2144">
        <v>31.2</v>
      </c>
      <c r="E2144">
        <v>31.2</v>
      </c>
      <c r="F2144" s="2">
        <v>45736</v>
      </c>
      <c r="G2144" s="2">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ht="18" x14ac:dyDescent="0.5">
      <c r="A2145" t="s">
        <v>2246</v>
      </c>
      <c r="B2145" t="s">
        <v>16</v>
      </c>
      <c r="C2145">
        <v>1</v>
      </c>
      <c r="D2145">
        <v>16.8</v>
      </c>
      <c r="E2145">
        <v>16.8</v>
      </c>
      <c r="F2145" s="2">
        <v>45736</v>
      </c>
      <c r="G2145" s="2">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ht="18" x14ac:dyDescent="0.5">
      <c r="A2146" t="s">
        <v>2247</v>
      </c>
      <c r="B2146" t="s">
        <v>44</v>
      </c>
      <c r="C2146">
        <v>1</v>
      </c>
      <c r="D2146">
        <v>46</v>
      </c>
      <c r="E2146">
        <v>46</v>
      </c>
      <c r="F2146" s="2">
        <v>45736</v>
      </c>
      <c r="G2146" s="2">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ht="18" x14ac:dyDescent="0.5">
      <c r="A2147" t="s">
        <v>2248</v>
      </c>
      <c r="B2147" t="s">
        <v>46</v>
      </c>
      <c r="C2147">
        <v>8</v>
      </c>
      <c r="D2147">
        <v>42.2</v>
      </c>
      <c r="E2147">
        <v>337.6</v>
      </c>
      <c r="F2147" s="2">
        <v>45736</v>
      </c>
      <c r="G2147" s="2">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ht="18" x14ac:dyDescent="0.5">
      <c r="A2148" t="s">
        <v>2249</v>
      </c>
      <c r="B2148" t="s">
        <v>22</v>
      </c>
      <c r="C2148">
        <v>3</v>
      </c>
      <c r="D2148">
        <v>71.5</v>
      </c>
      <c r="E2148">
        <v>214.5</v>
      </c>
      <c r="F2148" s="2">
        <v>45736</v>
      </c>
      <c r="G2148" s="2">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ht="18" x14ac:dyDescent="0.5">
      <c r="A2149" t="s">
        <v>2250</v>
      </c>
      <c r="B2149" t="s">
        <v>22</v>
      </c>
      <c r="C2149">
        <v>2</v>
      </c>
      <c r="D2149">
        <v>76.599999999999994</v>
      </c>
      <c r="E2149">
        <v>153.19999999999999</v>
      </c>
      <c r="F2149" s="2">
        <v>45736</v>
      </c>
      <c r="G2149" s="2">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ht="18" x14ac:dyDescent="0.5">
      <c r="A2150" t="s">
        <v>2251</v>
      </c>
      <c r="B2150" t="s">
        <v>69</v>
      </c>
      <c r="C2150">
        <v>2</v>
      </c>
      <c r="D2150">
        <v>87.3</v>
      </c>
      <c r="E2150">
        <v>174.6</v>
      </c>
      <c r="F2150" s="2">
        <v>45736</v>
      </c>
      <c r="G2150" s="2">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ht="18" x14ac:dyDescent="0.5">
      <c r="A2151" t="s">
        <v>2252</v>
      </c>
      <c r="B2151" t="s">
        <v>22</v>
      </c>
      <c r="C2151">
        <v>1</v>
      </c>
      <c r="D2151">
        <v>63</v>
      </c>
      <c r="E2151">
        <v>63</v>
      </c>
      <c r="F2151" s="2">
        <v>45736</v>
      </c>
      <c r="G2151" s="2">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ht="18" x14ac:dyDescent="0.5">
      <c r="A2152" t="s">
        <v>2253</v>
      </c>
      <c r="B2152" t="s">
        <v>44</v>
      </c>
      <c r="C2152">
        <v>2</v>
      </c>
      <c r="D2152">
        <v>41.7</v>
      </c>
      <c r="E2152">
        <v>83.4</v>
      </c>
      <c r="F2152" s="2">
        <v>45736</v>
      </c>
      <c r="G2152" s="2">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ht="18" x14ac:dyDescent="0.5">
      <c r="A2153" t="s">
        <v>2254</v>
      </c>
      <c r="B2153" t="s">
        <v>39</v>
      </c>
      <c r="C2153">
        <v>2</v>
      </c>
      <c r="D2153">
        <v>76.099999999999994</v>
      </c>
      <c r="E2153">
        <v>152.19999999999999</v>
      </c>
      <c r="F2153" s="2">
        <v>45736</v>
      </c>
      <c r="G2153" s="2">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ht="18" x14ac:dyDescent="0.5">
      <c r="A2154" t="s">
        <v>2255</v>
      </c>
      <c r="B2154" t="s">
        <v>76</v>
      </c>
      <c r="C2154">
        <v>2</v>
      </c>
      <c r="D2154">
        <v>28.5</v>
      </c>
      <c r="E2154">
        <v>57</v>
      </c>
      <c r="F2154" s="2">
        <v>45736</v>
      </c>
      <c r="G2154" s="2">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ht="18" x14ac:dyDescent="0.5">
      <c r="A2155" t="s">
        <v>2256</v>
      </c>
      <c r="B2155" t="s">
        <v>16</v>
      </c>
      <c r="C2155">
        <v>4</v>
      </c>
      <c r="D2155">
        <v>32.1</v>
      </c>
      <c r="E2155">
        <v>128.4</v>
      </c>
      <c r="F2155" s="2">
        <v>45736</v>
      </c>
      <c r="G2155" s="2">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ht="18" x14ac:dyDescent="0.5">
      <c r="A2156" t="s">
        <v>2257</v>
      </c>
      <c r="B2156" t="s">
        <v>32</v>
      </c>
      <c r="C2156">
        <v>3</v>
      </c>
      <c r="D2156">
        <v>39</v>
      </c>
      <c r="E2156">
        <v>117</v>
      </c>
      <c r="F2156" s="2">
        <v>45736</v>
      </c>
      <c r="G2156" s="2">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ht="18" x14ac:dyDescent="0.5">
      <c r="A2157" t="s">
        <v>2258</v>
      </c>
      <c r="B2157" t="s">
        <v>39</v>
      </c>
      <c r="C2157">
        <v>1</v>
      </c>
      <c r="D2157">
        <v>78.5</v>
      </c>
      <c r="E2157">
        <v>78.5</v>
      </c>
      <c r="F2157" s="2">
        <v>45736</v>
      </c>
      <c r="G2157" s="2">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ht="18" x14ac:dyDescent="0.5">
      <c r="A2158" t="s">
        <v>2259</v>
      </c>
      <c r="B2158" t="s">
        <v>32</v>
      </c>
      <c r="C2158">
        <v>5</v>
      </c>
      <c r="D2158">
        <v>49.7</v>
      </c>
      <c r="E2158">
        <v>248.5</v>
      </c>
      <c r="F2158" s="2">
        <v>45736</v>
      </c>
      <c r="G2158" s="2">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ht="18" x14ac:dyDescent="0.5">
      <c r="A2159" t="s">
        <v>2260</v>
      </c>
      <c r="B2159" t="s">
        <v>22</v>
      </c>
      <c r="C2159">
        <v>4</v>
      </c>
      <c r="D2159">
        <v>68.400000000000006</v>
      </c>
      <c r="E2159">
        <v>273.60000000000002</v>
      </c>
      <c r="F2159" s="2">
        <v>45736</v>
      </c>
      <c r="G2159" s="2">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ht="18" x14ac:dyDescent="0.5">
      <c r="A2160" t="s">
        <v>2261</v>
      </c>
      <c r="B2160" t="s">
        <v>30</v>
      </c>
      <c r="C2160">
        <v>2</v>
      </c>
      <c r="D2160">
        <v>72.900000000000006</v>
      </c>
      <c r="E2160">
        <v>145.80000000000001</v>
      </c>
      <c r="F2160" s="2">
        <v>45736</v>
      </c>
      <c r="G2160" s="2">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ht="18" x14ac:dyDescent="0.5">
      <c r="A2161" t="s">
        <v>2262</v>
      </c>
      <c r="B2161" t="s">
        <v>37</v>
      </c>
      <c r="C2161">
        <v>13</v>
      </c>
      <c r="D2161">
        <v>30.3</v>
      </c>
      <c r="E2161">
        <v>393.90000000000003</v>
      </c>
      <c r="F2161" s="2">
        <v>45736</v>
      </c>
      <c r="G2161" s="2">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ht="18" x14ac:dyDescent="0.5">
      <c r="A2162" t="s">
        <v>2263</v>
      </c>
      <c r="B2162" t="s">
        <v>39</v>
      </c>
      <c r="C2162">
        <v>11</v>
      </c>
      <c r="D2162">
        <v>57.9</v>
      </c>
      <c r="E2162">
        <v>636.9</v>
      </c>
      <c r="F2162" s="2">
        <v>45736</v>
      </c>
      <c r="G2162" s="2">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ht="18" x14ac:dyDescent="0.5">
      <c r="A2163" t="s">
        <v>2264</v>
      </c>
      <c r="B2163" t="s">
        <v>22</v>
      </c>
      <c r="C2163">
        <v>1</v>
      </c>
      <c r="D2163">
        <v>96.7</v>
      </c>
      <c r="E2163">
        <v>96.7</v>
      </c>
      <c r="F2163" s="2">
        <v>45736</v>
      </c>
      <c r="G2163" s="2">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ht="18" x14ac:dyDescent="0.5">
      <c r="A2164" t="s">
        <v>2265</v>
      </c>
      <c r="B2164" t="s">
        <v>44</v>
      </c>
      <c r="C2164">
        <v>12</v>
      </c>
      <c r="D2164">
        <v>27.6</v>
      </c>
      <c r="E2164">
        <v>331.20000000000005</v>
      </c>
      <c r="F2164" s="2">
        <v>45736</v>
      </c>
      <c r="G2164" s="2">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ht="18" x14ac:dyDescent="0.5">
      <c r="A2165" t="s">
        <v>2266</v>
      </c>
      <c r="B2165" t="s">
        <v>39</v>
      </c>
      <c r="C2165">
        <v>4</v>
      </c>
      <c r="D2165">
        <v>64.7</v>
      </c>
      <c r="E2165">
        <v>258.8</v>
      </c>
      <c r="F2165" s="2">
        <v>45736</v>
      </c>
      <c r="G2165" s="2">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ht="18" x14ac:dyDescent="0.5">
      <c r="A2166" t="s">
        <v>2267</v>
      </c>
      <c r="B2166" t="s">
        <v>54</v>
      </c>
      <c r="C2166">
        <v>6</v>
      </c>
      <c r="D2166">
        <v>30.5</v>
      </c>
      <c r="E2166">
        <v>183</v>
      </c>
      <c r="F2166" s="2">
        <v>45736</v>
      </c>
      <c r="G2166" s="2">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ht="18" x14ac:dyDescent="0.5">
      <c r="A2167" t="s">
        <v>2268</v>
      </c>
      <c r="B2167" t="s">
        <v>39</v>
      </c>
      <c r="C2167">
        <v>70</v>
      </c>
      <c r="D2167">
        <v>106</v>
      </c>
      <c r="E2167">
        <v>7420</v>
      </c>
      <c r="F2167" s="2">
        <v>45737</v>
      </c>
      <c r="G2167" s="2">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ht="18" x14ac:dyDescent="0.5">
      <c r="A2168" t="s">
        <v>2269</v>
      </c>
      <c r="B2168" t="s">
        <v>69</v>
      </c>
      <c r="C2168">
        <v>5</v>
      </c>
      <c r="D2168">
        <v>76.8</v>
      </c>
      <c r="E2168">
        <v>384</v>
      </c>
      <c r="F2168" s="2">
        <v>45737</v>
      </c>
      <c r="G2168" s="2">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ht="18" x14ac:dyDescent="0.5">
      <c r="A2169" t="s">
        <v>2270</v>
      </c>
      <c r="B2169" t="s">
        <v>39</v>
      </c>
      <c r="C2169">
        <v>2</v>
      </c>
      <c r="D2169">
        <v>80.400000000000006</v>
      </c>
      <c r="E2169">
        <v>160.80000000000001</v>
      </c>
      <c r="F2169" s="2">
        <v>45737</v>
      </c>
      <c r="G2169" s="2">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ht="18" x14ac:dyDescent="0.5">
      <c r="A2170" t="s">
        <v>2271</v>
      </c>
      <c r="B2170" t="s">
        <v>39</v>
      </c>
      <c r="C2170">
        <v>4</v>
      </c>
      <c r="D2170">
        <v>69.099999999999994</v>
      </c>
      <c r="E2170">
        <v>276.39999999999998</v>
      </c>
      <c r="F2170" s="2">
        <v>45737</v>
      </c>
      <c r="G2170" s="2">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ht="18" x14ac:dyDescent="0.5">
      <c r="A2171" t="s">
        <v>2272</v>
      </c>
      <c r="B2171" t="s">
        <v>146</v>
      </c>
      <c r="C2171">
        <v>2</v>
      </c>
      <c r="D2171">
        <v>76.400000000000006</v>
      </c>
      <c r="E2171">
        <v>152.80000000000001</v>
      </c>
      <c r="F2171" s="2">
        <v>45737</v>
      </c>
      <c r="G2171" s="2">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ht="18" x14ac:dyDescent="0.5">
      <c r="A2172" t="s">
        <v>2273</v>
      </c>
      <c r="B2172" t="s">
        <v>26</v>
      </c>
      <c r="C2172">
        <v>2</v>
      </c>
      <c r="D2172">
        <v>61.3</v>
      </c>
      <c r="E2172">
        <v>122.6</v>
      </c>
      <c r="F2172" s="2">
        <v>45737</v>
      </c>
      <c r="G2172" s="2">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ht="18" x14ac:dyDescent="0.5">
      <c r="A2173" t="s">
        <v>2274</v>
      </c>
      <c r="B2173" t="s">
        <v>42</v>
      </c>
      <c r="C2173">
        <v>1</v>
      </c>
      <c r="D2173">
        <v>58</v>
      </c>
      <c r="E2173">
        <v>58</v>
      </c>
      <c r="F2173" s="2">
        <v>45737</v>
      </c>
      <c r="G2173" s="2">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ht="18" x14ac:dyDescent="0.5">
      <c r="A2174" t="s">
        <v>2275</v>
      </c>
      <c r="B2174" t="s">
        <v>26</v>
      </c>
      <c r="C2174">
        <v>8</v>
      </c>
      <c r="D2174">
        <v>102.3</v>
      </c>
      <c r="E2174">
        <v>818.4</v>
      </c>
      <c r="F2174" s="2">
        <v>45737</v>
      </c>
      <c r="G2174" s="2">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ht="18" x14ac:dyDescent="0.5">
      <c r="A2175" t="s">
        <v>2276</v>
      </c>
      <c r="B2175" t="s">
        <v>171</v>
      </c>
      <c r="C2175">
        <v>2</v>
      </c>
      <c r="D2175">
        <v>13.8</v>
      </c>
      <c r="E2175">
        <v>27.6</v>
      </c>
      <c r="F2175" s="2">
        <v>45737</v>
      </c>
      <c r="G2175" s="2">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ht="18" x14ac:dyDescent="0.5">
      <c r="A2176" t="s">
        <v>2277</v>
      </c>
      <c r="B2176" t="s">
        <v>44</v>
      </c>
      <c r="C2176">
        <v>3</v>
      </c>
      <c r="D2176">
        <v>33.299999999999997</v>
      </c>
      <c r="E2176">
        <v>99.899999999999991</v>
      </c>
      <c r="F2176" s="2">
        <v>45737</v>
      </c>
      <c r="G2176" s="2">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ht="18" x14ac:dyDescent="0.5">
      <c r="A2177" t="s">
        <v>2278</v>
      </c>
      <c r="B2177" t="s">
        <v>54</v>
      </c>
      <c r="C2177">
        <v>1</v>
      </c>
      <c r="D2177">
        <v>27.4</v>
      </c>
      <c r="E2177">
        <v>27.4</v>
      </c>
      <c r="F2177" s="2">
        <v>45737</v>
      </c>
      <c r="G2177" s="2">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ht="18" x14ac:dyDescent="0.5">
      <c r="A2178" t="s">
        <v>2279</v>
      </c>
      <c r="B2178" t="s">
        <v>81</v>
      </c>
      <c r="C2178">
        <v>2</v>
      </c>
      <c r="D2178">
        <v>25.6</v>
      </c>
      <c r="E2178">
        <v>51.2</v>
      </c>
      <c r="F2178" s="2">
        <v>45737</v>
      </c>
      <c r="G2178" s="2">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ht="18" x14ac:dyDescent="0.5">
      <c r="A2179" t="s">
        <v>2280</v>
      </c>
      <c r="B2179" t="s">
        <v>76</v>
      </c>
      <c r="C2179">
        <v>1</v>
      </c>
      <c r="D2179">
        <v>58.4</v>
      </c>
      <c r="E2179">
        <v>58.4</v>
      </c>
      <c r="F2179" s="2">
        <v>45737</v>
      </c>
      <c r="G2179" s="2">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ht="18" x14ac:dyDescent="0.5">
      <c r="A2180" t="s">
        <v>2281</v>
      </c>
      <c r="B2180" t="s">
        <v>67</v>
      </c>
      <c r="C2180">
        <v>30</v>
      </c>
      <c r="D2180">
        <v>27</v>
      </c>
      <c r="E2180">
        <v>810</v>
      </c>
      <c r="F2180" s="2">
        <v>45737</v>
      </c>
      <c r="G2180" s="2">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ht="18" x14ac:dyDescent="0.5">
      <c r="A2181" t="s">
        <v>2282</v>
      </c>
      <c r="B2181" t="s">
        <v>16</v>
      </c>
      <c r="C2181">
        <v>4</v>
      </c>
      <c r="D2181">
        <v>14.2</v>
      </c>
      <c r="E2181">
        <v>56.8</v>
      </c>
      <c r="F2181" s="2">
        <v>45737</v>
      </c>
      <c r="G2181" s="2">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ht="18" x14ac:dyDescent="0.5">
      <c r="A2182" t="s">
        <v>2283</v>
      </c>
      <c r="B2182" t="s">
        <v>42</v>
      </c>
      <c r="C2182">
        <v>2</v>
      </c>
      <c r="D2182">
        <v>68</v>
      </c>
      <c r="E2182">
        <v>136</v>
      </c>
      <c r="F2182" s="2">
        <v>45737</v>
      </c>
      <c r="G2182" s="2">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ht="18" x14ac:dyDescent="0.5">
      <c r="A2183" t="s">
        <v>2284</v>
      </c>
      <c r="B2183" t="s">
        <v>44</v>
      </c>
      <c r="C2183">
        <v>1</v>
      </c>
      <c r="D2183">
        <v>30.7</v>
      </c>
      <c r="E2183">
        <v>30.7</v>
      </c>
      <c r="F2183" s="2">
        <v>45737</v>
      </c>
      <c r="G2183" s="2">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ht="18" x14ac:dyDescent="0.5">
      <c r="A2184" t="s">
        <v>2285</v>
      </c>
      <c r="B2184" t="s">
        <v>135</v>
      </c>
      <c r="C2184">
        <v>13</v>
      </c>
      <c r="D2184">
        <v>51.6</v>
      </c>
      <c r="E2184">
        <v>670.80000000000007</v>
      </c>
      <c r="F2184" s="2">
        <v>45737</v>
      </c>
      <c r="G2184" s="2">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ht="18" x14ac:dyDescent="0.5">
      <c r="A2185" t="s">
        <v>2286</v>
      </c>
      <c r="B2185" t="s">
        <v>44</v>
      </c>
      <c r="C2185">
        <v>3</v>
      </c>
      <c r="D2185">
        <v>20.6</v>
      </c>
      <c r="E2185">
        <v>61.800000000000004</v>
      </c>
      <c r="F2185" s="2">
        <v>45737</v>
      </c>
      <c r="G2185" s="2">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ht="18" x14ac:dyDescent="0.5">
      <c r="A2186" t="s">
        <v>2287</v>
      </c>
      <c r="B2186" t="s">
        <v>44</v>
      </c>
      <c r="C2186">
        <v>1</v>
      </c>
      <c r="D2186">
        <v>24.8</v>
      </c>
      <c r="E2186">
        <v>24.8</v>
      </c>
      <c r="F2186" s="2">
        <v>45737</v>
      </c>
      <c r="G2186" s="2">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ht="18" x14ac:dyDescent="0.5">
      <c r="A2187" t="s">
        <v>2288</v>
      </c>
      <c r="B2187" t="s">
        <v>16</v>
      </c>
      <c r="C2187">
        <v>7</v>
      </c>
      <c r="D2187">
        <v>11.2</v>
      </c>
      <c r="E2187">
        <v>78.399999999999991</v>
      </c>
      <c r="F2187" s="2">
        <v>45737</v>
      </c>
      <c r="G2187" s="2">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ht="18" x14ac:dyDescent="0.5">
      <c r="A2188" t="s">
        <v>2289</v>
      </c>
      <c r="B2188" t="s">
        <v>67</v>
      </c>
      <c r="C2188">
        <v>2</v>
      </c>
      <c r="D2188">
        <v>51.2</v>
      </c>
      <c r="E2188">
        <v>102.4</v>
      </c>
      <c r="F2188" s="2">
        <v>45737</v>
      </c>
      <c r="G2188" s="2">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ht="18" x14ac:dyDescent="0.5">
      <c r="A2189" t="s">
        <v>2290</v>
      </c>
      <c r="B2189" t="s">
        <v>42</v>
      </c>
      <c r="C2189">
        <v>6</v>
      </c>
      <c r="D2189">
        <v>90.5</v>
      </c>
      <c r="E2189">
        <v>543</v>
      </c>
      <c r="F2189" s="2">
        <v>45737</v>
      </c>
      <c r="G2189" s="2">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ht="18" x14ac:dyDescent="0.5">
      <c r="A2190" t="s">
        <v>2291</v>
      </c>
      <c r="B2190" t="s">
        <v>22</v>
      </c>
      <c r="C2190">
        <v>2</v>
      </c>
      <c r="D2190">
        <v>42.4</v>
      </c>
      <c r="E2190">
        <v>84.8</v>
      </c>
      <c r="F2190" s="2">
        <v>45737</v>
      </c>
      <c r="G2190" s="2">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ht="18" x14ac:dyDescent="0.5">
      <c r="A2191" t="s">
        <v>2292</v>
      </c>
      <c r="B2191" t="s">
        <v>22</v>
      </c>
      <c r="C2191">
        <v>2</v>
      </c>
      <c r="D2191">
        <v>38.200000000000003</v>
      </c>
      <c r="E2191">
        <v>76.400000000000006</v>
      </c>
      <c r="F2191" s="2">
        <v>45737</v>
      </c>
      <c r="G2191" s="2">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ht="18" x14ac:dyDescent="0.5">
      <c r="A2192" t="s">
        <v>2293</v>
      </c>
      <c r="B2192" t="s">
        <v>26</v>
      </c>
      <c r="C2192">
        <v>9</v>
      </c>
      <c r="D2192">
        <v>121.3</v>
      </c>
      <c r="E2192">
        <v>1091.7</v>
      </c>
      <c r="F2192" s="2">
        <v>45737</v>
      </c>
      <c r="G2192" s="2">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ht="18" x14ac:dyDescent="0.5">
      <c r="A2193" t="s">
        <v>2294</v>
      </c>
      <c r="B2193" t="s">
        <v>39</v>
      </c>
      <c r="C2193">
        <v>2</v>
      </c>
      <c r="D2193">
        <v>46.9</v>
      </c>
      <c r="E2193">
        <v>93.8</v>
      </c>
      <c r="F2193" s="2">
        <v>45737</v>
      </c>
      <c r="G2193" s="2">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ht="18" x14ac:dyDescent="0.5">
      <c r="A2194" t="s">
        <v>2295</v>
      </c>
      <c r="B2194" t="s">
        <v>54</v>
      </c>
      <c r="C2194">
        <v>1</v>
      </c>
      <c r="D2194">
        <v>55.3</v>
      </c>
      <c r="E2194">
        <v>55.3</v>
      </c>
      <c r="F2194" s="2">
        <v>45737</v>
      </c>
      <c r="G2194" s="2">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ht="18" x14ac:dyDescent="0.5">
      <c r="A2195" t="s">
        <v>2296</v>
      </c>
      <c r="B2195" t="s">
        <v>26</v>
      </c>
      <c r="C2195">
        <v>3</v>
      </c>
      <c r="D2195">
        <v>70.599999999999994</v>
      </c>
      <c r="E2195">
        <v>211.79999999999998</v>
      </c>
      <c r="F2195" s="2">
        <v>45738</v>
      </c>
      <c r="G2195" s="2">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ht="18" x14ac:dyDescent="0.5">
      <c r="A2196" t="s">
        <v>2297</v>
      </c>
      <c r="B2196" t="s">
        <v>81</v>
      </c>
      <c r="C2196">
        <v>4</v>
      </c>
      <c r="D2196">
        <v>26.1</v>
      </c>
      <c r="E2196">
        <v>104.4</v>
      </c>
      <c r="F2196" s="2">
        <v>45738</v>
      </c>
      <c r="G2196" s="2">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ht="18" x14ac:dyDescent="0.5">
      <c r="A2197" t="s">
        <v>2298</v>
      </c>
      <c r="B2197" t="s">
        <v>46</v>
      </c>
      <c r="C2197">
        <v>11</v>
      </c>
      <c r="D2197">
        <v>34.5</v>
      </c>
      <c r="E2197">
        <v>379.5</v>
      </c>
      <c r="F2197" s="2">
        <v>45738</v>
      </c>
      <c r="G2197" s="2">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ht="18" x14ac:dyDescent="0.5">
      <c r="A2198" t="s">
        <v>2299</v>
      </c>
      <c r="B2198" t="s">
        <v>22</v>
      </c>
      <c r="C2198">
        <v>2</v>
      </c>
      <c r="D2198">
        <v>64.2</v>
      </c>
      <c r="E2198">
        <v>128.4</v>
      </c>
      <c r="F2198" s="2">
        <v>45738</v>
      </c>
      <c r="G2198" s="2">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ht="18" x14ac:dyDescent="0.5">
      <c r="A2199" t="s">
        <v>2300</v>
      </c>
      <c r="B2199" t="s">
        <v>26</v>
      </c>
      <c r="C2199">
        <v>4</v>
      </c>
      <c r="D2199">
        <v>145.69999999999999</v>
      </c>
      <c r="E2199">
        <v>582.79999999999995</v>
      </c>
      <c r="F2199" s="2">
        <v>45738</v>
      </c>
      <c r="G2199" s="2">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ht="18" x14ac:dyDescent="0.5">
      <c r="A2200" t="s">
        <v>2301</v>
      </c>
      <c r="B2200" t="s">
        <v>69</v>
      </c>
      <c r="C2200">
        <v>2</v>
      </c>
      <c r="D2200">
        <v>78.5</v>
      </c>
      <c r="E2200">
        <v>157</v>
      </c>
      <c r="F2200" s="2">
        <v>45738</v>
      </c>
      <c r="G2200" s="2">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ht="18" x14ac:dyDescent="0.5">
      <c r="A2201" t="s">
        <v>2302</v>
      </c>
      <c r="B2201" t="s">
        <v>22</v>
      </c>
      <c r="C2201">
        <v>1</v>
      </c>
      <c r="D2201">
        <v>34.200000000000003</v>
      </c>
      <c r="E2201">
        <v>34.200000000000003</v>
      </c>
      <c r="F2201" s="2">
        <v>45738</v>
      </c>
      <c r="G2201" s="2">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ht="18" x14ac:dyDescent="0.5">
      <c r="A2202" t="s">
        <v>2303</v>
      </c>
      <c r="B2202" t="s">
        <v>171</v>
      </c>
      <c r="C2202">
        <v>1</v>
      </c>
      <c r="D2202">
        <v>26.2</v>
      </c>
      <c r="E2202">
        <v>26.2</v>
      </c>
      <c r="F2202" s="2">
        <v>45738</v>
      </c>
      <c r="G2202" s="2">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ht="18" x14ac:dyDescent="0.5">
      <c r="A2203" t="s">
        <v>2304</v>
      </c>
      <c r="B2203" t="s">
        <v>39</v>
      </c>
      <c r="C2203">
        <v>4</v>
      </c>
      <c r="D2203">
        <v>53.2</v>
      </c>
      <c r="E2203">
        <v>212.8</v>
      </c>
      <c r="F2203" s="2">
        <v>45738</v>
      </c>
      <c r="G2203" s="2">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ht="18" x14ac:dyDescent="0.5">
      <c r="A2204" t="s">
        <v>2305</v>
      </c>
      <c r="B2204" t="s">
        <v>22</v>
      </c>
      <c r="C2204">
        <v>1</v>
      </c>
      <c r="D2204">
        <v>35.4</v>
      </c>
      <c r="E2204">
        <v>35.4</v>
      </c>
      <c r="F2204" s="2">
        <v>45738</v>
      </c>
      <c r="G2204" s="2">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ht="18" x14ac:dyDescent="0.5">
      <c r="A2205" t="s">
        <v>2306</v>
      </c>
      <c r="B2205" t="s">
        <v>81</v>
      </c>
      <c r="C2205">
        <v>2</v>
      </c>
      <c r="D2205">
        <v>21.3</v>
      </c>
      <c r="E2205">
        <v>42.6</v>
      </c>
      <c r="F2205" s="2">
        <v>45738</v>
      </c>
      <c r="G2205" s="2">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ht="18" x14ac:dyDescent="0.5">
      <c r="A2206" t="s">
        <v>2307</v>
      </c>
      <c r="B2206" t="s">
        <v>44</v>
      </c>
      <c r="C2206">
        <v>4</v>
      </c>
      <c r="D2206">
        <v>32.9</v>
      </c>
      <c r="E2206">
        <v>131.6</v>
      </c>
      <c r="F2206" s="2">
        <v>45738</v>
      </c>
      <c r="G2206" s="2">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ht="18" x14ac:dyDescent="0.5">
      <c r="A2207" t="s">
        <v>2308</v>
      </c>
      <c r="B2207" t="s">
        <v>37</v>
      </c>
      <c r="C2207">
        <v>15</v>
      </c>
      <c r="D2207">
        <v>85.5</v>
      </c>
      <c r="E2207">
        <v>1282.5</v>
      </c>
      <c r="F2207" s="2">
        <v>45738</v>
      </c>
      <c r="G2207" s="2">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ht="18" x14ac:dyDescent="0.5">
      <c r="A2208" t="s">
        <v>2309</v>
      </c>
      <c r="B2208" t="s">
        <v>32</v>
      </c>
      <c r="C2208">
        <v>1</v>
      </c>
      <c r="D2208">
        <v>26.8</v>
      </c>
      <c r="E2208">
        <v>26.8</v>
      </c>
      <c r="F2208" s="2">
        <v>45738</v>
      </c>
      <c r="G2208" s="2">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ht="18" x14ac:dyDescent="0.5">
      <c r="A2209" t="s">
        <v>2310</v>
      </c>
      <c r="B2209" t="s">
        <v>46</v>
      </c>
      <c r="C2209">
        <v>26</v>
      </c>
      <c r="D2209">
        <v>31.7</v>
      </c>
      <c r="E2209">
        <v>824.19999999999993</v>
      </c>
      <c r="F2209" s="2">
        <v>45738</v>
      </c>
      <c r="G2209" s="2">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ht="18" x14ac:dyDescent="0.5">
      <c r="A2210" t="s">
        <v>2311</v>
      </c>
      <c r="B2210" t="s">
        <v>22</v>
      </c>
      <c r="C2210">
        <v>2</v>
      </c>
      <c r="D2210">
        <v>78.3</v>
      </c>
      <c r="E2210">
        <v>156.6</v>
      </c>
      <c r="F2210" s="2">
        <v>45738</v>
      </c>
      <c r="G2210" s="2">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ht="18" x14ac:dyDescent="0.5">
      <c r="A2211" t="s">
        <v>2312</v>
      </c>
      <c r="B2211" t="s">
        <v>39</v>
      </c>
      <c r="C2211">
        <v>1</v>
      </c>
      <c r="D2211">
        <v>43.9</v>
      </c>
      <c r="E2211">
        <v>43.9</v>
      </c>
      <c r="F2211" s="2">
        <v>45738</v>
      </c>
      <c r="G2211" s="2">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ht="18" x14ac:dyDescent="0.5">
      <c r="A2212" t="s">
        <v>2313</v>
      </c>
      <c r="B2212" t="s">
        <v>146</v>
      </c>
      <c r="C2212">
        <v>3</v>
      </c>
      <c r="D2212">
        <v>84</v>
      </c>
      <c r="E2212">
        <v>252</v>
      </c>
      <c r="F2212" s="2">
        <v>45738</v>
      </c>
      <c r="G2212" s="2">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ht="18" x14ac:dyDescent="0.5">
      <c r="A2213" t="s">
        <v>2314</v>
      </c>
      <c r="B2213" t="s">
        <v>16</v>
      </c>
      <c r="C2213">
        <v>3</v>
      </c>
      <c r="D2213">
        <v>11.4</v>
      </c>
      <c r="E2213">
        <v>34.200000000000003</v>
      </c>
      <c r="F2213" s="2">
        <v>45738</v>
      </c>
      <c r="G2213" s="2">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ht="18" x14ac:dyDescent="0.5">
      <c r="A2214" t="s">
        <v>2315</v>
      </c>
      <c r="B2214" t="s">
        <v>69</v>
      </c>
      <c r="C2214">
        <v>8</v>
      </c>
      <c r="D2214">
        <v>47.5</v>
      </c>
      <c r="E2214">
        <v>380</v>
      </c>
      <c r="F2214" s="2">
        <v>45738</v>
      </c>
      <c r="G2214" s="2">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ht="18" x14ac:dyDescent="0.5">
      <c r="A2215" t="s">
        <v>2316</v>
      </c>
      <c r="B2215" t="s">
        <v>46</v>
      </c>
      <c r="C2215">
        <v>11</v>
      </c>
      <c r="D2215">
        <v>50.5</v>
      </c>
      <c r="E2215">
        <v>555.5</v>
      </c>
      <c r="F2215" s="2">
        <v>45738</v>
      </c>
      <c r="G2215" s="2">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ht="18" x14ac:dyDescent="0.5">
      <c r="A2216" t="s">
        <v>2317</v>
      </c>
      <c r="B2216" t="s">
        <v>123</v>
      </c>
      <c r="C2216">
        <v>1</v>
      </c>
      <c r="D2216">
        <v>36.299999999999997</v>
      </c>
      <c r="E2216">
        <v>36.299999999999997</v>
      </c>
      <c r="F2216" s="2">
        <v>45738</v>
      </c>
      <c r="G2216" s="2">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ht="18" x14ac:dyDescent="0.5">
      <c r="A2217" t="s">
        <v>2318</v>
      </c>
      <c r="B2217" t="s">
        <v>44</v>
      </c>
      <c r="C2217">
        <v>2</v>
      </c>
      <c r="D2217">
        <v>35.4</v>
      </c>
      <c r="E2217">
        <v>70.8</v>
      </c>
      <c r="F2217" s="2">
        <v>45738</v>
      </c>
      <c r="G2217" s="2">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ht="18" x14ac:dyDescent="0.5">
      <c r="A2218" t="s">
        <v>2319</v>
      </c>
      <c r="B2218" t="s">
        <v>22</v>
      </c>
      <c r="C2218">
        <v>3</v>
      </c>
      <c r="D2218">
        <v>45.9</v>
      </c>
      <c r="E2218">
        <v>137.69999999999999</v>
      </c>
      <c r="F2218" s="2">
        <v>45739</v>
      </c>
      <c r="G2218" s="2">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ht="18" x14ac:dyDescent="0.5">
      <c r="A2219" t="s">
        <v>2320</v>
      </c>
      <c r="B2219" t="s">
        <v>39</v>
      </c>
      <c r="C2219">
        <v>10</v>
      </c>
      <c r="D2219">
        <v>41.2</v>
      </c>
      <c r="E2219">
        <v>412</v>
      </c>
      <c r="F2219" s="2">
        <v>45739</v>
      </c>
      <c r="G2219" s="2">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ht="18" x14ac:dyDescent="0.5">
      <c r="A2220" t="s">
        <v>2321</v>
      </c>
      <c r="B2220" t="s">
        <v>135</v>
      </c>
      <c r="C2220">
        <v>2</v>
      </c>
      <c r="D2220">
        <v>45.1</v>
      </c>
      <c r="E2220">
        <v>90.2</v>
      </c>
      <c r="F2220" s="2">
        <v>45739</v>
      </c>
      <c r="G2220" s="2">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ht="18" x14ac:dyDescent="0.5">
      <c r="A2221" t="s">
        <v>2322</v>
      </c>
      <c r="B2221" t="s">
        <v>39</v>
      </c>
      <c r="C2221">
        <v>10</v>
      </c>
      <c r="D2221">
        <v>63.6</v>
      </c>
      <c r="E2221">
        <v>636</v>
      </c>
      <c r="F2221" s="2">
        <v>45739</v>
      </c>
      <c r="G2221" s="2">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ht="18" x14ac:dyDescent="0.5">
      <c r="A2222" t="s">
        <v>2323</v>
      </c>
      <c r="B2222" t="s">
        <v>44</v>
      </c>
      <c r="C2222">
        <v>1</v>
      </c>
      <c r="D2222">
        <v>70.5</v>
      </c>
      <c r="E2222">
        <v>70.5</v>
      </c>
      <c r="F2222" s="2">
        <v>45739</v>
      </c>
      <c r="G2222" s="2">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ht="18" x14ac:dyDescent="0.5">
      <c r="A2223" t="s">
        <v>2324</v>
      </c>
      <c r="B2223" t="s">
        <v>39</v>
      </c>
      <c r="C2223">
        <v>1</v>
      </c>
      <c r="D2223">
        <v>41.3</v>
      </c>
      <c r="E2223">
        <v>41.3</v>
      </c>
      <c r="F2223" s="2">
        <v>45739</v>
      </c>
      <c r="G2223" s="2">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ht="18" x14ac:dyDescent="0.5">
      <c r="A2224" t="s">
        <v>2325</v>
      </c>
      <c r="B2224" t="s">
        <v>32</v>
      </c>
      <c r="C2224">
        <v>1</v>
      </c>
      <c r="D2224">
        <v>35.299999999999997</v>
      </c>
      <c r="E2224">
        <v>35.299999999999997</v>
      </c>
      <c r="F2224" s="2">
        <v>45739</v>
      </c>
      <c r="G2224" s="2">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ht="18" x14ac:dyDescent="0.5">
      <c r="A2225" t="s">
        <v>2326</v>
      </c>
      <c r="B2225" t="s">
        <v>44</v>
      </c>
      <c r="C2225">
        <v>5</v>
      </c>
      <c r="D2225">
        <v>34.700000000000003</v>
      </c>
      <c r="E2225">
        <v>173.5</v>
      </c>
      <c r="F2225" s="2">
        <v>45739</v>
      </c>
      <c r="G2225" s="2">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ht="18" x14ac:dyDescent="0.5">
      <c r="A2226" t="s">
        <v>2327</v>
      </c>
      <c r="B2226" t="s">
        <v>44</v>
      </c>
      <c r="C2226">
        <v>3</v>
      </c>
      <c r="D2226">
        <v>26.1</v>
      </c>
      <c r="E2226">
        <v>78.300000000000011</v>
      </c>
      <c r="F2226" s="2">
        <v>45739</v>
      </c>
      <c r="G2226" s="2">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ht="18" x14ac:dyDescent="0.5">
      <c r="A2227" t="s">
        <v>2328</v>
      </c>
      <c r="B2227" t="s">
        <v>46</v>
      </c>
      <c r="C2227">
        <v>5</v>
      </c>
      <c r="D2227">
        <v>22.6</v>
      </c>
      <c r="E2227">
        <v>113</v>
      </c>
      <c r="F2227" s="2">
        <v>45739</v>
      </c>
      <c r="G2227" s="2">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ht="18" x14ac:dyDescent="0.5">
      <c r="A2228" t="s">
        <v>2329</v>
      </c>
      <c r="B2228" t="s">
        <v>26</v>
      </c>
      <c r="C2228">
        <v>2</v>
      </c>
      <c r="D2228">
        <v>154.4</v>
      </c>
      <c r="E2228">
        <v>308.8</v>
      </c>
      <c r="F2228" s="2">
        <v>45739</v>
      </c>
      <c r="G2228" s="2">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ht="18" x14ac:dyDescent="0.5">
      <c r="A2229" t="s">
        <v>2330</v>
      </c>
      <c r="B2229" t="s">
        <v>44</v>
      </c>
      <c r="C2229">
        <v>2</v>
      </c>
      <c r="D2229">
        <v>18.399999999999999</v>
      </c>
      <c r="E2229">
        <v>36.799999999999997</v>
      </c>
      <c r="F2229" s="2">
        <v>45739</v>
      </c>
      <c r="G2229" s="2">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ht="18" x14ac:dyDescent="0.5">
      <c r="A2230" t="s">
        <v>2331</v>
      </c>
      <c r="B2230" t="s">
        <v>81</v>
      </c>
      <c r="C2230">
        <v>1</v>
      </c>
      <c r="D2230">
        <v>25</v>
      </c>
      <c r="E2230">
        <v>25</v>
      </c>
      <c r="F2230" s="2">
        <v>45739</v>
      </c>
      <c r="G2230" s="2">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ht="18" x14ac:dyDescent="0.5">
      <c r="A2231" t="s">
        <v>2332</v>
      </c>
      <c r="B2231" t="s">
        <v>26</v>
      </c>
      <c r="C2231">
        <v>6</v>
      </c>
      <c r="D2231">
        <v>105.6</v>
      </c>
      <c r="E2231">
        <v>633.59999999999991</v>
      </c>
      <c r="F2231" s="2">
        <v>45739</v>
      </c>
      <c r="G2231" s="2">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ht="18" x14ac:dyDescent="0.5">
      <c r="A2232" t="s">
        <v>2333</v>
      </c>
      <c r="B2232" t="s">
        <v>146</v>
      </c>
      <c r="C2232">
        <v>8</v>
      </c>
      <c r="D2232">
        <v>59.6</v>
      </c>
      <c r="E2232">
        <v>476.8</v>
      </c>
      <c r="F2232" s="2">
        <v>45739</v>
      </c>
      <c r="G2232" s="2">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ht="18" x14ac:dyDescent="0.5">
      <c r="A2233" t="s">
        <v>2334</v>
      </c>
      <c r="B2233" t="s">
        <v>123</v>
      </c>
      <c r="C2233">
        <v>3</v>
      </c>
      <c r="D2233">
        <v>75.400000000000006</v>
      </c>
      <c r="E2233">
        <v>226.20000000000002</v>
      </c>
      <c r="F2233" s="2">
        <v>45739</v>
      </c>
      <c r="G2233" s="2">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ht="18" x14ac:dyDescent="0.5">
      <c r="A2234" t="s">
        <v>2335</v>
      </c>
      <c r="B2234" t="s">
        <v>42</v>
      </c>
      <c r="C2234">
        <v>1</v>
      </c>
      <c r="D2234">
        <v>104.4</v>
      </c>
      <c r="E2234">
        <v>104.4</v>
      </c>
      <c r="F2234" s="2">
        <v>45739</v>
      </c>
      <c r="G2234" s="2">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ht="18" x14ac:dyDescent="0.5">
      <c r="A2235" t="s">
        <v>2336</v>
      </c>
      <c r="B2235" t="s">
        <v>26</v>
      </c>
      <c r="C2235">
        <v>10</v>
      </c>
      <c r="D2235">
        <v>208.2</v>
      </c>
      <c r="E2235">
        <v>2082</v>
      </c>
      <c r="F2235" s="2">
        <v>45739</v>
      </c>
      <c r="G2235" s="2">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ht="18" x14ac:dyDescent="0.5">
      <c r="A2236" t="s">
        <v>2337</v>
      </c>
      <c r="B2236" t="s">
        <v>39</v>
      </c>
      <c r="C2236">
        <v>2</v>
      </c>
      <c r="D2236">
        <v>45</v>
      </c>
      <c r="E2236">
        <v>90</v>
      </c>
      <c r="F2236" s="2">
        <v>45739</v>
      </c>
      <c r="G2236" s="2">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ht="18" x14ac:dyDescent="0.5">
      <c r="A2237" t="s">
        <v>2338</v>
      </c>
      <c r="B2237" t="s">
        <v>123</v>
      </c>
      <c r="C2237">
        <v>2</v>
      </c>
      <c r="D2237">
        <v>20.3</v>
      </c>
      <c r="E2237">
        <v>40.6</v>
      </c>
      <c r="F2237" s="2">
        <v>45740</v>
      </c>
      <c r="G2237" s="2">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ht="18" x14ac:dyDescent="0.5">
      <c r="A2238" t="s">
        <v>2339</v>
      </c>
      <c r="B2238" t="s">
        <v>26</v>
      </c>
      <c r="C2238">
        <v>3</v>
      </c>
      <c r="D2238">
        <v>94.4</v>
      </c>
      <c r="E2238">
        <v>283.20000000000005</v>
      </c>
      <c r="F2238" s="2">
        <v>45740</v>
      </c>
      <c r="G2238" s="2">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ht="18" x14ac:dyDescent="0.5">
      <c r="A2239" t="s">
        <v>2340</v>
      </c>
      <c r="B2239" t="s">
        <v>46</v>
      </c>
      <c r="C2239">
        <v>1</v>
      </c>
      <c r="D2239">
        <v>49</v>
      </c>
      <c r="E2239">
        <v>49</v>
      </c>
      <c r="F2239" s="2">
        <v>45740</v>
      </c>
      <c r="G2239" s="2">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ht="18" x14ac:dyDescent="0.5">
      <c r="A2240" t="s">
        <v>2341</v>
      </c>
      <c r="B2240" t="s">
        <v>32</v>
      </c>
      <c r="C2240">
        <v>2</v>
      </c>
      <c r="D2240">
        <v>27.2</v>
      </c>
      <c r="E2240">
        <v>54.4</v>
      </c>
      <c r="F2240" s="2">
        <v>45740</v>
      </c>
      <c r="G2240" s="2">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ht="18" x14ac:dyDescent="0.5">
      <c r="A2241" t="s">
        <v>2342</v>
      </c>
      <c r="B2241" t="s">
        <v>26</v>
      </c>
      <c r="C2241">
        <v>6</v>
      </c>
      <c r="D2241">
        <v>72.599999999999994</v>
      </c>
      <c r="E2241">
        <v>435.59999999999997</v>
      </c>
      <c r="F2241" s="2">
        <v>45740</v>
      </c>
      <c r="G2241" s="2">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ht="18" x14ac:dyDescent="0.5">
      <c r="A2242" t="s">
        <v>2343</v>
      </c>
      <c r="B2242" t="s">
        <v>123</v>
      </c>
      <c r="C2242">
        <v>4</v>
      </c>
      <c r="D2242">
        <v>62.4</v>
      </c>
      <c r="E2242">
        <v>249.6</v>
      </c>
      <c r="F2242" s="2">
        <v>45740</v>
      </c>
      <c r="G2242" s="2">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ht="18" x14ac:dyDescent="0.5">
      <c r="A2243" t="s">
        <v>2344</v>
      </c>
      <c r="B2243" t="s">
        <v>44</v>
      </c>
      <c r="C2243">
        <v>3</v>
      </c>
      <c r="D2243">
        <v>19.100000000000001</v>
      </c>
      <c r="E2243">
        <v>57.300000000000004</v>
      </c>
      <c r="F2243" s="2">
        <v>45740</v>
      </c>
      <c r="G2243" s="2">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ht="18" x14ac:dyDescent="0.5">
      <c r="A2244" t="s">
        <v>2345</v>
      </c>
      <c r="B2244" t="s">
        <v>54</v>
      </c>
      <c r="C2244">
        <v>1</v>
      </c>
      <c r="D2244">
        <v>29.6</v>
      </c>
      <c r="E2244">
        <v>29.6</v>
      </c>
      <c r="F2244" s="2">
        <v>45740</v>
      </c>
      <c r="G2244" s="2">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ht="18" x14ac:dyDescent="0.5">
      <c r="A2245" t="s">
        <v>2346</v>
      </c>
      <c r="B2245" t="s">
        <v>44</v>
      </c>
      <c r="C2245">
        <v>2</v>
      </c>
      <c r="D2245">
        <v>18.899999999999999</v>
      </c>
      <c r="E2245">
        <v>37.799999999999997</v>
      </c>
      <c r="F2245" s="2">
        <v>45740</v>
      </c>
      <c r="G2245" s="2">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ht="18" x14ac:dyDescent="0.5">
      <c r="A2246" t="s">
        <v>2347</v>
      </c>
      <c r="B2246" t="s">
        <v>54</v>
      </c>
      <c r="C2246">
        <v>5</v>
      </c>
      <c r="D2246">
        <v>41.4</v>
      </c>
      <c r="E2246">
        <v>207</v>
      </c>
      <c r="F2246" s="2">
        <v>45740</v>
      </c>
      <c r="G2246" s="2">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ht="18" x14ac:dyDescent="0.5">
      <c r="A2247" t="s">
        <v>2348</v>
      </c>
      <c r="B2247" t="s">
        <v>26</v>
      </c>
      <c r="C2247">
        <v>1</v>
      </c>
      <c r="D2247">
        <v>118.4</v>
      </c>
      <c r="E2247">
        <v>118.4</v>
      </c>
      <c r="F2247" s="2">
        <v>45740</v>
      </c>
      <c r="G2247" s="2">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ht="18" x14ac:dyDescent="0.5">
      <c r="A2248" t="s">
        <v>2349</v>
      </c>
      <c r="B2248" t="s">
        <v>26</v>
      </c>
      <c r="C2248">
        <v>2</v>
      </c>
      <c r="D2248">
        <v>125.3</v>
      </c>
      <c r="E2248">
        <v>250.6</v>
      </c>
      <c r="F2248" s="2">
        <v>45740</v>
      </c>
      <c r="G2248" s="2">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ht="18" x14ac:dyDescent="0.5">
      <c r="A2249" t="s">
        <v>2350</v>
      </c>
      <c r="B2249" t="s">
        <v>30</v>
      </c>
      <c r="C2249">
        <v>2</v>
      </c>
      <c r="D2249">
        <v>85.8</v>
      </c>
      <c r="E2249">
        <v>171.6</v>
      </c>
      <c r="F2249" s="2">
        <v>45740</v>
      </c>
      <c r="G2249" s="2">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ht="18" x14ac:dyDescent="0.5">
      <c r="A2250" t="s">
        <v>2351</v>
      </c>
      <c r="B2250" t="s">
        <v>39</v>
      </c>
      <c r="C2250">
        <v>1</v>
      </c>
      <c r="D2250">
        <v>44.2</v>
      </c>
      <c r="E2250">
        <v>44.2</v>
      </c>
      <c r="F2250" s="2">
        <v>45740</v>
      </c>
      <c r="G2250" s="2">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ht="18" x14ac:dyDescent="0.5">
      <c r="A2251" t="s">
        <v>2352</v>
      </c>
      <c r="B2251" t="s">
        <v>37</v>
      </c>
      <c r="C2251">
        <v>4</v>
      </c>
      <c r="D2251">
        <v>74.099999999999994</v>
      </c>
      <c r="E2251">
        <v>296.39999999999998</v>
      </c>
      <c r="F2251" s="2">
        <v>45740</v>
      </c>
      <c r="G2251" s="2">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ht="18" x14ac:dyDescent="0.5">
      <c r="A2252" t="s">
        <v>2353</v>
      </c>
      <c r="B2252" t="s">
        <v>44</v>
      </c>
      <c r="C2252">
        <v>1</v>
      </c>
      <c r="D2252">
        <v>33.799999999999997</v>
      </c>
      <c r="E2252">
        <v>33.799999999999997</v>
      </c>
      <c r="F2252" s="2">
        <v>45740</v>
      </c>
      <c r="G2252" s="2">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ht="18" x14ac:dyDescent="0.5">
      <c r="A2253" t="s">
        <v>2354</v>
      </c>
      <c r="B2253" t="s">
        <v>22</v>
      </c>
      <c r="C2253">
        <v>2</v>
      </c>
      <c r="D2253">
        <v>39.1</v>
      </c>
      <c r="E2253">
        <v>78.2</v>
      </c>
      <c r="F2253" s="2">
        <v>45740</v>
      </c>
      <c r="G2253" s="2">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ht="18" x14ac:dyDescent="0.5">
      <c r="A2254" t="s">
        <v>2355</v>
      </c>
      <c r="B2254" t="s">
        <v>16</v>
      </c>
      <c r="C2254">
        <v>1</v>
      </c>
      <c r="D2254">
        <v>37.200000000000003</v>
      </c>
      <c r="E2254">
        <v>37.200000000000003</v>
      </c>
      <c r="F2254" s="2">
        <v>45740</v>
      </c>
      <c r="G2254" s="2">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ht="18" x14ac:dyDescent="0.5">
      <c r="A2255" t="s">
        <v>2356</v>
      </c>
      <c r="B2255" t="s">
        <v>123</v>
      </c>
      <c r="C2255">
        <v>3</v>
      </c>
      <c r="D2255">
        <v>33.9</v>
      </c>
      <c r="E2255">
        <v>101.69999999999999</v>
      </c>
      <c r="F2255" s="2">
        <v>45740</v>
      </c>
      <c r="G2255" s="2">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ht="18" x14ac:dyDescent="0.5">
      <c r="A2256" t="s">
        <v>2357</v>
      </c>
      <c r="B2256" t="s">
        <v>42</v>
      </c>
      <c r="C2256">
        <v>15</v>
      </c>
      <c r="D2256">
        <v>73.3</v>
      </c>
      <c r="E2256">
        <v>1099.5</v>
      </c>
      <c r="F2256" s="2">
        <v>45740</v>
      </c>
      <c r="G2256" s="2">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ht="18" x14ac:dyDescent="0.5">
      <c r="A2257" t="s">
        <v>2358</v>
      </c>
      <c r="B2257" t="s">
        <v>44</v>
      </c>
      <c r="C2257">
        <v>4</v>
      </c>
      <c r="D2257">
        <v>35</v>
      </c>
      <c r="E2257">
        <v>140</v>
      </c>
      <c r="F2257" s="2">
        <v>45740</v>
      </c>
      <c r="G2257" s="2">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ht="18" x14ac:dyDescent="0.5">
      <c r="A2258" t="s">
        <v>2359</v>
      </c>
      <c r="B2258" t="s">
        <v>16</v>
      </c>
      <c r="C2258">
        <v>3</v>
      </c>
      <c r="D2258">
        <v>22.2</v>
      </c>
      <c r="E2258">
        <v>66.599999999999994</v>
      </c>
      <c r="F2258" s="2">
        <v>45740</v>
      </c>
      <c r="G2258" s="2">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ht="18" x14ac:dyDescent="0.5">
      <c r="A2259" t="s">
        <v>2360</v>
      </c>
      <c r="B2259" t="s">
        <v>54</v>
      </c>
      <c r="C2259">
        <v>1</v>
      </c>
      <c r="D2259">
        <v>32.4</v>
      </c>
      <c r="E2259">
        <v>32.4</v>
      </c>
      <c r="F2259" s="2">
        <v>45740</v>
      </c>
      <c r="G2259" s="2">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ht="18" x14ac:dyDescent="0.5">
      <c r="A2260" t="s">
        <v>2361</v>
      </c>
      <c r="B2260" t="s">
        <v>37</v>
      </c>
      <c r="C2260">
        <v>3</v>
      </c>
      <c r="D2260">
        <v>88.4</v>
      </c>
      <c r="E2260">
        <v>265.20000000000005</v>
      </c>
      <c r="F2260" s="2">
        <v>45741</v>
      </c>
      <c r="G2260" s="2">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ht="18" x14ac:dyDescent="0.5">
      <c r="A2261" t="s">
        <v>2362</v>
      </c>
      <c r="B2261" t="s">
        <v>37</v>
      </c>
      <c r="C2261">
        <v>16</v>
      </c>
      <c r="D2261">
        <v>30.5</v>
      </c>
      <c r="E2261">
        <v>488</v>
      </c>
      <c r="F2261" s="2">
        <v>45741</v>
      </c>
      <c r="G2261" s="2">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ht="18" x14ac:dyDescent="0.5">
      <c r="A2262" t="s">
        <v>2363</v>
      </c>
      <c r="B2262" t="s">
        <v>22</v>
      </c>
      <c r="C2262">
        <v>6</v>
      </c>
      <c r="D2262">
        <v>38.1</v>
      </c>
      <c r="E2262">
        <v>228.60000000000002</v>
      </c>
      <c r="F2262" s="2">
        <v>45741</v>
      </c>
      <c r="G2262" s="2">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ht="18" x14ac:dyDescent="0.5">
      <c r="A2263" t="s">
        <v>2364</v>
      </c>
      <c r="B2263" t="s">
        <v>54</v>
      </c>
      <c r="C2263">
        <v>5</v>
      </c>
      <c r="D2263">
        <v>37.6</v>
      </c>
      <c r="E2263">
        <v>188</v>
      </c>
      <c r="F2263" s="2">
        <v>45741</v>
      </c>
      <c r="G2263" s="2">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ht="18" x14ac:dyDescent="0.5">
      <c r="A2264" t="s">
        <v>2365</v>
      </c>
      <c r="B2264" t="s">
        <v>123</v>
      </c>
      <c r="C2264">
        <v>2</v>
      </c>
      <c r="D2264">
        <v>31.4</v>
      </c>
      <c r="E2264">
        <v>62.8</v>
      </c>
      <c r="F2264" s="2">
        <v>45741</v>
      </c>
      <c r="G2264" s="2">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ht="18" x14ac:dyDescent="0.5">
      <c r="A2265" t="s">
        <v>2366</v>
      </c>
      <c r="B2265" t="s">
        <v>39</v>
      </c>
      <c r="C2265">
        <v>2</v>
      </c>
      <c r="D2265">
        <v>61.5</v>
      </c>
      <c r="E2265">
        <v>123</v>
      </c>
      <c r="F2265" s="2">
        <v>45741</v>
      </c>
      <c r="G2265" s="2">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ht="18" x14ac:dyDescent="0.5">
      <c r="A2266" t="s">
        <v>2367</v>
      </c>
      <c r="B2266" t="s">
        <v>39</v>
      </c>
      <c r="C2266">
        <v>1</v>
      </c>
      <c r="D2266">
        <v>72.599999999999994</v>
      </c>
      <c r="E2266">
        <v>72.599999999999994</v>
      </c>
      <c r="F2266" s="2">
        <v>45741</v>
      </c>
      <c r="G2266" s="2">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ht="18" x14ac:dyDescent="0.5">
      <c r="A2267" t="s">
        <v>2368</v>
      </c>
      <c r="B2267" t="s">
        <v>46</v>
      </c>
      <c r="C2267">
        <v>3</v>
      </c>
      <c r="D2267">
        <v>26.9</v>
      </c>
      <c r="E2267">
        <v>80.699999999999989</v>
      </c>
      <c r="F2267" s="2">
        <v>45741</v>
      </c>
      <c r="G2267" s="2">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ht="18" x14ac:dyDescent="0.5">
      <c r="A2268" t="s">
        <v>2369</v>
      </c>
      <c r="B2268" t="s">
        <v>135</v>
      </c>
      <c r="C2268">
        <v>12</v>
      </c>
      <c r="D2268">
        <v>29.4</v>
      </c>
      <c r="E2268">
        <v>352.79999999999995</v>
      </c>
      <c r="F2268" s="2">
        <v>45741</v>
      </c>
      <c r="G2268" s="2">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ht="18" x14ac:dyDescent="0.5">
      <c r="A2269" t="s">
        <v>2370</v>
      </c>
      <c r="B2269" t="s">
        <v>135</v>
      </c>
      <c r="C2269">
        <v>2</v>
      </c>
      <c r="D2269">
        <v>42.1</v>
      </c>
      <c r="E2269">
        <v>84.2</v>
      </c>
      <c r="F2269" s="2">
        <v>45741</v>
      </c>
      <c r="G2269" s="2">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ht="18" x14ac:dyDescent="0.5">
      <c r="A2270" t="s">
        <v>2371</v>
      </c>
      <c r="B2270" t="s">
        <v>37</v>
      </c>
      <c r="C2270">
        <v>1</v>
      </c>
      <c r="D2270">
        <v>40.5</v>
      </c>
      <c r="E2270">
        <v>40.5</v>
      </c>
      <c r="F2270" s="2">
        <v>45741</v>
      </c>
      <c r="G2270" s="2">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ht="18" x14ac:dyDescent="0.5">
      <c r="A2271" t="s">
        <v>2372</v>
      </c>
      <c r="B2271" t="s">
        <v>26</v>
      </c>
      <c r="C2271">
        <v>4</v>
      </c>
      <c r="D2271">
        <v>182.3</v>
      </c>
      <c r="E2271">
        <v>729.2</v>
      </c>
      <c r="F2271" s="2">
        <v>45741</v>
      </c>
      <c r="G2271" s="2">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ht="18" x14ac:dyDescent="0.5">
      <c r="A2272" t="s">
        <v>2373</v>
      </c>
      <c r="B2272" t="s">
        <v>26</v>
      </c>
      <c r="C2272">
        <v>5</v>
      </c>
      <c r="D2272">
        <v>157</v>
      </c>
      <c r="E2272">
        <v>785</v>
      </c>
      <c r="F2272" s="2">
        <v>45741</v>
      </c>
      <c r="G2272" s="2">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ht="18" x14ac:dyDescent="0.5">
      <c r="A2273" t="s">
        <v>2374</v>
      </c>
      <c r="B2273" t="s">
        <v>135</v>
      </c>
      <c r="C2273">
        <v>5</v>
      </c>
      <c r="D2273">
        <v>45.2</v>
      </c>
      <c r="E2273">
        <v>226</v>
      </c>
      <c r="F2273" s="2">
        <v>45741</v>
      </c>
      <c r="G2273" s="2">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ht="18" x14ac:dyDescent="0.5">
      <c r="A2274" t="s">
        <v>2375</v>
      </c>
      <c r="B2274" t="s">
        <v>123</v>
      </c>
      <c r="C2274">
        <v>4</v>
      </c>
      <c r="D2274">
        <v>27.4</v>
      </c>
      <c r="E2274">
        <v>109.6</v>
      </c>
      <c r="F2274" s="2">
        <v>45741</v>
      </c>
      <c r="G2274" s="2">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ht="18" x14ac:dyDescent="0.5">
      <c r="A2275" t="s">
        <v>2376</v>
      </c>
      <c r="B2275" t="s">
        <v>37</v>
      </c>
      <c r="C2275">
        <v>5</v>
      </c>
      <c r="D2275">
        <v>34.1</v>
      </c>
      <c r="E2275">
        <v>170.5</v>
      </c>
      <c r="F2275" s="2">
        <v>45741</v>
      </c>
      <c r="G2275" s="2">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ht="18" x14ac:dyDescent="0.5">
      <c r="A2276" t="s">
        <v>2377</v>
      </c>
      <c r="B2276" t="s">
        <v>16</v>
      </c>
      <c r="C2276">
        <v>2</v>
      </c>
      <c r="D2276">
        <v>26</v>
      </c>
      <c r="E2276">
        <v>52</v>
      </c>
      <c r="F2276" s="2">
        <v>45741</v>
      </c>
      <c r="G2276" s="2">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ht="18" x14ac:dyDescent="0.5">
      <c r="A2277" t="s">
        <v>2378</v>
      </c>
      <c r="B2277" t="s">
        <v>44</v>
      </c>
      <c r="C2277">
        <v>7</v>
      </c>
      <c r="D2277">
        <v>19.399999999999999</v>
      </c>
      <c r="E2277">
        <v>135.79999999999998</v>
      </c>
      <c r="F2277" s="2">
        <v>45741</v>
      </c>
      <c r="G2277" s="2">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ht="18" x14ac:dyDescent="0.5">
      <c r="A2278" t="s">
        <v>2379</v>
      </c>
      <c r="B2278" t="s">
        <v>128</v>
      </c>
      <c r="C2278">
        <v>3</v>
      </c>
      <c r="D2278">
        <v>30.3</v>
      </c>
      <c r="E2278">
        <v>90.9</v>
      </c>
      <c r="F2278" s="2">
        <v>45741</v>
      </c>
      <c r="G2278" s="2">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ht="18" x14ac:dyDescent="0.5">
      <c r="A2279" t="s">
        <v>2380</v>
      </c>
      <c r="B2279" t="s">
        <v>26</v>
      </c>
      <c r="C2279">
        <v>3</v>
      </c>
      <c r="D2279">
        <v>101.4</v>
      </c>
      <c r="E2279">
        <v>304.20000000000005</v>
      </c>
      <c r="F2279" s="2">
        <v>45741</v>
      </c>
      <c r="G2279" s="2">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ht="18" x14ac:dyDescent="0.5">
      <c r="A2280" t="s">
        <v>2381</v>
      </c>
      <c r="B2280" t="s">
        <v>30</v>
      </c>
      <c r="C2280">
        <v>5</v>
      </c>
      <c r="D2280">
        <v>55.5</v>
      </c>
      <c r="E2280">
        <v>277.5</v>
      </c>
      <c r="F2280" s="2">
        <v>45741</v>
      </c>
      <c r="G2280" s="2">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ht="18" x14ac:dyDescent="0.5">
      <c r="A2281" t="s">
        <v>2382</v>
      </c>
      <c r="B2281" t="s">
        <v>44</v>
      </c>
      <c r="C2281">
        <v>1</v>
      </c>
      <c r="D2281">
        <v>23.1</v>
      </c>
      <c r="E2281">
        <v>23.1</v>
      </c>
      <c r="F2281" s="2">
        <v>45741</v>
      </c>
      <c r="G2281" s="2">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ht="18" x14ac:dyDescent="0.5">
      <c r="A2282" t="s">
        <v>2383</v>
      </c>
      <c r="B2282" t="s">
        <v>146</v>
      </c>
      <c r="C2282">
        <v>2</v>
      </c>
      <c r="D2282">
        <v>38.9</v>
      </c>
      <c r="E2282">
        <v>77.8</v>
      </c>
      <c r="F2282" s="2">
        <v>45741</v>
      </c>
      <c r="G2282" s="2">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ht="18" x14ac:dyDescent="0.5">
      <c r="A2283" t="s">
        <v>2384</v>
      </c>
      <c r="B2283" t="s">
        <v>39</v>
      </c>
      <c r="C2283">
        <v>9</v>
      </c>
      <c r="D2283">
        <v>116.3</v>
      </c>
      <c r="E2283">
        <v>1046.7</v>
      </c>
      <c r="F2283" s="2">
        <v>45741</v>
      </c>
      <c r="G2283" s="2">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ht="18" x14ac:dyDescent="0.5">
      <c r="A2284" t="s">
        <v>2385</v>
      </c>
      <c r="B2284" t="s">
        <v>128</v>
      </c>
      <c r="C2284">
        <v>9</v>
      </c>
      <c r="D2284">
        <v>64.099999999999994</v>
      </c>
      <c r="E2284">
        <v>576.9</v>
      </c>
      <c r="F2284" s="2">
        <v>45741</v>
      </c>
      <c r="G2284" s="2">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ht="18" x14ac:dyDescent="0.5">
      <c r="A2285" t="s">
        <v>2386</v>
      </c>
      <c r="B2285" t="s">
        <v>26</v>
      </c>
      <c r="C2285">
        <v>6</v>
      </c>
      <c r="D2285">
        <v>109.2</v>
      </c>
      <c r="E2285">
        <v>655.20000000000005</v>
      </c>
      <c r="F2285" s="2">
        <v>45741</v>
      </c>
      <c r="G2285" s="2">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ht="18" x14ac:dyDescent="0.5">
      <c r="A2286" t="s">
        <v>2387</v>
      </c>
      <c r="B2286" t="s">
        <v>54</v>
      </c>
      <c r="C2286">
        <v>5</v>
      </c>
      <c r="D2286">
        <v>23.2</v>
      </c>
      <c r="E2286">
        <v>116</v>
      </c>
      <c r="F2286" s="2">
        <v>45742</v>
      </c>
      <c r="G2286" s="2">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ht="18" x14ac:dyDescent="0.5">
      <c r="A2287" t="s">
        <v>2388</v>
      </c>
      <c r="B2287" t="s">
        <v>146</v>
      </c>
      <c r="C2287">
        <v>6</v>
      </c>
      <c r="D2287">
        <v>81.2</v>
      </c>
      <c r="E2287">
        <v>487.20000000000005</v>
      </c>
      <c r="F2287" s="2">
        <v>45742</v>
      </c>
      <c r="G2287" s="2">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ht="18" x14ac:dyDescent="0.5">
      <c r="A2288" t="s">
        <v>2389</v>
      </c>
      <c r="B2288" t="s">
        <v>22</v>
      </c>
      <c r="C2288">
        <v>14</v>
      </c>
      <c r="D2288">
        <v>35.700000000000003</v>
      </c>
      <c r="E2288">
        <v>499.80000000000007</v>
      </c>
      <c r="F2288" s="2">
        <v>45742</v>
      </c>
      <c r="G2288" s="2">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ht="18" x14ac:dyDescent="0.5">
      <c r="A2289" t="s">
        <v>2390</v>
      </c>
      <c r="B2289" t="s">
        <v>42</v>
      </c>
      <c r="C2289">
        <v>2</v>
      </c>
      <c r="D2289">
        <v>44.5</v>
      </c>
      <c r="E2289">
        <v>89</v>
      </c>
      <c r="F2289" s="2">
        <v>45742</v>
      </c>
      <c r="G2289" s="2">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ht="18" x14ac:dyDescent="0.5">
      <c r="A2290" t="s">
        <v>2391</v>
      </c>
      <c r="B2290" t="s">
        <v>22</v>
      </c>
      <c r="C2290">
        <v>5</v>
      </c>
      <c r="D2290">
        <v>32</v>
      </c>
      <c r="E2290">
        <v>160</v>
      </c>
      <c r="F2290" s="2">
        <v>45742</v>
      </c>
      <c r="G2290" s="2">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ht="18" x14ac:dyDescent="0.5">
      <c r="A2291" t="s">
        <v>2392</v>
      </c>
      <c r="B2291" t="s">
        <v>44</v>
      </c>
      <c r="C2291">
        <v>1</v>
      </c>
      <c r="D2291">
        <v>25.7</v>
      </c>
      <c r="E2291">
        <v>25.7</v>
      </c>
      <c r="F2291" s="2">
        <v>45742</v>
      </c>
      <c r="G2291" s="2">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ht="18" x14ac:dyDescent="0.5">
      <c r="A2292" t="s">
        <v>2393</v>
      </c>
      <c r="B2292" t="s">
        <v>128</v>
      </c>
      <c r="C2292">
        <v>3</v>
      </c>
      <c r="D2292">
        <v>65.599999999999994</v>
      </c>
      <c r="E2292">
        <v>196.79999999999998</v>
      </c>
      <c r="F2292" s="2">
        <v>45742</v>
      </c>
      <c r="G2292" s="2">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ht="18" x14ac:dyDescent="0.5">
      <c r="A2293" t="s">
        <v>2394</v>
      </c>
      <c r="B2293" t="s">
        <v>22</v>
      </c>
      <c r="C2293">
        <v>4</v>
      </c>
      <c r="D2293">
        <v>52.1</v>
      </c>
      <c r="E2293">
        <v>208.4</v>
      </c>
      <c r="F2293" s="2">
        <v>45742</v>
      </c>
      <c r="G2293" s="2">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ht="18" x14ac:dyDescent="0.5">
      <c r="A2294" t="s">
        <v>2395</v>
      </c>
      <c r="B2294" t="s">
        <v>44</v>
      </c>
      <c r="C2294">
        <v>1</v>
      </c>
      <c r="D2294">
        <v>31</v>
      </c>
      <c r="E2294">
        <v>31</v>
      </c>
      <c r="F2294" s="2">
        <v>45742</v>
      </c>
      <c r="G2294" s="2">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ht="18" x14ac:dyDescent="0.5">
      <c r="A2295" t="s">
        <v>2396</v>
      </c>
      <c r="B2295" t="s">
        <v>44</v>
      </c>
      <c r="C2295">
        <v>1</v>
      </c>
      <c r="D2295">
        <v>32</v>
      </c>
      <c r="E2295">
        <v>32</v>
      </c>
      <c r="F2295" s="2">
        <v>45742</v>
      </c>
      <c r="G2295" s="2">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ht="18" x14ac:dyDescent="0.5">
      <c r="A2296" t="s">
        <v>2397</v>
      </c>
      <c r="B2296" t="s">
        <v>128</v>
      </c>
      <c r="C2296">
        <v>4</v>
      </c>
      <c r="D2296">
        <v>58.3</v>
      </c>
      <c r="E2296">
        <v>233.2</v>
      </c>
      <c r="F2296" s="2">
        <v>45742</v>
      </c>
      <c r="G2296" s="2">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ht="18" x14ac:dyDescent="0.5">
      <c r="A2297" t="s">
        <v>2398</v>
      </c>
      <c r="B2297" t="s">
        <v>44</v>
      </c>
      <c r="C2297">
        <v>3</v>
      </c>
      <c r="D2297">
        <v>31</v>
      </c>
      <c r="E2297">
        <v>93</v>
      </c>
      <c r="F2297" s="2">
        <v>45742</v>
      </c>
      <c r="G2297" s="2">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ht="18" x14ac:dyDescent="0.5">
      <c r="A2298" t="s">
        <v>2399</v>
      </c>
      <c r="B2298" t="s">
        <v>30</v>
      </c>
      <c r="C2298">
        <v>1</v>
      </c>
      <c r="D2298">
        <v>40.299999999999997</v>
      </c>
      <c r="E2298">
        <v>40.299999999999997</v>
      </c>
      <c r="F2298" s="2">
        <v>45742</v>
      </c>
      <c r="G2298" s="2">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ht="18" x14ac:dyDescent="0.5">
      <c r="A2299" t="s">
        <v>2400</v>
      </c>
      <c r="B2299" t="s">
        <v>39</v>
      </c>
      <c r="C2299">
        <v>3</v>
      </c>
      <c r="D2299">
        <v>47.3</v>
      </c>
      <c r="E2299">
        <v>141.89999999999998</v>
      </c>
      <c r="F2299" s="2">
        <v>45742</v>
      </c>
      <c r="G2299" s="2">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ht="18" x14ac:dyDescent="0.5">
      <c r="A2300" t="s">
        <v>2401</v>
      </c>
      <c r="B2300" t="s">
        <v>26</v>
      </c>
      <c r="C2300">
        <v>1</v>
      </c>
      <c r="D2300">
        <v>82.8</v>
      </c>
      <c r="E2300">
        <v>82.8</v>
      </c>
      <c r="F2300" s="2">
        <v>45742</v>
      </c>
      <c r="G2300" s="2">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ht="18" x14ac:dyDescent="0.5">
      <c r="A2301" t="s">
        <v>2402</v>
      </c>
      <c r="B2301" t="s">
        <v>44</v>
      </c>
      <c r="C2301">
        <v>1</v>
      </c>
      <c r="D2301">
        <v>18.5</v>
      </c>
      <c r="E2301">
        <v>18.5</v>
      </c>
      <c r="F2301" s="2">
        <v>45742</v>
      </c>
      <c r="G2301" s="2">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ht="18" x14ac:dyDescent="0.5">
      <c r="A2302" t="s">
        <v>2403</v>
      </c>
      <c r="B2302" t="s">
        <v>30</v>
      </c>
      <c r="C2302">
        <v>2</v>
      </c>
      <c r="D2302">
        <v>60.4</v>
      </c>
      <c r="E2302">
        <v>120.8</v>
      </c>
      <c r="F2302" s="2">
        <v>45742</v>
      </c>
      <c r="G2302" s="2">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ht="18" x14ac:dyDescent="0.5">
      <c r="A2303" t="s">
        <v>2404</v>
      </c>
      <c r="B2303" t="s">
        <v>39</v>
      </c>
      <c r="C2303">
        <v>5</v>
      </c>
      <c r="D2303">
        <v>80.2</v>
      </c>
      <c r="E2303">
        <v>401</v>
      </c>
      <c r="F2303" s="2">
        <v>45742</v>
      </c>
      <c r="G2303" s="2">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ht="18" x14ac:dyDescent="0.5">
      <c r="A2304" t="s">
        <v>2405</v>
      </c>
      <c r="B2304" t="s">
        <v>32</v>
      </c>
      <c r="C2304">
        <v>1</v>
      </c>
      <c r="D2304">
        <v>41.5</v>
      </c>
      <c r="E2304">
        <v>41.5</v>
      </c>
      <c r="F2304" s="2">
        <v>45742</v>
      </c>
      <c r="G2304" s="2">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ht="18" x14ac:dyDescent="0.5">
      <c r="A2305" t="s">
        <v>2406</v>
      </c>
      <c r="B2305" t="s">
        <v>26</v>
      </c>
      <c r="C2305">
        <v>2</v>
      </c>
      <c r="D2305">
        <v>83.9</v>
      </c>
      <c r="E2305">
        <v>167.8</v>
      </c>
      <c r="F2305" s="2">
        <v>45742</v>
      </c>
      <c r="G2305" s="2">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ht="18" x14ac:dyDescent="0.5">
      <c r="A2306" t="s">
        <v>2407</v>
      </c>
      <c r="B2306" t="s">
        <v>44</v>
      </c>
      <c r="C2306">
        <v>2</v>
      </c>
      <c r="D2306">
        <v>16.7</v>
      </c>
      <c r="E2306">
        <v>33.4</v>
      </c>
      <c r="F2306" s="2">
        <v>45742</v>
      </c>
      <c r="G2306" s="2">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ht="18" x14ac:dyDescent="0.5">
      <c r="A2307" t="s">
        <v>2408</v>
      </c>
      <c r="B2307" t="s">
        <v>46</v>
      </c>
      <c r="C2307">
        <v>2</v>
      </c>
      <c r="D2307">
        <v>72.900000000000006</v>
      </c>
      <c r="E2307">
        <v>145.80000000000001</v>
      </c>
      <c r="F2307" s="2">
        <v>45742</v>
      </c>
      <c r="G2307" s="2">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ht="18" x14ac:dyDescent="0.5">
      <c r="A2308" t="s">
        <v>2409</v>
      </c>
      <c r="B2308" t="s">
        <v>37</v>
      </c>
      <c r="C2308">
        <v>2</v>
      </c>
      <c r="D2308">
        <v>50.2</v>
      </c>
      <c r="E2308">
        <v>100.4</v>
      </c>
      <c r="F2308" s="2">
        <v>45742</v>
      </c>
      <c r="G2308" s="2">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ht="18" x14ac:dyDescent="0.5">
      <c r="A2309" t="s">
        <v>2410</v>
      </c>
      <c r="B2309" t="s">
        <v>30</v>
      </c>
      <c r="C2309">
        <v>2</v>
      </c>
      <c r="D2309">
        <v>34.200000000000003</v>
      </c>
      <c r="E2309">
        <v>68.400000000000006</v>
      </c>
      <c r="F2309" s="2">
        <v>45742</v>
      </c>
      <c r="G2309" s="2">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ht="18" x14ac:dyDescent="0.5">
      <c r="A2310" t="s">
        <v>2411</v>
      </c>
      <c r="B2310" t="s">
        <v>37</v>
      </c>
      <c r="C2310">
        <v>2</v>
      </c>
      <c r="D2310">
        <v>107.9</v>
      </c>
      <c r="E2310">
        <v>215.8</v>
      </c>
      <c r="F2310" s="2">
        <v>45742</v>
      </c>
      <c r="G2310" s="2">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ht="18" x14ac:dyDescent="0.5">
      <c r="A2311" t="s">
        <v>2412</v>
      </c>
      <c r="B2311" t="s">
        <v>16</v>
      </c>
      <c r="C2311">
        <v>3</v>
      </c>
      <c r="D2311">
        <v>17.5</v>
      </c>
      <c r="E2311">
        <v>52.5</v>
      </c>
      <c r="F2311" s="2">
        <v>45742</v>
      </c>
      <c r="G2311" s="2">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ht="18" x14ac:dyDescent="0.5">
      <c r="A2312" t="s">
        <v>2413</v>
      </c>
      <c r="B2312" t="s">
        <v>76</v>
      </c>
      <c r="C2312">
        <v>15</v>
      </c>
      <c r="D2312">
        <v>44.7</v>
      </c>
      <c r="E2312">
        <v>670.5</v>
      </c>
      <c r="F2312" s="2">
        <v>45742</v>
      </c>
      <c r="G2312" s="2">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ht="18" x14ac:dyDescent="0.5">
      <c r="A2313" t="s">
        <v>2414</v>
      </c>
      <c r="B2313" t="s">
        <v>69</v>
      </c>
      <c r="C2313">
        <v>6</v>
      </c>
      <c r="D2313">
        <v>92.7</v>
      </c>
      <c r="E2313">
        <v>556.20000000000005</v>
      </c>
      <c r="F2313" s="2">
        <v>45742</v>
      </c>
      <c r="G2313" s="2">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ht="18" x14ac:dyDescent="0.5">
      <c r="A2314" t="s">
        <v>2415</v>
      </c>
      <c r="B2314" t="s">
        <v>42</v>
      </c>
      <c r="C2314">
        <v>3</v>
      </c>
      <c r="D2314">
        <v>48.8</v>
      </c>
      <c r="E2314">
        <v>146.39999999999998</v>
      </c>
      <c r="F2314" s="2">
        <v>45742</v>
      </c>
      <c r="G2314" s="2">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ht="18" x14ac:dyDescent="0.5">
      <c r="A2315" t="s">
        <v>2416</v>
      </c>
      <c r="B2315" t="s">
        <v>32</v>
      </c>
      <c r="C2315">
        <v>16</v>
      </c>
      <c r="D2315">
        <v>21.3</v>
      </c>
      <c r="E2315">
        <v>340.8</v>
      </c>
      <c r="F2315" s="2">
        <v>45742</v>
      </c>
      <c r="G2315" s="2">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ht="18" x14ac:dyDescent="0.5">
      <c r="A2316" t="s">
        <v>2417</v>
      </c>
      <c r="B2316" t="s">
        <v>128</v>
      </c>
      <c r="C2316">
        <v>1</v>
      </c>
      <c r="D2316">
        <v>52.5</v>
      </c>
      <c r="E2316">
        <v>52.5</v>
      </c>
      <c r="F2316" s="2">
        <v>45742</v>
      </c>
      <c r="G2316" s="2">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ht="18" x14ac:dyDescent="0.5">
      <c r="A2317" t="s">
        <v>2418</v>
      </c>
      <c r="B2317" t="s">
        <v>22</v>
      </c>
      <c r="C2317">
        <v>2</v>
      </c>
      <c r="D2317">
        <v>92.4</v>
      </c>
      <c r="E2317">
        <v>184.8</v>
      </c>
      <c r="F2317" s="2">
        <v>45742</v>
      </c>
      <c r="G2317" s="2">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ht="18" x14ac:dyDescent="0.5">
      <c r="A2318" t="s">
        <v>2419</v>
      </c>
      <c r="B2318" t="s">
        <v>32</v>
      </c>
      <c r="C2318">
        <v>11</v>
      </c>
      <c r="D2318">
        <v>58.3</v>
      </c>
      <c r="E2318">
        <v>641.29999999999995</v>
      </c>
      <c r="F2318" s="2">
        <v>45742</v>
      </c>
      <c r="G2318" s="2">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ht="18" x14ac:dyDescent="0.5">
      <c r="A2319" t="s">
        <v>2420</v>
      </c>
      <c r="B2319" t="s">
        <v>39</v>
      </c>
      <c r="C2319">
        <v>23</v>
      </c>
      <c r="D2319">
        <v>152.6</v>
      </c>
      <c r="E2319">
        <v>3509.7999999999997</v>
      </c>
      <c r="F2319" s="2">
        <v>45743</v>
      </c>
      <c r="G2319" s="2">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ht="18" x14ac:dyDescent="0.5">
      <c r="A2320" t="s">
        <v>2421</v>
      </c>
      <c r="B2320" t="s">
        <v>44</v>
      </c>
      <c r="C2320">
        <v>2</v>
      </c>
      <c r="D2320">
        <v>26</v>
      </c>
      <c r="E2320">
        <v>52</v>
      </c>
      <c r="F2320" s="2">
        <v>45743</v>
      </c>
      <c r="G2320" s="2">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ht="18" x14ac:dyDescent="0.5">
      <c r="A2321" t="s">
        <v>2422</v>
      </c>
      <c r="B2321" t="s">
        <v>22</v>
      </c>
      <c r="C2321">
        <v>4</v>
      </c>
      <c r="D2321">
        <v>33.1</v>
      </c>
      <c r="E2321">
        <v>132.4</v>
      </c>
      <c r="F2321" s="2">
        <v>45743</v>
      </c>
      <c r="G2321" s="2">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ht="18" x14ac:dyDescent="0.5">
      <c r="A2322" t="s">
        <v>2423</v>
      </c>
      <c r="B2322" t="s">
        <v>146</v>
      </c>
      <c r="C2322">
        <v>1</v>
      </c>
      <c r="D2322">
        <v>51.4</v>
      </c>
      <c r="E2322">
        <v>51.4</v>
      </c>
      <c r="F2322" s="2">
        <v>45743</v>
      </c>
      <c r="G2322" s="2">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ht="18" x14ac:dyDescent="0.5">
      <c r="A2323" t="s">
        <v>2424</v>
      </c>
      <c r="B2323" t="s">
        <v>44</v>
      </c>
      <c r="C2323">
        <v>2</v>
      </c>
      <c r="D2323">
        <v>30.2</v>
      </c>
      <c r="E2323">
        <v>60.4</v>
      </c>
      <c r="F2323" s="2">
        <v>45743</v>
      </c>
      <c r="G2323" s="2">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ht="18" x14ac:dyDescent="0.5">
      <c r="A2324" t="s">
        <v>2425</v>
      </c>
      <c r="B2324" t="s">
        <v>26</v>
      </c>
      <c r="C2324">
        <v>6</v>
      </c>
      <c r="D2324">
        <v>97</v>
      </c>
      <c r="E2324">
        <v>582</v>
      </c>
      <c r="F2324" s="2">
        <v>45743</v>
      </c>
      <c r="G2324" s="2">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ht="18" x14ac:dyDescent="0.5">
      <c r="A2325" t="s">
        <v>2426</v>
      </c>
      <c r="B2325" t="s">
        <v>26</v>
      </c>
      <c r="C2325">
        <v>1</v>
      </c>
      <c r="D2325">
        <v>76.900000000000006</v>
      </c>
      <c r="E2325">
        <v>76.900000000000006</v>
      </c>
      <c r="F2325" s="2">
        <v>45743</v>
      </c>
      <c r="G2325" s="2">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ht="18" x14ac:dyDescent="0.5">
      <c r="A2326" t="s">
        <v>2427</v>
      </c>
      <c r="B2326" t="s">
        <v>42</v>
      </c>
      <c r="C2326">
        <v>6</v>
      </c>
      <c r="D2326">
        <v>36.1</v>
      </c>
      <c r="E2326">
        <v>216.60000000000002</v>
      </c>
      <c r="F2326" s="2">
        <v>45743</v>
      </c>
      <c r="G2326" s="2">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ht="18" x14ac:dyDescent="0.5">
      <c r="A2327" t="s">
        <v>2428</v>
      </c>
      <c r="B2327" t="s">
        <v>22</v>
      </c>
      <c r="C2327">
        <v>7</v>
      </c>
      <c r="D2327">
        <v>34.4</v>
      </c>
      <c r="E2327">
        <v>240.79999999999998</v>
      </c>
      <c r="F2327" s="2">
        <v>45743</v>
      </c>
      <c r="G2327" s="2">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ht="18" x14ac:dyDescent="0.5">
      <c r="A2328" t="s">
        <v>2429</v>
      </c>
      <c r="B2328" t="s">
        <v>22</v>
      </c>
      <c r="C2328">
        <v>28</v>
      </c>
      <c r="D2328">
        <v>53.4</v>
      </c>
      <c r="E2328">
        <v>1495.2</v>
      </c>
      <c r="F2328" s="2">
        <v>45743</v>
      </c>
      <c r="G2328" s="2">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ht="18" x14ac:dyDescent="0.5">
      <c r="A2329" t="s">
        <v>2430</v>
      </c>
      <c r="B2329" t="s">
        <v>26</v>
      </c>
      <c r="C2329">
        <v>1</v>
      </c>
      <c r="D2329">
        <v>77.599999999999994</v>
      </c>
      <c r="E2329">
        <v>77.599999999999994</v>
      </c>
      <c r="F2329" s="2">
        <v>45743</v>
      </c>
      <c r="G2329" s="2">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ht="18" x14ac:dyDescent="0.5">
      <c r="A2330" t="s">
        <v>2431</v>
      </c>
      <c r="B2330" t="s">
        <v>22</v>
      </c>
      <c r="C2330">
        <v>3</v>
      </c>
      <c r="D2330">
        <v>71.7</v>
      </c>
      <c r="E2330">
        <v>215.10000000000002</v>
      </c>
      <c r="F2330" s="2">
        <v>45743</v>
      </c>
      <c r="G2330" s="2">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ht="18" x14ac:dyDescent="0.5">
      <c r="A2331" t="s">
        <v>2432</v>
      </c>
      <c r="B2331" t="s">
        <v>30</v>
      </c>
      <c r="C2331">
        <v>3</v>
      </c>
      <c r="D2331">
        <v>80.599999999999994</v>
      </c>
      <c r="E2331">
        <v>241.79999999999998</v>
      </c>
      <c r="F2331" s="2">
        <v>45743</v>
      </c>
      <c r="G2331" s="2">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ht="18" x14ac:dyDescent="0.5">
      <c r="A2332" t="s">
        <v>2433</v>
      </c>
      <c r="B2332" t="s">
        <v>22</v>
      </c>
      <c r="C2332">
        <v>15</v>
      </c>
      <c r="D2332">
        <v>70</v>
      </c>
      <c r="E2332">
        <v>1050</v>
      </c>
      <c r="F2332" s="2">
        <v>45743</v>
      </c>
      <c r="G2332" s="2">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ht="18" x14ac:dyDescent="0.5">
      <c r="A2333" t="s">
        <v>2434</v>
      </c>
      <c r="B2333" t="s">
        <v>32</v>
      </c>
      <c r="C2333">
        <v>6</v>
      </c>
      <c r="D2333">
        <v>27.3</v>
      </c>
      <c r="E2333">
        <v>163.80000000000001</v>
      </c>
      <c r="F2333" s="2">
        <v>45743</v>
      </c>
      <c r="G2333" s="2">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ht="18" x14ac:dyDescent="0.5">
      <c r="A2334" t="s">
        <v>2435</v>
      </c>
      <c r="B2334" t="s">
        <v>44</v>
      </c>
      <c r="C2334">
        <v>14</v>
      </c>
      <c r="D2334">
        <v>37.6</v>
      </c>
      <c r="E2334">
        <v>526.4</v>
      </c>
      <c r="F2334" s="2">
        <v>45743</v>
      </c>
      <c r="G2334" s="2">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ht="18" x14ac:dyDescent="0.5">
      <c r="A2335" t="s">
        <v>2436</v>
      </c>
      <c r="B2335" t="s">
        <v>37</v>
      </c>
      <c r="C2335">
        <v>3</v>
      </c>
      <c r="D2335">
        <v>36.6</v>
      </c>
      <c r="E2335">
        <v>109.80000000000001</v>
      </c>
      <c r="F2335" s="2">
        <v>45743</v>
      </c>
      <c r="G2335" s="2">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ht="18" x14ac:dyDescent="0.5">
      <c r="A2336" t="s">
        <v>2437</v>
      </c>
      <c r="B2336" t="s">
        <v>76</v>
      </c>
      <c r="C2336">
        <v>1</v>
      </c>
      <c r="D2336">
        <v>55.2</v>
      </c>
      <c r="E2336">
        <v>55.2</v>
      </c>
      <c r="F2336" s="2">
        <v>45743</v>
      </c>
      <c r="G2336" s="2">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ht="18" x14ac:dyDescent="0.5">
      <c r="A2337" t="s">
        <v>2438</v>
      </c>
      <c r="B2337" t="s">
        <v>39</v>
      </c>
      <c r="C2337">
        <v>5</v>
      </c>
      <c r="D2337">
        <v>59.9</v>
      </c>
      <c r="E2337">
        <v>299.5</v>
      </c>
      <c r="F2337" s="2">
        <v>45743</v>
      </c>
      <c r="G2337" s="2">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ht="18" x14ac:dyDescent="0.5">
      <c r="A2338" t="s">
        <v>2439</v>
      </c>
      <c r="B2338" t="s">
        <v>39</v>
      </c>
      <c r="C2338">
        <v>1</v>
      </c>
      <c r="D2338">
        <v>44</v>
      </c>
      <c r="E2338">
        <v>44</v>
      </c>
      <c r="F2338" s="2">
        <v>45743</v>
      </c>
      <c r="G2338" s="2">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ht="18" x14ac:dyDescent="0.5">
      <c r="A2339" t="s">
        <v>2440</v>
      </c>
      <c r="B2339" t="s">
        <v>46</v>
      </c>
      <c r="C2339">
        <v>2</v>
      </c>
      <c r="D2339">
        <v>68.7</v>
      </c>
      <c r="E2339">
        <v>137.4</v>
      </c>
      <c r="F2339" s="2">
        <v>45743</v>
      </c>
      <c r="G2339" s="2">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ht="18" x14ac:dyDescent="0.5">
      <c r="A2340" t="s">
        <v>2441</v>
      </c>
      <c r="B2340" t="s">
        <v>37</v>
      </c>
      <c r="C2340">
        <v>2</v>
      </c>
      <c r="D2340">
        <v>61.6</v>
      </c>
      <c r="E2340">
        <v>123.2</v>
      </c>
      <c r="F2340" s="2">
        <v>45743</v>
      </c>
      <c r="G2340" s="2">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ht="18" x14ac:dyDescent="0.5">
      <c r="A2341" t="s">
        <v>2442</v>
      </c>
      <c r="B2341" t="s">
        <v>42</v>
      </c>
      <c r="C2341">
        <v>7</v>
      </c>
      <c r="D2341">
        <v>51.8</v>
      </c>
      <c r="E2341">
        <v>362.59999999999997</v>
      </c>
      <c r="F2341" s="2">
        <v>45743</v>
      </c>
      <c r="G2341" s="2">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ht="18" x14ac:dyDescent="0.5">
      <c r="A2342" t="s">
        <v>2443</v>
      </c>
      <c r="B2342" t="s">
        <v>44</v>
      </c>
      <c r="C2342">
        <v>10</v>
      </c>
      <c r="D2342">
        <v>46.2</v>
      </c>
      <c r="E2342">
        <v>462</v>
      </c>
      <c r="F2342" s="2">
        <v>45743</v>
      </c>
      <c r="G2342" s="2">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ht="18" x14ac:dyDescent="0.5">
      <c r="A2343" t="s">
        <v>2444</v>
      </c>
      <c r="B2343" t="s">
        <v>16</v>
      </c>
      <c r="C2343">
        <v>2</v>
      </c>
      <c r="D2343">
        <v>19.399999999999999</v>
      </c>
      <c r="E2343">
        <v>38.799999999999997</v>
      </c>
      <c r="F2343" s="2">
        <v>45743</v>
      </c>
      <c r="G2343" s="2">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ht="18" x14ac:dyDescent="0.5">
      <c r="A2344" t="s">
        <v>2445</v>
      </c>
      <c r="B2344" t="s">
        <v>67</v>
      </c>
      <c r="C2344">
        <v>3</v>
      </c>
      <c r="D2344">
        <v>52.1</v>
      </c>
      <c r="E2344">
        <v>156.30000000000001</v>
      </c>
      <c r="F2344" s="2">
        <v>45743</v>
      </c>
      <c r="G2344" s="2">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ht="18" x14ac:dyDescent="0.5">
      <c r="A2345" t="s">
        <v>2446</v>
      </c>
      <c r="B2345" t="s">
        <v>39</v>
      </c>
      <c r="C2345">
        <v>1</v>
      </c>
      <c r="D2345">
        <v>74.900000000000006</v>
      </c>
      <c r="E2345">
        <v>74.900000000000006</v>
      </c>
      <c r="F2345" s="2">
        <v>45743</v>
      </c>
      <c r="G2345" s="2">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ht="18" x14ac:dyDescent="0.5">
      <c r="A2346" t="s">
        <v>2447</v>
      </c>
      <c r="B2346" t="s">
        <v>46</v>
      </c>
      <c r="C2346">
        <v>7</v>
      </c>
      <c r="D2346">
        <v>49.6</v>
      </c>
      <c r="E2346">
        <v>347.2</v>
      </c>
      <c r="F2346" s="2">
        <v>45743</v>
      </c>
      <c r="G2346" s="2">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ht="18" x14ac:dyDescent="0.5">
      <c r="A2347" t="s">
        <v>2448</v>
      </c>
      <c r="B2347" t="s">
        <v>128</v>
      </c>
      <c r="C2347">
        <v>4</v>
      </c>
      <c r="D2347">
        <v>82.8</v>
      </c>
      <c r="E2347">
        <v>331.2</v>
      </c>
      <c r="F2347" s="2">
        <v>45744</v>
      </c>
      <c r="G2347" s="2">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ht="18" x14ac:dyDescent="0.5">
      <c r="A2348" t="s">
        <v>2449</v>
      </c>
      <c r="B2348" t="s">
        <v>26</v>
      </c>
      <c r="C2348">
        <v>1</v>
      </c>
      <c r="D2348">
        <v>97.7</v>
      </c>
      <c r="E2348">
        <v>97.7</v>
      </c>
      <c r="F2348" s="2">
        <v>45744</v>
      </c>
      <c r="G2348" s="2">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ht="18" x14ac:dyDescent="0.5">
      <c r="A2349" t="s">
        <v>2450</v>
      </c>
      <c r="B2349" t="s">
        <v>39</v>
      </c>
      <c r="C2349">
        <v>5</v>
      </c>
      <c r="D2349">
        <v>83.6</v>
      </c>
      <c r="E2349">
        <v>418</v>
      </c>
      <c r="F2349" s="2">
        <v>45744</v>
      </c>
      <c r="G2349" s="2">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ht="18" x14ac:dyDescent="0.5">
      <c r="A2350" t="s">
        <v>2451</v>
      </c>
      <c r="B2350" t="s">
        <v>44</v>
      </c>
      <c r="C2350">
        <v>5</v>
      </c>
      <c r="D2350">
        <v>23.5</v>
      </c>
      <c r="E2350">
        <v>117.5</v>
      </c>
      <c r="F2350" s="2">
        <v>45744</v>
      </c>
      <c r="G2350" s="2">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ht="18" x14ac:dyDescent="0.5">
      <c r="A2351" t="s">
        <v>2452</v>
      </c>
      <c r="B2351" t="s">
        <v>46</v>
      </c>
      <c r="C2351">
        <v>3</v>
      </c>
      <c r="D2351">
        <v>44.6</v>
      </c>
      <c r="E2351">
        <v>133.80000000000001</v>
      </c>
      <c r="F2351" s="2">
        <v>45744</v>
      </c>
      <c r="G2351" s="2">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ht="18" x14ac:dyDescent="0.5">
      <c r="A2352" t="s">
        <v>2453</v>
      </c>
      <c r="B2352" t="s">
        <v>16</v>
      </c>
      <c r="C2352">
        <v>3</v>
      </c>
      <c r="D2352">
        <v>20.100000000000001</v>
      </c>
      <c r="E2352">
        <v>60.300000000000004</v>
      </c>
      <c r="F2352" s="2">
        <v>45744</v>
      </c>
      <c r="G2352" s="2">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ht="18" x14ac:dyDescent="0.5">
      <c r="A2353" t="s">
        <v>2454</v>
      </c>
      <c r="B2353" t="s">
        <v>26</v>
      </c>
      <c r="C2353">
        <v>5</v>
      </c>
      <c r="D2353">
        <v>153.6</v>
      </c>
      <c r="E2353">
        <v>768</v>
      </c>
      <c r="F2353" s="2">
        <v>45744</v>
      </c>
      <c r="G2353" s="2">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ht="18" x14ac:dyDescent="0.5">
      <c r="A2354" t="s">
        <v>2455</v>
      </c>
      <c r="B2354" t="s">
        <v>22</v>
      </c>
      <c r="C2354">
        <v>2</v>
      </c>
      <c r="D2354">
        <v>71.8</v>
      </c>
      <c r="E2354">
        <v>143.6</v>
      </c>
      <c r="F2354" s="2">
        <v>45744</v>
      </c>
      <c r="G2354" s="2">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ht="18" x14ac:dyDescent="0.5">
      <c r="A2355" t="s">
        <v>2456</v>
      </c>
      <c r="B2355" t="s">
        <v>54</v>
      </c>
      <c r="C2355">
        <v>1</v>
      </c>
      <c r="D2355">
        <v>64.7</v>
      </c>
      <c r="E2355">
        <v>64.7</v>
      </c>
      <c r="F2355" s="2">
        <v>45744</v>
      </c>
      <c r="G2355" s="2">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ht="18" x14ac:dyDescent="0.5">
      <c r="A2356" t="s">
        <v>2457</v>
      </c>
      <c r="B2356" t="s">
        <v>46</v>
      </c>
      <c r="C2356">
        <v>8</v>
      </c>
      <c r="D2356">
        <v>60.4</v>
      </c>
      <c r="E2356">
        <v>483.2</v>
      </c>
      <c r="F2356" s="2">
        <v>45744</v>
      </c>
      <c r="G2356" s="2">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ht="18" x14ac:dyDescent="0.5">
      <c r="A2357" t="s">
        <v>2458</v>
      </c>
      <c r="B2357" t="s">
        <v>39</v>
      </c>
      <c r="C2357">
        <v>4</v>
      </c>
      <c r="D2357">
        <v>86</v>
      </c>
      <c r="E2357">
        <v>344</v>
      </c>
      <c r="F2357" s="2">
        <v>45744</v>
      </c>
      <c r="G2357" s="2">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ht="18" x14ac:dyDescent="0.5">
      <c r="A2358" t="s">
        <v>2459</v>
      </c>
      <c r="B2358" t="s">
        <v>69</v>
      </c>
      <c r="C2358">
        <v>2</v>
      </c>
      <c r="D2358">
        <v>42.1</v>
      </c>
      <c r="E2358">
        <v>84.2</v>
      </c>
      <c r="F2358" s="2">
        <v>45744</v>
      </c>
      <c r="G2358" s="2">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ht="18" x14ac:dyDescent="0.5">
      <c r="A2359" t="s">
        <v>2460</v>
      </c>
      <c r="B2359" t="s">
        <v>128</v>
      </c>
      <c r="C2359">
        <v>9</v>
      </c>
      <c r="D2359">
        <v>51.1</v>
      </c>
      <c r="E2359">
        <v>459.90000000000003</v>
      </c>
      <c r="F2359" s="2">
        <v>45744</v>
      </c>
      <c r="G2359" s="2">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ht="18" x14ac:dyDescent="0.5">
      <c r="A2360" t="s">
        <v>2461</v>
      </c>
      <c r="B2360" t="s">
        <v>46</v>
      </c>
      <c r="C2360">
        <v>4</v>
      </c>
      <c r="D2360">
        <v>73.8</v>
      </c>
      <c r="E2360">
        <v>295.2</v>
      </c>
      <c r="F2360" s="2">
        <v>45744</v>
      </c>
      <c r="G2360" s="2">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ht="18" x14ac:dyDescent="0.5">
      <c r="A2361" t="s">
        <v>2462</v>
      </c>
      <c r="B2361" t="s">
        <v>44</v>
      </c>
      <c r="C2361">
        <v>5</v>
      </c>
      <c r="D2361">
        <v>27</v>
      </c>
      <c r="E2361">
        <v>135</v>
      </c>
      <c r="F2361" s="2">
        <v>45744</v>
      </c>
      <c r="G2361" s="2">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ht="18" x14ac:dyDescent="0.5">
      <c r="A2362" t="s">
        <v>2463</v>
      </c>
      <c r="B2362" t="s">
        <v>44</v>
      </c>
      <c r="C2362">
        <v>6</v>
      </c>
      <c r="D2362">
        <v>60.1</v>
      </c>
      <c r="E2362">
        <v>360.6</v>
      </c>
      <c r="F2362" s="2">
        <v>45744</v>
      </c>
      <c r="G2362" s="2">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ht="18" x14ac:dyDescent="0.5">
      <c r="A2363" t="s">
        <v>2464</v>
      </c>
      <c r="B2363" t="s">
        <v>26</v>
      </c>
      <c r="C2363">
        <v>7</v>
      </c>
      <c r="D2363">
        <v>94.1</v>
      </c>
      <c r="E2363">
        <v>658.69999999999993</v>
      </c>
      <c r="F2363" s="2">
        <v>45744</v>
      </c>
      <c r="G2363" s="2">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ht="18" x14ac:dyDescent="0.5">
      <c r="A2364" t="s">
        <v>2465</v>
      </c>
      <c r="B2364" t="s">
        <v>26</v>
      </c>
      <c r="C2364">
        <v>2</v>
      </c>
      <c r="D2364">
        <v>124.1</v>
      </c>
      <c r="E2364">
        <v>248.2</v>
      </c>
      <c r="F2364" s="2">
        <v>45744</v>
      </c>
      <c r="G2364" s="2">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ht="18" x14ac:dyDescent="0.5">
      <c r="A2365" t="s">
        <v>2466</v>
      </c>
      <c r="B2365" t="s">
        <v>44</v>
      </c>
      <c r="C2365">
        <v>4</v>
      </c>
      <c r="D2365">
        <v>16.899999999999999</v>
      </c>
      <c r="E2365">
        <v>67.599999999999994</v>
      </c>
      <c r="F2365" s="2">
        <v>45744</v>
      </c>
      <c r="G2365" s="2">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ht="18" x14ac:dyDescent="0.5">
      <c r="A2366" t="s">
        <v>2467</v>
      </c>
      <c r="B2366" t="s">
        <v>22</v>
      </c>
      <c r="C2366">
        <v>1</v>
      </c>
      <c r="D2366">
        <v>36.9</v>
      </c>
      <c r="E2366">
        <v>36.9</v>
      </c>
      <c r="F2366" s="2">
        <v>45744</v>
      </c>
      <c r="G2366" s="2">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ht="18" x14ac:dyDescent="0.5">
      <c r="A2367" t="s">
        <v>2468</v>
      </c>
      <c r="B2367" t="s">
        <v>46</v>
      </c>
      <c r="C2367">
        <v>2</v>
      </c>
      <c r="D2367">
        <v>22.6</v>
      </c>
      <c r="E2367">
        <v>45.2</v>
      </c>
      <c r="F2367" s="2">
        <v>45744</v>
      </c>
      <c r="G2367" s="2">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ht="18" x14ac:dyDescent="0.5">
      <c r="A2368" t="s">
        <v>2469</v>
      </c>
      <c r="B2368" t="s">
        <v>42</v>
      </c>
      <c r="C2368">
        <v>4</v>
      </c>
      <c r="D2368">
        <v>35</v>
      </c>
      <c r="E2368">
        <v>140</v>
      </c>
      <c r="F2368" s="2">
        <v>45744</v>
      </c>
      <c r="G2368" s="2">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ht="18" x14ac:dyDescent="0.5">
      <c r="A2369" t="s">
        <v>2470</v>
      </c>
      <c r="B2369" t="s">
        <v>46</v>
      </c>
      <c r="C2369">
        <v>6</v>
      </c>
      <c r="D2369">
        <v>63.6</v>
      </c>
      <c r="E2369">
        <v>381.6</v>
      </c>
      <c r="F2369" s="2">
        <v>45744</v>
      </c>
      <c r="G2369" s="2">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ht="18" x14ac:dyDescent="0.5">
      <c r="A2370" t="s">
        <v>2471</v>
      </c>
      <c r="B2370" t="s">
        <v>123</v>
      </c>
      <c r="C2370">
        <v>4</v>
      </c>
      <c r="D2370">
        <v>78.599999999999994</v>
      </c>
      <c r="E2370">
        <v>314.39999999999998</v>
      </c>
      <c r="F2370" s="2">
        <v>45744</v>
      </c>
      <c r="G2370" s="2">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ht="18" x14ac:dyDescent="0.5">
      <c r="A2371" t="s">
        <v>2472</v>
      </c>
      <c r="B2371" t="s">
        <v>30</v>
      </c>
      <c r="C2371">
        <v>2</v>
      </c>
      <c r="D2371">
        <v>38.5</v>
      </c>
      <c r="E2371">
        <v>77</v>
      </c>
      <c r="F2371" s="2">
        <v>45744</v>
      </c>
      <c r="G2371" s="2">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ht="18" x14ac:dyDescent="0.5">
      <c r="A2372" t="s">
        <v>2473</v>
      </c>
      <c r="B2372" t="s">
        <v>44</v>
      </c>
      <c r="C2372">
        <v>11</v>
      </c>
      <c r="D2372">
        <v>71.5</v>
      </c>
      <c r="E2372">
        <v>786.5</v>
      </c>
      <c r="F2372" s="2">
        <v>45744</v>
      </c>
      <c r="G2372" s="2">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ht="18" x14ac:dyDescent="0.5">
      <c r="A2373" t="s">
        <v>2474</v>
      </c>
      <c r="B2373" t="s">
        <v>39</v>
      </c>
      <c r="C2373">
        <v>4</v>
      </c>
      <c r="D2373">
        <v>121.4</v>
      </c>
      <c r="E2373">
        <v>485.6</v>
      </c>
      <c r="F2373" s="2">
        <v>45744</v>
      </c>
      <c r="G2373" s="2">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ht="18" x14ac:dyDescent="0.5">
      <c r="A2374" t="s">
        <v>2475</v>
      </c>
      <c r="B2374" t="s">
        <v>67</v>
      </c>
      <c r="C2374">
        <v>1</v>
      </c>
      <c r="D2374">
        <v>40.200000000000003</v>
      </c>
      <c r="E2374">
        <v>40.200000000000003</v>
      </c>
      <c r="F2374" s="2">
        <v>45744</v>
      </c>
      <c r="G2374" s="2">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ht="18" x14ac:dyDescent="0.5">
      <c r="A2375" t="s">
        <v>2476</v>
      </c>
      <c r="B2375" t="s">
        <v>37</v>
      </c>
      <c r="C2375">
        <v>5</v>
      </c>
      <c r="D2375">
        <v>31.9</v>
      </c>
      <c r="E2375">
        <v>159.5</v>
      </c>
      <c r="F2375" s="2">
        <v>45744</v>
      </c>
      <c r="G2375" s="2">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ht="18" x14ac:dyDescent="0.5">
      <c r="A2376" t="s">
        <v>2477</v>
      </c>
      <c r="B2376" t="s">
        <v>81</v>
      </c>
      <c r="C2376">
        <v>5</v>
      </c>
      <c r="D2376">
        <v>15.8</v>
      </c>
      <c r="E2376">
        <v>79</v>
      </c>
      <c r="F2376" s="2">
        <v>45745</v>
      </c>
      <c r="G2376" s="2">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ht="18" x14ac:dyDescent="0.5">
      <c r="A2377" t="s">
        <v>2478</v>
      </c>
      <c r="B2377" t="s">
        <v>54</v>
      </c>
      <c r="C2377">
        <v>2</v>
      </c>
      <c r="D2377">
        <v>25.1</v>
      </c>
      <c r="E2377">
        <v>50.2</v>
      </c>
      <c r="F2377" s="2">
        <v>45745</v>
      </c>
      <c r="G2377" s="2">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ht="18" x14ac:dyDescent="0.5">
      <c r="A2378" t="s">
        <v>2479</v>
      </c>
      <c r="B2378" t="s">
        <v>22</v>
      </c>
      <c r="C2378">
        <v>23</v>
      </c>
      <c r="D2378">
        <v>38.1</v>
      </c>
      <c r="E2378">
        <v>876.30000000000007</v>
      </c>
      <c r="F2378" s="2">
        <v>45745</v>
      </c>
      <c r="G2378" s="2">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ht="18" x14ac:dyDescent="0.5">
      <c r="A2379" t="s">
        <v>2480</v>
      </c>
      <c r="B2379" t="s">
        <v>30</v>
      </c>
      <c r="C2379">
        <v>2</v>
      </c>
      <c r="D2379">
        <v>42.2</v>
      </c>
      <c r="E2379">
        <v>84.4</v>
      </c>
      <c r="F2379" s="2">
        <v>45745</v>
      </c>
      <c r="G2379" s="2">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ht="18" x14ac:dyDescent="0.5">
      <c r="A2380" t="s">
        <v>2481</v>
      </c>
      <c r="B2380" t="s">
        <v>16</v>
      </c>
      <c r="C2380">
        <v>10</v>
      </c>
      <c r="D2380">
        <v>12.3</v>
      </c>
      <c r="E2380">
        <v>123</v>
      </c>
      <c r="F2380" s="2">
        <v>45745</v>
      </c>
      <c r="G2380" s="2">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ht="18" x14ac:dyDescent="0.5">
      <c r="A2381" t="s">
        <v>2482</v>
      </c>
      <c r="B2381" t="s">
        <v>42</v>
      </c>
      <c r="C2381">
        <v>1</v>
      </c>
      <c r="D2381">
        <v>30.2</v>
      </c>
      <c r="E2381">
        <v>30.2</v>
      </c>
      <c r="F2381" s="2">
        <v>45745</v>
      </c>
      <c r="G2381" s="2">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ht="18" x14ac:dyDescent="0.5">
      <c r="A2382" t="s">
        <v>2483</v>
      </c>
      <c r="B2382" t="s">
        <v>37</v>
      </c>
      <c r="C2382">
        <v>3</v>
      </c>
      <c r="D2382">
        <v>25.3</v>
      </c>
      <c r="E2382">
        <v>75.900000000000006</v>
      </c>
      <c r="F2382" s="2">
        <v>45745</v>
      </c>
      <c r="G2382" s="2">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ht="18" x14ac:dyDescent="0.5">
      <c r="A2383" t="s">
        <v>2484</v>
      </c>
      <c r="B2383" t="s">
        <v>44</v>
      </c>
      <c r="C2383">
        <v>5</v>
      </c>
      <c r="D2383">
        <v>29.7</v>
      </c>
      <c r="E2383">
        <v>148.5</v>
      </c>
      <c r="F2383" s="2">
        <v>45745</v>
      </c>
      <c r="G2383" s="2">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ht="18" x14ac:dyDescent="0.5">
      <c r="A2384" t="s">
        <v>2485</v>
      </c>
      <c r="B2384" t="s">
        <v>46</v>
      </c>
      <c r="C2384">
        <v>8</v>
      </c>
      <c r="D2384">
        <v>32.9</v>
      </c>
      <c r="E2384">
        <v>263.2</v>
      </c>
      <c r="F2384" s="2">
        <v>45745</v>
      </c>
      <c r="G2384" s="2">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ht="18" x14ac:dyDescent="0.5">
      <c r="A2385" t="s">
        <v>2486</v>
      </c>
      <c r="B2385" t="s">
        <v>54</v>
      </c>
      <c r="C2385">
        <v>2</v>
      </c>
      <c r="D2385">
        <v>43.6</v>
      </c>
      <c r="E2385">
        <v>87.2</v>
      </c>
      <c r="F2385" s="2">
        <v>45745</v>
      </c>
      <c r="G2385" s="2">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ht="18" x14ac:dyDescent="0.5">
      <c r="A2386" t="s">
        <v>2487</v>
      </c>
      <c r="B2386" t="s">
        <v>123</v>
      </c>
      <c r="C2386">
        <v>4</v>
      </c>
      <c r="D2386">
        <v>78.400000000000006</v>
      </c>
      <c r="E2386">
        <v>313.60000000000002</v>
      </c>
      <c r="F2386" s="2">
        <v>45745</v>
      </c>
      <c r="G2386" s="2">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ht="18" x14ac:dyDescent="0.5">
      <c r="A2387" t="s">
        <v>2488</v>
      </c>
      <c r="B2387" t="s">
        <v>39</v>
      </c>
      <c r="C2387">
        <v>2</v>
      </c>
      <c r="D2387">
        <v>56.5</v>
      </c>
      <c r="E2387">
        <v>113</v>
      </c>
      <c r="F2387" s="2">
        <v>45745</v>
      </c>
      <c r="G2387" s="2">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ht="18" x14ac:dyDescent="0.5">
      <c r="A2388" t="s">
        <v>2489</v>
      </c>
      <c r="B2388" t="s">
        <v>128</v>
      </c>
      <c r="C2388">
        <v>1</v>
      </c>
      <c r="D2388">
        <v>36.700000000000003</v>
      </c>
      <c r="E2388">
        <v>36.700000000000003</v>
      </c>
      <c r="F2388" s="2">
        <v>45745</v>
      </c>
      <c r="G2388" s="2">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ht="18" x14ac:dyDescent="0.5">
      <c r="A2389" t="s">
        <v>2490</v>
      </c>
      <c r="B2389" t="s">
        <v>26</v>
      </c>
      <c r="C2389">
        <v>4</v>
      </c>
      <c r="D2389">
        <v>103.6</v>
      </c>
      <c r="E2389">
        <v>414.4</v>
      </c>
      <c r="F2389" s="2">
        <v>45745</v>
      </c>
      <c r="G2389" s="2">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ht="18" x14ac:dyDescent="0.5">
      <c r="A2390" t="s">
        <v>2491</v>
      </c>
      <c r="B2390" t="s">
        <v>44</v>
      </c>
      <c r="C2390">
        <v>6</v>
      </c>
      <c r="D2390">
        <v>16.2</v>
      </c>
      <c r="E2390">
        <v>97.199999999999989</v>
      </c>
      <c r="F2390" s="2">
        <v>45745</v>
      </c>
      <c r="G2390" s="2">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ht="18" x14ac:dyDescent="0.5">
      <c r="A2391" t="s">
        <v>2492</v>
      </c>
      <c r="B2391" t="s">
        <v>44</v>
      </c>
      <c r="C2391">
        <v>2</v>
      </c>
      <c r="D2391">
        <v>20.2</v>
      </c>
      <c r="E2391">
        <v>40.4</v>
      </c>
      <c r="F2391" s="2">
        <v>45745</v>
      </c>
      <c r="G2391" s="2">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ht="18" x14ac:dyDescent="0.5">
      <c r="A2392" t="s">
        <v>2493</v>
      </c>
      <c r="B2392" t="s">
        <v>67</v>
      </c>
      <c r="C2392">
        <v>2</v>
      </c>
      <c r="D2392">
        <v>26.9</v>
      </c>
      <c r="E2392">
        <v>53.8</v>
      </c>
      <c r="F2392" s="2">
        <v>45745</v>
      </c>
      <c r="G2392" s="2">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ht="18" x14ac:dyDescent="0.5">
      <c r="A2393" t="s">
        <v>2494</v>
      </c>
      <c r="B2393" t="s">
        <v>22</v>
      </c>
      <c r="C2393">
        <v>2</v>
      </c>
      <c r="D2393">
        <v>82.4</v>
      </c>
      <c r="E2393">
        <v>164.8</v>
      </c>
      <c r="F2393" s="2">
        <v>45745</v>
      </c>
      <c r="G2393" s="2">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ht="18" x14ac:dyDescent="0.5">
      <c r="A2394" t="s">
        <v>2495</v>
      </c>
      <c r="B2394" t="s">
        <v>26</v>
      </c>
      <c r="C2394">
        <v>2</v>
      </c>
      <c r="D2394">
        <v>117.8</v>
      </c>
      <c r="E2394">
        <v>235.6</v>
      </c>
      <c r="F2394" s="2">
        <v>45745</v>
      </c>
      <c r="G2394" s="2">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ht="18" x14ac:dyDescent="0.5">
      <c r="A2395" t="s">
        <v>2496</v>
      </c>
      <c r="B2395" t="s">
        <v>67</v>
      </c>
      <c r="C2395">
        <v>4</v>
      </c>
      <c r="D2395">
        <v>36.700000000000003</v>
      </c>
      <c r="E2395">
        <v>146.80000000000001</v>
      </c>
      <c r="F2395" s="2">
        <v>45745</v>
      </c>
      <c r="G2395" s="2">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ht="18" x14ac:dyDescent="0.5">
      <c r="A2396" t="s">
        <v>2497</v>
      </c>
      <c r="B2396" t="s">
        <v>135</v>
      </c>
      <c r="C2396">
        <v>3</v>
      </c>
      <c r="D2396">
        <v>46.8</v>
      </c>
      <c r="E2396">
        <v>140.39999999999998</v>
      </c>
      <c r="F2396" s="2">
        <v>45745</v>
      </c>
      <c r="G2396" s="2">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ht="18" x14ac:dyDescent="0.5">
      <c r="A2397" t="s">
        <v>2498</v>
      </c>
      <c r="B2397" t="s">
        <v>30</v>
      </c>
      <c r="C2397">
        <v>1</v>
      </c>
      <c r="D2397">
        <v>61.4</v>
      </c>
      <c r="E2397">
        <v>61.4</v>
      </c>
      <c r="F2397" s="2">
        <v>45745</v>
      </c>
      <c r="G2397" s="2">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ht="18" x14ac:dyDescent="0.5">
      <c r="A2398" t="s">
        <v>2499</v>
      </c>
      <c r="B2398" t="s">
        <v>123</v>
      </c>
      <c r="C2398">
        <v>2</v>
      </c>
      <c r="D2398">
        <v>22.9</v>
      </c>
      <c r="E2398">
        <v>45.8</v>
      </c>
      <c r="F2398" s="2">
        <v>45745</v>
      </c>
      <c r="G2398" s="2">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ht="18" x14ac:dyDescent="0.5">
      <c r="A2399" t="s">
        <v>2500</v>
      </c>
      <c r="B2399" t="s">
        <v>54</v>
      </c>
      <c r="C2399">
        <v>2</v>
      </c>
      <c r="D2399">
        <v>22.1</v>
      </c>
      <c r="E2399">
        <v>44.2</v>
      </c>
      <c r="F2399" s="2">
        <v>45745</v>
      </c>
      <c r="G2399" s="2">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ht="18" x14ac:dyDescent="0.5">
      <c r="A2400" t="s">
        <v>2501</v>
      </c>
      <c r="B2400" t="s">
        <v>69</v>
      </c>
      <c r="C2400">
        <v>2</v>
      </c>
      <c r="D2400">
        <v>31</v>
      </c>
      <c r="E2400">
        <v>62</v>
      </c>
      <c r="F2400" s="2">
        <v>45745</v>
      </c>
      <c r="G2400" s="2">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ht="18" x14ac:dyDescent="0.5">
      <c r="A2401" t="s">
        <v>2502</v>
      </c>
      <c r="B2401" t="s">
        <v>146</v>
      </c>
      <c r="C2401">
        <v>2</v>
      </c>
      <c r="D2401">
        <v>84.2</v>
      </c>
      <c r="E2401">
        <v>168.4</v>
      </c>
      <c r="F2401" s="2">
        <v>45745</v>
      </c>
      <c r="G2401" s="2">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2681-7441-45F8-B2AE-3C0AB6F7CD5B}">
  <sheetPr>
    <pageSetUpPr fitToPage="1"/>
  </sheetPr>
  <dimension ref="A1:AI29"/>
  <sheetViews>
    <sheetView tabSelected="1" zoomScale="50" zoomScaleNormal="50" workbookViewId="0">
      <selection activeCell="AE8" sqref="AE8"/>
    </sheetView>
  </sheetViews>
  <sheetFormatPr defaultRowHeight="18" x14ac:dyDescent="0.5"/>
  <cols>
    <col min="1" max="3" width="9.77734375" style="3" customWidth="1"/>
    <col min="4" max="23" width="8.88671875" style="4"/>
  </cols>
  <sheetData>
    <row r="1" spans="1:3" x14ac:dyDescent="0.5">
      <c r="A1" s="16"/>
      <c r="B1" s="16"/>
      <c r="C1" s="16"/>
    </row>
    <row r="2" spans="1:3" x14ac:dyDescent="0.5">
      <c r="A2" s="17"/>
      <c r="B2" s="17"/>
      <c r="C2" s="16"/>
    </row>
    <row r="3" spans="1:3" x14ac:dyDescent="0.5">
      <c r="A3" s="17"/>
      <c r="B3" s="17"/>
      <c r="C3" s="16"/>
    </row>
    <row r="4" spans="1:3" x14ac:dyDescent="0.5">
      <c r="A4" s="17"/>
      <c r="B4" s="17"/>
      <c r="C4" s="16"/>
    </row>
    <row r="5" spans="1:3" x14ac:dyDescent="0.5">
      <c r="A5" s="17"/>
      <c r="B5" s="17"/>
      <c r="C5" s="16"/>
    </row>
    <row r="6" spans="1:3" x14ac:dyDescent="0.5">
      <c r="A6" s="17"/>
      <c r="B6" s="17"/>
      <c r="C6" s="16"/>
    </row>
    <row r="7" spans="1:3" x14ac:dyDescent="0.5">
      <c r="A7" s="18"/>
      <c r="B7" s="17"/>
      <c r="C7" s="16"/>
    </row>
    <row r="8" spans="1:3" x14ac:dyDescent="0.5">
      <c r="A8" s="17"/>
      <c r="B8" s="17"/>
      <c r="C8" s="16"/>
    </row>
    <row r="9" spans="1:3" x14ac:dyDescent="0.5">
      <c r="A9" s="17"/>
      <c r="B9" s="17"/>
      <c r="C9" s="16"/>
    </row>
    <row r="10" spans="1:3" x14ac:dyDescent="0.5">
      <c r="A10" s="17"/>
      <c r="B10" s="17"/>
      <c r="C10" s="16"/>
    </row>
    <row r="11" spans="1:3" x14ac:dyDescent="0.5">
      <c r="A11" s="17"/>
      <c r="B11" s="17"/>
      <c r="C11" s="16"/>
    </row>
    <row r="12" spans="1:3" x14ac:dyDescent="0.5">
      <c r="A12" s="17"/>
      <c r="B12" s="17"/>
      <c r="C12" s="16"/>
    </row>
    <row r="13" spans="1:3" x14ac:dyDescent="0.5">
      <c r="A13" s="17"/>
      <c r="B13" s="17"/>
      <c r="C13" s="16"/>
    </row>
    <row r="14" spans="1:3" x14ac:dyDescent="0.5">
      <c r="A14" s="17"/>
      <c r="B14" s="17"/>
      <c r="C14" s="16"/>
    </row>
    <row r="15" spans="1:3" x14ac:dyDescent="0.5">
      <c r="A15" s="17"/>
      <c r="B15" s="17"/>
      <c r="C15" s="16"/>
    </row>
    <row r="16" spans="1:3" x14ac:dyDescent="0.5">
      <c r="A16" s="17"/>
      <c r="B16" s="17"/>
      <c r="C16" s="16"/>
    </row>
    <row r="17" spans="1:35" x14ac:dyDescent="0.5">
      <c r="A17" s="17"/>
      <c r="B17" s="17"/>
      <c r="C17" s="16"/>
    </row>
    <row r="18" spans="1:35" x14ac:dyDescent="0.5">
      <c r="A18" s="17"/>
      <c r="B18" s="17"/>
      <c r="C18" s="16"/>
    </row>
    <row r="19" spans="1:35" ht="35.4" x14ac:dyDescent="0.8">
      <c r="A19" s="17"/>
      <c r="B19" s="17"/>
      <c r="C19" s="16"/>
      <c r="AI19" s="27"/>
    </row>
    <row r="20" spans="1:35" x14ac:dyDescent="0.5">
      <c r="A20" s="17"/>
      <c r="B20" s="17"/>
      <c r="C20" s="16"/>
    </row>
    <row r="21" spans="1:35" x14ac:dyDescent="0.5">
      <c r="A21" s="17"/>
      <c r="B21" s="17"/>
      <c r="C21" s="16"/>
    </row>
    <row r="22" spans="1:35" x14ac:dyDescent="0.5">
      <c r="A22" s="17"/>
      <c r="B22" s="17"/>
      <c r="C22" s="16"/>
    </row>
    <row r="23" spans="1:35" x14ac:dyDescent="0.5">
      <c r="A23" s="17"/>
      <c r="B23" s="17"/>
      <c r="C23" s="16"/>
    </row>
    <row r="24" spans="1:35" x14ac:dyDescent="0.5">
      <c r="A24" s="16"/>
      <c r="B24" s="16"/>
      <c r="C24" s="16"/>
    </row>
    <row r="25" spans="1:35" x14ac:dyDescent="0.5">
      <c r="A25" s="16"/>
      <c r="B25" s="16"/>
      <c r="C25" s="16"/>
    </row>
    <row r="26" spans="1:35" x14ac:dyDescent="0.5">
      <c r="A26" s="16"/>
      <c r="B26" s="16"/>
      <c r="C26" s="16"/>
    </row>
    <row r="27" spans="1:35" x14ac:dyDescent="0.5">
      <c r="A27" s="16"/>
      <c r="B27" s="16"/>
      <c r="C27" s="16"/>
    </row>
    <row r="28" spans="1:35" x14ac:dyDescent="0.5">
      <c r="A28" s="16"/>
      <c r="B28" s="16"/>
      <c r="C28" s="16"/>
    </row>
    <row r="29" spans="1:35" x14ac:dyDescent="0.5">
      <c r="A29" s="16"/>
      <c r="B29" s="16"/>
      <c r="C29" s="16"/>
    </row>
  </sheetData>
  <pageMargins left="0.7" right="0.7" top="0.75" bottom="0.75" header="0.3" footer="0.3"/>
  <pageSetup scale="46"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 sum</vt:lpstr>
      <vt:lpstr>Sheet5</vt:lpstr>
      <vt:lpstr>Sheet6</vt:lpstr>
      <vt:lpstr>Sheet7</vt:lpstr>
      <vt:lpstr>Sheet8</vt:lpstr>
      <vt:lpstr>Sheet9</vt:lpstr>
      <vt:lpstr>Sheet10</vt:lpstr>
      <vt:lpstr>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Pratik Jagtap</cp:lastModifiedBy>
  <cp:lastPrinted>2026-06-28T19:12:23Z</cp:lastPrinted>
  <dcterms:created xsi:type="dcterms:W3CDTF">2025-06-13T02:42:26Z</dcterms:created>
  <dcterms:modified xsi:type="dcterms:W3CDTF">2026-06-29T07:41:49Z</dcterms:modified>
</cp:coreProperties>
</file>